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NovaMart-Retail-Sales-Analysis\Dashboard\"/>
    </mc:Choice>
  </mc:AlternateContent>
  <bookViews>
    <workbookView xWindow="0" yWindow="0" windowWidth="10230" windowHeight="4035" activeTab="1"/>
  </bookViews>
  <sheets>
    <sheet name="Dashboard" sheetId="11" r:id="rId1"/>
    <sheet name="Analysis" sheetId="10" r:id="rId2"/>
    <sheet name="Master_data" sheetId="1" r:id="rId3"/>
    <sheet name="Raw_data" sheetId="2" r:id="rId4"/>
    <sheet name="Orders_Helper" sheetId="5" r:id="rId5"/>
    <sheet name="Customer_Helper" sheetId="6" r:id="rId6"/>
    <sheet name="Salesperson_Helper" sheetId="9" r:id="rId7"/>
    <sheet name="Salesperson_Masterdata" sheetId="8" r:id="rId8"/>
    <sheet name="Customer_Masterdata" sheetId="7" r:id="rId9"/>
    <sheet name="Product_Masterdata" sheetId="4" r:id="rId10"/>
  </sheets>
  <definedNames>
    <definedName name="Age_Groups">Customer_Helper!$P$1:$S$6</definedName>
    <definedName name="City_Assignment">Salesperson_Helper!$H$1:$I$11</definedName>
    <definedName name="City_Master">Customer_Helper!$F$1:$H$13</definedName>
    <definedName name="Customer_Segments">Orders_Helper!$J$1:$L$4</definedName>
    <definedName name="Customer_Types">Customer_Helper!$J$1:$K$4</definedName>
    <definedName name="Electronics_Products">#REF!</definedName>
    <definedName name="First_Names">Customer_Helper!$A$1:$B$101</definedName>
    <definedName name="Furniture_Products">#REF!</definedName>
    <definedName name="Gender_Distribution">Customer_Helper!$M$1:$N$3</definedName>
    <definedName name="Last_Names">Customer_Helper!$D$1:$D$51</definedName>
    <definedName name="Monthly_Distribution">Orders_Helper!$F$1:$H$12</definedName>
    <definedName name="Order_Distribution">Orders_Helper!$A$1:$D$4</definedName>
    <definedName name="_xlnm.Print_Area" localSheetId="0">Dashboard!$A$1:$N$81</definedName>
    <definedName name="Product_MasterData">Product_Masterdata!$A$1:$L$22</definedName>
    <definedName name="Raw_Data">Raw_data!#REF!</definedName>
    <definedName name="Region">Salesperson_Helper!$K$1:$L$13</definedName>
    <definedName name="Salesperson_Master">Salesperson_Masterdata!$A$1:$F$11</definedName>
    <definedName name="Salesperson_Names">Salesperson_Helper!$A$1:$C$11</definedName>
    <definedName name="Seasonal_Mapping">Master_data!$A$15:$B$27</definedName>
    <definedName name="tbl_cities">Master_data!$A$1:$B$13</definedName>
    <definedName name="tbl_paymentmode">Master_data!$N$1:$N$6</definedName>
    <definedName name="tbl_products">Master_data!$E$1:$G$31</definedName>
    <definedName name="tbl_saleschannel">Master_data!$P$1:$P$3</definedName>
    <definedName name="tbl_salesperson">Master_data!$J$1:$K$11</definedName>
    <definedName name="Team_Assignment">Salesperson_Helper!$E$1:$F$11</definedName>
    <definedName name="Weekly_Behaviour">Orders_Helper!$N$1:$O$8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Z14" i="10" l="1"/>
  <c r="EB14" i="10" s="1"/>
  <c r="DZ13" i="10"/>
  <c r="ED13" i="10" s="1"/>
  <c r="DZ12" i="10"/>
  <c r="EA12" i="10" s="1"/>
  <c r="EB11" i="10"/>
  <c r="DZ11" i="10"/>
  <c r="EC11" i="10" s="1"/>
  <c r="DZ10" i="10"/>
  <c r="EB10" i="10" s="1"/>
  <c r="DZ9" i="10"/>
  <c r="EC9" i="10" s="1"/>
  <c r="DZ8" i="10"/>
  <c r="EA8" i="10" s="1"/>
  <c r="EB7" i="10"/>
  <c r="DZ7" i="10"/>
  <c r="EC7" i="10" s="1"/>
  <c r="DZ6" i="10"/>
  <c r="EA6" i="10" s="1"/>
  <c r="EB5" i="10"/>
  <c r="DZ5" i="10"/>
  <c r="EC5" i="10" s="1"/>
  <c r="DZ4" i="10"/>
  <c r="EB4" i="10" s="1"/>
  <c r="EB3" i="10"/>
  <c r="DZ3" i="10"/>
  <c r="ED3" i="10" s="1"/>
  <c r="EB9" i="10" l="1"/>
  <c r="ED4" i="10"/>
  <c r="ED8" i="10"/>
  <c r="ED10" i="10"/>
  <c r="ED5" i="10"/>
  <c r="EE5" i="10" s="1"/>
  <c r="EB6" i="10"/>
  <c r="ED7" i="10"/>
  <c r="EE7" i="10" s="1"/>
  <c r="EB8" i="10"/>
  <c r="ED9" i="10"/>
  <c r="EE9" i="10" s="1"/>
  <c r="ED11" i="10"/>
  <c r="EE11" i="10" s="1"/>
  <c r="EB12" i="10"/>
  <c r="EA3" i="10"/>
  <c r="EC4" i="10"/>
  <c r="EA5" i="10"/>
  <c r="EC6" i="10"/>
  <c r="EA7" i="10"/>
  <c r="EC8" i="10"/>
  <c r="EA9" i="10"/>
  <c r="EC10" i="10"/>
  <c r="EA11" i="10"/>
  <c r="EC12" i="10"/>
  <c r="EA13" i="10"/>
  <c r="EC14" i="10"/>
  <c r="ED12" i="10"/>
  <c r="EB13" i="10"/>
  <c r="ED6" i="10"/>
  <c r="EE6" i="10" s="1"/>
  <c r="ED14" i="10"/>
  <c r="EE14" i="10" s="1"/>
  <c r="EC3" i="10"/>
  <c r="EE3" i="10" s="1"/>
  <c r="EA4" i="10"/>
  <c r="EA10" i="10"/>
  <c r="EC13" i="10"/>
  <c r="EE13" i="10" s="1"/>
  <c r="EA14" i="10"/>
  <c r="AF2" i="11"/>
  <c r="EE12" i="10" l="1"/>
  <c r="EB15" i="10"/>
  <c r="ED15" i="10"/>
  <c r="EC15" i="10"/>
  <c r="EA15" i="10"/>
  <c r="EE10" i="10"/>
  <c r="EE8" i="10"/>
  <c r="EE4" i="10"/>
  <c r="EL4" i="10"/>
  <c r="EL5" i="10"/>
  <c r="EL6" i="10"/>
  <c r="EL7" i="10"/>
  <c r="EL8" i="10"/>
  <c r="EL9" i="10"/>
  <c r="EL3" i="10"/>
  <c r="EJ4" i="10"/>
  <c r="EJ5" i="10"/>
  <c r="EJ6" i="10"/>
  <c r="EJ7" i="10"/>
  <c r="EJ8" i="10"/>
  <c r="EJ9" i="10"/>
  <c r="EJ3" i="10"/>
  <c r="DV4" i="10"/>
  <c r="DV5" i="10"/>
  <c r="DV6" i="10"/>
  <c r="DV7" i="10"/>
  <c r="DV8" i="10"/>
  <c r="DV9" i="10"/>
  <c r="DV10" i="10"/>
  <c r="DV11" i="10"/>
  <c r="DV12" i="10"/>
  <c r="DV13" i="10"/>
  <c r="DV14" i="10"/>
  <c r="DV15" i="10"/>
  <c r="DV16" i="10"/>
  <c r="DV17" i="10"/>
  <c r="DV18" i="10"/>
  <c r="DV3" i="10"/>
  <c r="DS6" i="10"/>
  <c r="DS4" i="10"/>
  <c r="DS5" i="10"/>
  <c r="DS7" i="10"/>
  <c r="DS8" i="10"/>
  <c r="DS9" i="10"/>
  <c r="DS10" i="10"/>
  <c r="DS11" i="10"/>
  <c r="DS12" i="10"/>
  <c r="DS13" i="10"/>
  <c r="DS14" i="10"/>
  <c r="DS15" i="10"/>
  <c r="DS16" i="10"/>
  <c r="DS17" i="10"/>
  <c r="DS18" i="10"/>
  <c r="DS3" i="10"/>
  <c r="DU4" i="10"/>
  <c r="DU5" i="10"/>
  <c r="DU6" i="10"/>
  <c r="DU7" i="10"/>
  <c r="DU8" i="10"/>
  <c r="DU9" i="10"/>
  <c r="DU10" i="10"/>
  <c r="DU11" i="10"/>
  <c r="DU12" i="10"/>
  <c r="DU13" i="10"/>
  <c r="DU14" i="10"/>
  <c r="DU15" i="10"/>
  <c r="DU16" i="10"/>
  <c r="DU17" i="10"/>
  <c r="DU18" i="10"/>
  <c r="DU3" i="10"/>
  <c r="DR4" i="10"/>
  <c r="DR5" i="10"/>
  <c r="DT5" i="10" s="1"/>
  <c r="DR6" i="10"/>
  <c r="DR7" i="10"/>
  <c r="DR8" i="10"/>
  <c r="DT8" i="10" s="1"/>
  <c r="DR9" i="10"/>
  <c r="DR10" i="10"/>
  <c r="DR11" i="10"/>
  <c r="DR12" i="10"/>
  <c r="DT12" i="10" s="1"/>
  <c r="DR13" i="10"/>
  <c r="DR14" i="10"/>
  <c r="DR15" i="10"/>
  <c r="DR16" i="10"/>
  <c r="DT16" i="10" s="1"/>
  <c r="DR17" i="10"/>
  <c r="DR18" i="10"/>
  <c r="DR3" i="10"/>
  <c r="DM7" i="10"/>
  <c r="DM8" i="10"/>
  <c r="DM6" i="10"/>
  <c r="DM4" i="10"/>
  <c r="DM5" i="10"/>
  <c r="DM3" i="10"/>
  <c r="DN7" i="10"/>
  <c r="DN8" i="10"/>
  <c r="DN6" i="10"/>
  <c r="DN4" i="10"/>
  <c r="DN5" i="10"/>
  <c r="DN3" i="10"/>
  <c r="DT17" i="10" l="1"/>
  <c r="DT13" i="10"/>
  <c r="DT9" i="10"/>
  <c r="DT4" i="10"/>
  <c r="DW17" i="10"/>
  <c r="DW13" i="10"/>
  <c r="DW9" i="10"/>
  <c r="DW5" i="10"/>
  <c r="EE15" i="10"/>
  <c r="DW16" i="10"/>
  <c r="DW12" i="10"/>
  <c r="DW8" i="10"/>
  <c r="DW4" i="10"/>
  <c r="DT3" i="10"/>
  <c r="DT15" i="10"/>
  <c r="DT11" i="10"/>
  <c r="DT7" i="10"/>
  <c r="DW3" i="10"/>
  <c r="DW15" i="10"/>
  <c r="DW11" i="10"/>
  <c r="DW7" i="10"/>
  <c r="DT18" i="10"/>
  <c r="DT14" i="10"/>
  <c r="DT10" i="10"/>
  <c r="DW18" i="10"/>
  <c r="DW14" i="10"/>
  <c r="DW10" i="10"/>
  <c r="DW6" i="10"/>
  <c r="DT6" i="10"/>
  <c r="DO8" i="10"/>
  <c r="DO7" i="10"/>
  <c r="DO6" i="10"/>
  <c r="DO5" i="10"/>
  <c r="DO4" i="10"/>
  <c r="DO3" i="10"/>
  <c r="AF4" i="11"/>
  <c r="AF6" i="11" s="1"/>
  <c r="M6" i="11" s="1"/>
  <c r="AF3" i="11"/>
  <c r="C6" i="11" s="1"/>
  <c r="A6" i="11"/>
  <c r="AA3" i="11" l="1"/>
  <c r="AA4" i="11"/>
  <c r="AA5" i="11"/>
  <c r="AA6" i="11"/>
  <c r="AA2" i="11"/>
  <c r="M4" i="10"/>
  <c r="Q4" i="10" s="1"/>
  <c r="M5" i="10"/>
  <c r="N5" i="10" s="1"/>
  <c r="M6" i="10"/>
  <c r="Q6" i="10" s="1"/>
  <c r="M7" i="10"/>
  <c r="Q7" i="10" s="1"/>
  <c r="M8" i="10"/>
  <c r="Q8" i="10" s="1"/>
  <c r="M9" i="10"/>
  <c r="P9" i="10" s="1"/>
  <c r="M10" i="10"/>
  <c r="Q10" i="10" s="1"/>
  <c r="M11" i="10"/>
  <c r="Q11" i="10" s="1"/>
  <c r="M12" i="10"/>
  <c r="P12" i="10" s="1"/>
  <c r="M13" i="10"/>
  <c r="P13" i="10" s="1"/>
  <c r="M14" i="10"/>
  <c r="Q14" i="10" s="1"/>
  <c r="M3" i="10"/>
  <c r="Q3" i="10" s="1"/>
  <c r="O13" i="10" l="1"/>
  <c r="P14" i="10"/>
  <c r="R14" i="10" s="1"/>
  <c r="Q13" i="10"/>
  <c r="R13" i="10" s="1"/>
  <c r="N14" i="10"/>
  <c r="N13" i="10"/>
  <c r="O14" i="10"/>
  <c r="N11" i="10"/>
  <c r="O9" i="10"/>
  <c r="P11" i="10"/>
  <c r="R11" i="10" s="1"/>
  <c r="Q9" i="10"/>
  <c r="R9" i="10" s="1"/>
  <c r="N10" i="10"/>
  <c r="O12" i="10"/>
  <c r="P10" i="10"/>
  <c r="R10" i="10" s="1"/>
  <c r="Q12" i="10"/>
  <c r="R12" i="10" s="1"/>
  <c r="N9" i="10"/>
  <c r="O11" i="10"/>
  <c r="N12" i="10"/>
  <c r="O10" i="10"/>
  <c r="O5" i="10"/>
  <c r="P5" i="10"/>
  <c r="Q5" i="10"/>
  <c r="N8" i="10"/>
  <c r="N4" i="10"/>
  <c r="O8" i="10"/>
  <c r="O4" i="10"/>
  <c r="P8" i="10"/>
  <c r="R8" i="10" s="1"/>
  <c r="P4" i="10"/>
  <c r="R4" i="10" s="1"/>
  <c r="N6" i="10"/>
  <c r="O6" i="10"/>
  <c r="P6" i="10"/>
  <c r="R6" i="10" s="1"/>
  <c r="N3" i="10"/>
  <c r="N7" i="10"/>
  <c r="O3" i="10"/>
  <c r="O7" i="10"/>
  <c r="P3" i="10"/>
  <c r="P7" i="10"/>
  <c r="R7" i="10" s="1"/>
  <c r="K6" i="11"/>
  <c r="I6" i="11"/>
  <c r="G6" i="11"/>
  <c r="E6" i="11"/>
  <c r="CZ4" i="10"/>
  <c r="CZ5" i="10"/>
  <c r="CZ6" i="10"/>
  <c r="CZ7" i="10"/>
  <c r="CZ8" i="10"/>
  <c r="CZ9" i="10"/>
  <c r="CZ10" i="10"/>
  <c r="CZ11" i="10"/>
  <c r="CZ12" i="10"/>
  <c r="CZ13" i="10"/>
  <c r="CZ14" i="10"/>
  <c r="DG5" i="10" s="1"/>
  <c r="CZ3" i="10"/>
  <c r="CY4" i="10"/>
  <c r="CY5" i="10"/>
  <c r="CY6" i="10"/>
  <c r="CY7" i="10"/>
  <c r="CY8" i="10"/>
  <c r="CY9" i="10"/>
  <c r="CY10" i="10"/>
  <c r="CY11" i="10"/>
  <c r="CY12" i="10"/>
  <c r="CY13" i="10"/>
  <c r="DA13" i="10" s="1"/>
  <c r="CY14" i="10"/>
  <c r="DF5" i="10" s="1"/>
  <c r="DI5" i="10" s="1"/>
  <c r="CY3" i="10"/>
  <c r="CX4" i="10"/>
  <c r="CX5" i="10"/>
  <c r="CX6" i="10"/>
  <c r="CX7" i="10"/>
  <c r="CX8" i="10"/>
  <c r="CX9" i="10"/>
  <c r="CX10" i="10"/>
  <c r="CX11" i="10"/>
  <c r="CX12" i="10"/>
  <c r="CX13" i="10"/>
  <c r="CX14" i="10"/>
  <c r="DE5" i="10" s="1"/>
  <c r="CX3" i="10"/>
  <c r="CW4" i="10"/>
  <c r="CW5" i="10"/>
  <c r="CW6" i="10"/>
  <c r="CW7" i="10"/>
  <c r="CW8" i="10"/>
  <c r="CW9" i="10"/>
  <c r="CW10" i="10"/>
  <c r="CW11" i="10"/>
  <c r="CW12" i="10"/>
  <c r="CW13" i="10"/>
  <c r="CW14" i="10"/>
  <c r="DD5" i="10" s="1"/>
  <c r="CW3" i="10"/>
  <c r="R5" i="10" l="1"/>
  <c r="N15" i="10"/>
  <c r="O15" i="10"/>
  <c r="P15" i="10"/>
  <c r="Q15" i="10"/>
  <c r="DE4" i="10"/>
  <c r="DA9" i="10"/>
  <c r="DG4" i="10"/>
  <c r="DA12" i="10"/>
  <c r="DF4" i="10"/>
  <c r="DI4" i="10" s="1"/>
  <c r="DA10" i="10"/>
  <c r="DD4" i="10"/>
  <c r="DA7" i="10"/>
  <c r="DA14" i="10"/>
  <c r="DA6" i="10"/>
  <c r="DA5" i="10"/>
  <c r="DD3" i="10"/>
  <c r="DE3" i="10"/>
  <c r="DF3" i="10"/>
  <c r="DI3" i="10" s="1"/>
  <c r="DA8" i="10"/>
  <c r="DA11" i="10"/>
  <c r="DF6" i="10"/>
  <c r="DI6" i="10" s="1"/>
  <c r="DG6" i="10"/>
  <c r="DD6" i="10"/>
  <c r="CX15" i="10"/>
  <c r="CY15" i="10"/>
  <c r="CZ15" i="10"/>
  <c r="DH5" i="10"/>
  <c r="R3" i="10"/>
  <c r="R15" i="10" s="1"/>
  <c r="DA3" i="10"/>
  <c r="CW15" i="10"/>
  <c r="DE6" i="10"/>
  <c r="DG3" i="10"/>
  <c r="DA4" i="10"/>
  <c r="CP4" i="10"/>
  <c r="CP5" i="10"/>
  <c r="CP6" i="10"/>
  <c r="CP7" i="10"/>
  <c r="CP8" i="10"/>
  <c r="CP9" i="10"/>
  <c r="CP10" i="10"/>
  <c r="CP11" i="10"/>
  <c r="CP12" i="10"/>
  <c r="CP3" i="10"/>
  <c r="CO4" i="10"/>
  <c r="CS4" i="10" s="1"/>
  <c r="CO5" i="10"/>
  <c r="CS5" i="10" s="1"/>
  <c r="CO6" i="10"/>
  <c r="CS6" i="10" s="1"/>
  <c r="CO7" i="10"/>
  <c r="CS7" i="10" s="1"/>
  <c r="CO8" i="10"/>
  <c r="CO9" i="10"/>
  <c r="CS9" i="10" s="1"/>
  <c r="CO10" i="10"/>
  <c r="CS10" i="10" s="1"/>
  <c r="CO11" i="10"/>
  <c r="CS11" i="10" s="1"/>
  <c r="CO12" i="10"/>
  <c r="CS12" i="10" s="1"/>
  <c r="CO3" i="10"/>
  <c r="CS3" i="10" s="1"/>
  <c r="CN4" i="10"/>
  <c r="CN5" i="10"/>
  <c r="CN6" i="10"/>
  <c r="CN7" i="10"/>
  <c r="CN8" i="10"/>
  <c r="CN9" i="10"/>
  <c r="CN10" i="10"/>
  <c r="CN11" i="10"/>
  <c r="CN12" i="10"/>
  <c r="CN3" i="10"/>
  <c r="CM4" i="10"/>
  <c r="CM5" i="10"/>
  <c r="CM6" i="10"/>
  <c r="CR6" i="10" s="1"/>
  <c r="CM7" i="10"/>
  <c r="CR7" i="10" s="1"/>
  <c r="CM8" i="10"/>
  <c r="CR8" i="10" s="1"/>
  <c r="CM9" i="10"/>
  <c r="CR9" i="10" s="1"/>
  <c r="CM10" i="10"/>
  <c r="CR10" i="10" s="1"/>
  <c r="CM11" i="10"/>
  <c r="CR11" i="10" s="1"/>
  <c r="CM12" i="10"/>
  <c r="CR12" i="10" s="1"/>
  <c r="CM3" i="10"/>
  <c r="CG4" i="10"/>
  <c r="CG5" i="10"/>
  <c r="CG6" i="10"/>
  <c r="CG7" i="10"/>
  <c r="CG3" i="10"/>
  <c r="CF4" i="10"/>
  <c r="CI4" i="10" s="1"/>
  <c r="CF5" i="10"/>
  <c r="CI5" i="10" s="1"/>
  <c r="CF6" i="10"/>
  <c r="CI6" i="10" s="1"/>
  <c r="CF7" i="10"/>
  <c r="CI7" i="10" s="1"/>
  <c r="CF3" i="10"/>
  <c r="CI3" i="10" s="1"/>
  <c r="CE4" i="10"/>
  <c r="CE5" i="10"/>
  <c r="CE6" i="10"/>
  <c r="CE7" i="10"/>
  <c r="CE3" i="10"/>
  <c r="CD4" i="10"/>
  <c r="CD5" i="10"/>
  <c r="CD6" i="10"/>
  <c r="CD7" i="10"/>
  <c r="CD3" i="10"/>
  <c r="BY4" i="10"/>
  <c r="BY5" i="10"/>
  <c r="BY3" i="10"/>
  <c r="BX4" i="10"/>
  <c r="CA4" i="10" s="1"/>
  <c r="BX5" i="10"/>
  <c r="CA5" i="10" s="1"/>
  <c r="BX3" i="10"/>
  <c r="CA3" i="10" s="1"/>
  <c r="BW4" i="10"/>
  <c r="BW5" i="10"/>
  <c r="BW3" i="10"/>
  <c r="BV4" i="10"/>
  <c r="BV5" i="10"/>
  <c r="BV3" i="10"/>
  <c r="CR5" i="10" l="1"/>
  <c r="CQ8" i="10"/>
  <c r="CS8" i="10"/>
  <c r="CR4" i="10"/>
  <c r="DF7" i="10"/>
  <c r="DE7" i="10"/>
  <c r="DH3" i="10"/>
  <c r="DH4" i="10"/>
  <c r="BZ5" i="10"/>
  <c r="DD7" i="10"/>
  <c r="CQ10" i="10"/>
  <c r="DH6" i="10"/>
  <c r="CH5" i="10"/>
  <c r="CQ9" i="10"/>
  <c r="BZ3" i="10"/>
  <c r="BZ4" i="10"/>
  <c r="CH7" i="10"/>
  <c r="CQ12" i="10"/>
  <c r="CQ11" i="10"/>
  <c r="CH3" i="10"/>
  <c r="CQ3" i="10"/>
  <c r="CQ5" i="10"/>
  <c r="BV6" i="10"/>
  <c r="CQ7" i="10"/>
  <c r="CH6" i="10"/>
  <c r="CQ6" i="10"/>
  <c r="DG7" i="10"/>
  <c r="BW6" i="10"/>
  <c r="CQ4" i="10"/>
  <c r="CH4" i="10"/>
  <c r="CN13" i="10"/>
  <c r="CM13" i="10"/>
  <c r="CO13" i="10"/>
  <c r="BY6" i="10"/>
  <c r="CP13" i="10"/>
  <c r="BX6" i="10"/>
  <c r="CA6" i="10" s="1"/>
  <c r="CR3" i="10"/>
  <c r="AQ4" i="10"/>
  <c r="AQ5" i="10"/>
  <c r="AQ6" i="10"/>
  <c r="AQ7" i="10"/>
  <c r="AQ8" i="10"/>
  <c r="AQ9" i="10"/>
  <c r="AQ10" i="10"/>
  <c r="AQ11" i="10"/>
  <c r="AQ12" i="10"/>
  <c r="AQ13" i="10"/>
  <c r="AQ14" i="10"/>
  <c r="AQ15" i="10"/>
  <c r="AQ16" i="10"/>
  <c r="AQ17" i="10"/>
  <c r="AQ18" i="10"/>
  <c r="AQ19" i="10"/>
  <c r="AQ20" i="10"/>
  <c r="AQ21" i="10"/>
  <c r="AQ22" i="10"/>
  <c r="AQ23" i="10"/>
  <c r="AQ24" i="10"/>
  <c r="AQ25" i="10"/>
  <c r="AQ26" i="10"/>
  <c r="AQ27" i="10"/>
  <c r="AQ28" i="10"/>
  <c r="AQ29" i="10"/>
  <c r="AQ30" i="10"/>
  <c r="AQ31" i="10"/>
  <c r="AQ32" i="10"/>
  <c r="AQ33" i="10"/>
  <c r="AQ34" i="10"/>
  <c r="AQ35" i="10"/>
  <c r="AQ36" i="10"/>
  <c r="AQ37" i="10"/>
  <c r="AQ38" i="10"/>
  <c r="AQ39" i="10"/>
  <c r="AQ40" i="10"/>
  <c r="AQ41" i="10"/>
  <c r="AQ42" i="10"/>
  <c r="AQ43" i="10"/>
  <c r="AQ44" i="10"/>
  <c r="AQ45" i="10"/>
  <c r="AQ46" i="10"/>
  <c r="AQ47" i="10"/>
  <c r="AQ48" i="10"/>
  <c r="AQ49" i="10"/>
  <c r="AQ50" i="10"/>
  <c r="AQ51" i="10"/>
  <c r="AQ52" i="10"/>
  <c r="AQ53" i="10"/>
  <c r="AQ54" i="10"/>
  <c r="AQ55" i="10"/>
  <c r="AQ56" i="10"/>
  <c r="AQ57" i="10"/>
  <c r="AQ58" i="10"/>
  <c r="AQ59" i="10"/>
  <c r="AQ60" i="10"/>
  <c r="AQ61" i="10"/>
  <c r="AQ62" i="10"/>
  <c r="AQ63" i="10"/>
  <c r="AQ64" i="10"/>
  <c r="AQ65" i="10"/>
  <c r="AQ66" i="10"/>
  <c r="AQ67" i="10"/>
  <c r="AQ68" i="10"/>
  <c r="AQ69" i="10"/>
  <c r="AQ70" i="10"/>
  <c r="AQ71" i="10"/>
  <c r="AQ72" i="10"/>
  <c r="AQ73" i="10"/>
  <c r="AQ74" i="10"/>
  <c r="AQ75" i="10"/>
  <c r="AQ76" i="10"/>
  <c r="AQ77" i="10"/>
  <c r="AQ78" i="10"/>
  <c r="AQ79" i="10"/>
  <c r="AQ80" i="10"/>
  <c r="AQ81" i="10"/>
  <c r="AQ82" i="10"/>
  <c r="AQ83" i="10"/>
  <c r="AQ84" i="10"/>
  <c r="AQ85" i="10"/>
  <c r="AQ86" i="10"/>
  <c r="AQ87" i="10"/>
  <c r="AQ88" i="10"/>
  <c r="AQ89" i="10"/>
  <c r="AQ90" i="10"/>
  <c r="AQ91" i="10"/>
  <c r="AQ92" i="10"/>
  <c r="AQ93" i="10"/>
  <c r="AQ94" i="10"/>
  <c r="AQ95" i="10"/>
  <c r="AQ96" i="10"/>
  <c r="AQ97" i="10"/>
  <c r="AQ98" i="10"/>
  <c r="AQ99" i="10"/>
  <c r="AQ100" i="10"/>
  <c r="AQ101" i="10"/>
  <c r="AQ102" i="10"/>
  <c r="AQ103" i="10"/>
  <c r="AQ104" i="10"/>
  <c r="AQ105" i="10"/>
  <c r="AQ106" i="10"/>
  <c r="AQ107" i="10"/>
  <c r="AQ108" i="10"/>
  <c r="AQ109" i="10"/>
  <c r="AQ110" i="10"/>
  <c r="AQ111" i="10"/>
  <c r="AQ112" i="10"/>
  <c r="AQ113" i="10"/>
  <c r="AQ114" i="10"/>
  <c r="AQ115" i="10"/>
  <c r="AQ116" i="10"/>
  <c r="AQ117" i="10"/>
  <c r="AQ118" i="10"/>
  <c r="AQ119" i="10"/>
  <c r="AQ120" i="10"/>
  <c r="AQ121" i="10"/>
  <c r="AQ122" i="10"/>
  <c r="AQ123" i="10"/>
  <c r="AQ124" i="10"/>
  <c r="AQ125" i="10"/>
  <c r="AQ126" i="10"/>
  <c r="AQ127" i="10"/>
  <c r="AQ128" i="10"/>
  <c r="AQ129" i="10"/>
  <c r="AQ130" i="10"/>
  <c r="AQ131" i="10"/>
  <c r="AQ132" i="10"/>
  <c r="AQ133" i="10"/>
  <c r="AQ134" i="10"/>
  <c r="AQ135" i="10"/>
  <c r="AQ136" i="10"/>
  <c r="AQ137" i="10"/>
  <c r="AQ138" i="10"/>
  <c r="AQ139" i="10"/>
  <c r="AQ140" i="10"/>
  <c r="AQ141" i="10"/>
  <c r="AQ142" i="10"/>
  <c r="AQ143" i="10"/>
  <c r="AQ144" i="10"/>
  <c r="AQ145" i="10"/>
  <c r="AQ146" i="10"/>
  <c r="AQ147" i="10"/>
  <c r="AQ148" i="10"/>
  <c r="AQ149" i="10"/>
  <c r="AQ150" i="10"/>
  <c r="AQ151" i="10"/>
  <c r="AQ152" i="10"/>
  <c r="AQ153" i="10"/>
  <c r="AQ154" i="10"/>
  <c r="AQ155" i="10"/>
  <c r="AQ156" i="10"/>
  <c r="AQ157" i="10"/>
  <c r="AQ158" i="10"/>
  <c r="AQ159" i="10"/>
  <c r="AQ160" i="10"/>
  <c r="AQ161" i="10"/>
  <c r="AQ162" i="10"/>
  <c r="AQ163" i="10"/>
  <c r="AQ164" i="10"/>
  <c r="AQ165" i="10"/>
  <c r="AQ166" i="10"/>
  <c r="AQ167" i="10"/>
  <c r="AQ168" i="10"/>
  <c r="AQ169" i="10"/>
  <c r="AQ170" i="10"/>
  <c r="AQ171" i="10"/>
  <c r="AQ172" i="10"/>
  <c r="AQ173" i="10"/>
  <c r="AQ174" i="10"/>
  <c r="AQ175" i="10"/>
  <c r="AQ176" i="10"/>
  <c r="AQ177" i="10"/>
  <c r="AQ178" i="10"/>
  <c r="AQ179" i="10"/>
  <c r="AQ180" i="10"/>
  <c r="AQ181" i="10"/>
  <c r="AQ182" i="10"/>
  <c r="AQ183" i="10"/>
  <c r="AQ184" i="10"/>
  <c r="AQ185" i="10"/>
  <c r="AQ186" i="10"/>
  <c r="AQ187" i="10"/>
  <c r="AQ188" i="10"/>
  <c r="AQ189" i="10"/>
  <c r="AQ190" i="10"/>
  <c r="AQ191" i="10"/>
  <c r="AQ192" i="10"/>
  <c r="AQ193" i="10"/>
  <c r="AQ194" i="10"/>
  <c r="AQ195" i="10"/>
  <c r="AQ196" i="10"/>
  <c r="AQ197" i="10"/>
  <c r="AQ198" i="10"/>
  <c r="AQ199" i="10"/>
  <c r="AQ200" i="10"/>
  <c r="AQ201" i="10"/>
  <c r="AQ202" i="10"/>
  <c r="AQ203" i="10"/>
  <c r="AQ204" i="10"/>
  <c r="AQ205" i="10"/>
  <c r="AQ206" i="10"/>
  <c r="AQ207" i="10"/>
  <c r="AQ208" i="10"/>
  <c r="AQ209" i="10"/>
  <c r="AQ210" i="10"/>
  <c r="AQ211" i="10"/>
  <c r="AQ212" i="10"/>
  <c r="AQ213" i="10"/>
  <c r="AQ214" i="10"/>
  <c r="AQ215" i="10"/>
  <c r="AQ216" i="10"/>
  <c r="AQ217" i="10"/>
  <c r="AQ218" i="10"/>
  <c r="AQ219" i="10"/>
  <c r="AQ220" i="10"/>
  <c r="AQ221" i="10"/>
  <c r="AQ222" i="10"/>
  <c r="AQ223" i="10"/>
  <c r="AQ224" i="10"/>
  <c r="AQ225" i="10"/>
  <c r="AQ226" i="10"/>
  <c r="AQ227" i="10"/>
  <c r="AQ228" i="10"/>
  <c r="AQ229" i="10"/>
  <c r="AQ230" i="10"/>
  <c r="AQ231" i="10"/>
  <c r="AQ232" i="10"/>
  <c r="AQ233" i="10"/>
  <c r="AQ234" i="10"/>
  <c r="AQ235" i="10"/>
  <c r="AQ236" i="10"/>
  <c r="AQ237" i="10"/>
  <c r="AQ238" i="10"/>
  <c r="AQ239" i="10"/>
  <c r="AQ240" i="10"/>
  <c r="AQ241" i="10"/>
  <c r="AQ242" i="10"/>
  <c r="AQ243" i="10"/>
  <c r="AQ244" i="10"/>
  <c r="AQ245" i="10"/>
  <c r="AQ246" i="10"/>
  <c r="AQ247" i="10"/>
  <c r="AQ248" i="10"/>
  <c r="AQ249" i="10"/>
  <c r="AQ250" i="10"/>
  <c r="AQ251" i="10"/>
  <c r="AQ252" i="10"/>
  <c r="AQ253" i="10"/>
  <c r="AQ254" i="10"/>
  <c r="AQ255" i="10"/>
  <c r="AQ256" i="10"/>
  <c r="AQ257" i="10"/>
  <c r="AQ258" i="10"/>
  <c r="AQ259" i="10"/>
  <c r="AQ260" i="10"/>
  <c r="AQ261" i="10"/>
  <c r="AQ262" i="10"/>
  <c r="AQ263" i="10"/>
  <c r="AQ264" i="10"/>
  <c r="AQ265" i="10"/>
  <c r="AQ266" i="10"/>
  <c r="AQ267" i="10"/>
  <c r="AQ268" i="10"/>
  <c r="AQ269" i="10"/>
  <c r="AQ270" i="10"/>
  <c r="AQ271" i="10"/>
  <c r="AQ272" i="10"/>
  <c r="AQ273" i="10"/>
  <c r="AQ274" i="10"/>
  <c r="AQ275" i="10"/>
  <c r="AQ276" i="10"/>
  <c r="AQ277" i="10"/>
  <c r="AQ278" i="10"/>
  <c r="AQ279" i="10"/>
  <c r="AQ280" i="10"/>
  <c r="AQ281" i="10"/>
  <c r="AQ282" i="10"/>
  <c r="AQ283" i="10"/>
  <c r="AQ284" i="10"/>
  <c r="AQ285" i="10"/>
  <c r="AQ286" i="10"/>
  <c r="AQ287" i="10"/>
  <c r="AQ288" i="10"/>
  <c r="AQ289" i="10"/>
  <c r="AQ290" i="10"/>
  <c r="AQ291" i="10"/>
  <c r="AQ292" i="10"/>
  <c r="AQ293" i="10"/>
  <c r="AQ294" i="10"/>
  <c r="AQ295" i="10"/>
  <c r="AQ296" i="10"/>
  <c r="AQ297" i="10"/>
  <c r="AQ298" i="10"/>
  <c r="AQ299" i="10"/>
  <c r="AQ300" i="10"/>
  <c r="AQ301" i="10"/>
  <c r="AQ302" i="10"/>
  <c r="AQ303" i="10"/>
  <c r="AQ304" i="10"/>
  <c r="AQ305" i="10"/>
  <c r="AQ306" i="10"/>
  <c r="AQ307" i="10"/>
  <c r="AQ308" i="10"/>
  <c r="AQ309" i="10"/>
  <c r="AQ310" i="10"/>
  <c r="AQ311" i="10"/>
  <c r="AQ312" i="10"/>
  <c r="AQ313" i="10"/>
  <c r="AQ314" i="10"/>
  <c r="AQ315" i="10"/>
  <c r="AQ316" i="10"/>
  <c r="AQ317" i="10"/>
  <c r="AQ318" i="10"/>
  <c r="AQ319" i="10"/>
  <c r="AQ320" i="10"/>
  <c r="AQ321" i="10"/>
  <c r="AQ322" i="10"/>
  <c r="AQ323" i="10"/>
  <c r="AQ324" i="10"/>
  <c r="AQ325" i="10"/>
  <c r="AQ326" i="10"/>
  <c r="AQ327" i="10"/>
  <c r="AQ328" i="10"/>
  <c r="AQ329" i="10"/>
  <c r="AQ330" i="10"/>
  <c r="AQ331" i="10"/>
  <c r="AQ332" i="10"/>
  <c r="AQ333" i="10"/>
  <c r="AQ334" i="10"/>
  <c r="AQ335" i="10"/>
  <c r="AQ336" i="10"/>
  <c r="AQ337" i="10"/>
  <c r="AQ338" i="10"/>
  <c r="AQ339" i="10"/>
  <c r="AQ340" i="10"/>
  <c r="AQ341" i="10"/>
  <c r="AQ342" i="10"/>
  <c r="AQ343" i="10"/>
  <c r="AQ344" i="10"/>
  <c r="AQ345" i="10"/>
  <c r="AQ346" i="10"/>
  <c r="AQ347" i="10"/>
  <c r="AQ348" i="10"/>
  <c r="AQ349" i="10"/>
  <c r="AQ350" i="10"/>
  <c r="AQ351" i="10"/>
  <c r="AQ352" i="10"/>
  <c r="AQ353" i="10"/>
  <c r="AQ354" i="10"/>
  <c r="AQ355" i="10"/>
  <c r="AQ356" i="10"/>
  <c r="AQ357" i="10"/>
  <c r="AQ358" i="10"/>
  <c r="AQ359" i="10"/>
  <c r="AQ360" i="10"/>
  <c r="AQ361" i="10"/>
  <c r="AQ362" i="10"/>
  <c r="AQ363" i="10"/>
  <c r="AQ364" i="10"/>
  <c r="AQ365" i="10"/>
  <c r="AQ366" i="10"/>
  <c r="AQ367" i="10"/>
  <c r="AQ368" i="10"/>
  <c r="AQ369" i="10"/>
  <c r="AQ370" i="10"/>
  <c r="AQ371" i="10"/>
  <c r="AQ372" i="10"/>
  <c r="AQ373" i="10"/>
  <c r="AQ374" i="10"/>
  <c r="AQ375" i="10"/>
  <c r="AQ376" i="10"/>
  <c r="AQ377" i="10"/>
  <c r="AQ378" i="10"/>
  <c r="AQ379" i="10"/>
  <c r="AQ380" i="10"/>
  <c r="AQ381" i="10"/>
  <c r="AQ382" i="10"/>
  <c r="AQ383" i="10"/>
  <c r="AQ384" i="10"/>
  <c r="AQ385" i="10"/>
  <c r="AQ386" i="10"/>
  <c r="AQ387" i="10"/>
  <c r="AQ388" i="10"/>
  <c r="AQ389" i="10"/>
  <c r="AQ390" i="10"/>
  <c r="AQ391" i="10"/>
  <c r="AQ392" i="10"/>
  <c r="AQ393" i="10"/>
  <c r="AQ394" i="10"/>
  <c r="AQ395" i="10"/>
  <c r="AQ396" i="10"/>
  <c r="AQ397" i="10"/>
  <c r="AQ398" i="10"/>
  <c r="AQ399" i="10"/>
  <c r="AQ400" i="10"/>
  <c r="AQ401" i="10"/>
  <c r="AQ402" i="10"/>
  <c r="AQ403" i="10"/>
  <c r="AQ404" i="10"/>
  <c r="AQ405" i="10"/>
  <c r="AQ406" i="10"/>
  <c r="AQ407" i="10"/>
  <c r="AQ408" i="10"/>
  <c r="AQ409" i="10"/>
  <c r="AQ410" i="10"/>
  <c r="AQ411" i="10"/>
  <c r="AQ412" i="10"/>
  <c r="AQ413" i="10"/>
  <c r="AQ414" i="10"/>
  <c r="AQ415" i="10"/>
  <c r="AQ416" i="10"/>
  <c r="AQ417" i="10"/>
  <c r="AQ418" i="10"/>
  <c r="AQ419" i="10"/>
  <c r="AQ420" i="10"/>
  <c r="AQ421" i="10"/>
  <c r="AQ422" i="10"/>
  <c r="AQ423" i="10"/>
  <c r="AQ424" i="10"/>
  <c r="AQ425" i="10"/>
  <c r="AQ426" i="10"/>
  <c r="AQ427" i="10"/>
  <c r="AQ428" i="10"/>
  <c r="AQ429" i="10"/>
  <c r="AQ430" i="10"/>
  <c r="AQ431" i="10"/>
  <c r="AQ432" i="10"/>
  <c r="AQ433" i="10"/>
  <c r="AQ434" i="10"/>
  <c r="AQ435" i="10"/>
  <c r="AQ436" i="10"/>
  <c r="AQ437" i="10"/>
  <c r="AQ438" i="10"/>
  <c r="AQ439" i="10"/>
  <c r="AQ440" i="10"/>
  <c r="AQ441" i="10"/>
  <c r="AQ442" i="10"/>
  <c r="AQ443" i="10"/>
  <c r="AQ444" i="10"/>
  <c r="AQ445" i="10"/>
  <c r="AQ446" i="10"/>
  <c r="AQ447" i="10"/>
  <c r="AQ448" i="10"/>
  <c r="AQ449" i="10"/>
  <c r="AQ450" i="10"/>
  <c r="AQ451" i="10"/>
  <c r="AQ452" i="10"/>
  <c r="AQ453" i="10"/>
  <c r="AQ454" i="10"/>
  <c r="AQ455" i="10"/>
  <c r="AQ456" i="10"/>
  <c r="AQ457" i="10"/>
  <c r="AQ458" i="10"/>
  <c r="AQ459" i="10"/>
  <c r="AQ460" i="10"/>
  <c r="AQ461" i="10"/>
  <c r="AQ462" i="10"/>
  <c r="AQ463" i="10"/>
  <c r="AQ464" i="10"/>
  <c r="AQ465" i="10"/>
  <c r="AQ466" i="10"/>
  <c r="AQ467" i="10"/>
  <c r="AQ468" i="10"/>
  <c r="AQ469" i="10"/>
  <c r="AQ470" i="10"/>
  <c r="AQ471" i="10"/>
  <c r="AQ472" i="10"/>
  <c r="AQ473" i="10"/>
  <c r="AQ474" i="10"/>
  <c r="AQ475" i="10"/>
  <c r="AQ476" i="10"/>
  <c r="AQ477" i="10"/>
  <c r="AQ478" i="10"/>
  <c r="AQ479" i="10"/>
  <c r="AQ480" i="10"/>
  <c r="AQ481" i="10"/>
  <c r="AQ482" i="10"/>
  <c r="AQ483" i="10"/>
  <c r="AQ484" i="10"/>
  <c r="AQ485" i="10"/>
  <c r="AQ486" i="10"/>
  <c r="AQ487" i="10"/>
  <c r="AQ488" i="10"/>
  <c r="AQ489" i="10"/>
  <c r="AQ490" i="10"/>
  <c r="AQ491" i="10"/>
  <c r="AQ492" i="10"/>
  <c r="AQ493" i="10"/>
  <c r="AQ494" i="10"/>
  <c r="AQ495" i="10"/>
  <c r="AQ496" i="10"/>
  <c r="AQ497" i="10"/>
  <c r="AQ498" i="10"/>
  <c r="AQ499" i="10"/>
  <c r="AQ500" i="10"/>
  <c r="AQ501" i="10"/>
  <c r="AQ502" i="10"/>
  <c r="AQ503" i="10"/>
  <c r="AQ504" i="10"/>
  <c r="AQ505" i="10"/>
  <c r="AQ506" i="10"/>
  <c r="AQ507" i="10"/>
  <c r="AQ508" i="10"/>
  <c r="AQ509" i="10"/>
  <c r="AQ510" i="10"/>
  <c r="AQ511" i="10"/>
  <c r="AQ512" i="10"/>
  <c r="AQ513" i="10"/>
  <c r="AQ514" i="10"/>
  <c r="AQ515" i="10"/>
  <c r="AQ516" i="10"/>
  <c r="AQ517" i="10"/>
  <c r="AQ518" i="10"/>
  <c r="AQ519" i="10"/>
  <c r="AQ520" i="10"/>
  <c r="AQ521" i="10"/>
  <c r="AQ522" i="10"/>
  <c r="AQ523" i="10"/>
  <c r="AQ524" i="10"/>
  <c r="AQ525" i="10"/>
  <c r="AQ526" i="10"/>
  <c r="AQ527" i="10"/>
  <c r="AQ528" i="10"/>
  <c r="AQ529" i="10"/>
  <c r="AQ530" i="10"/>
  <c r="AQ531" i="10"/>
  <c r="AQ532" i="10"/>
  <c r="AQ533" i="10"/>
  <c r="AQ534" i="10"/>
  <c r="AQ535" i="10"/>
  <c r="AQ536" i="10"/>
  <c r="AQ537" i="10"/>
  <c r="AQ538" i="10"/>
  <c r="AQ539" i="10"/>
  <c r="AQ540" i="10"/>
  <c r="AQ541" i="10"/>
  <c r="AQ542" i="10"/>
  <c r="AQ543" i="10"/>
  <c r="AQ544" i="10"/>
  <c r="AQ545" i="10"/>
  <c r="AQ546" i="10"/>
  <c r="AQ547" i="10"/>
  <c r="AQ548" i="10"/>
  <c r="AQ549" i="10"/>
  <c r="AQ550" i="10"/>
  <c r="AQ551" i="10"/>
  <c r="AQ552" i="10"/>
  <c r="AQ553" i="10"/>
  <c r="AQ554" i="10"/>
  <c r="AQ555" i="10"/>
  <c r="AQ556" i="10"/>
  <c r="AQ557" i="10"/>
  <c r="AQ558" i="10"/>
  <c r="AQ559" i="10"/>
  <c r="AQ560" i="10"/>
  <c r="AQ561" i="10"/>
  <c r="AQ562" i="10"/>
  <c r="AQ563" i="10"/>
  <c r="AQ564" i="10"/>
  <c r="AQ565" i="10"/>
  <c r="AQ566" i="10"/>
  <c r="AQ567" i="10"/>
  <c r="AQ568" i="10"/>
  <c r="AQ569" i="10"/>
  <c r="AQ570" i="10"/>
  <c r="AQ571" i="10"/>
  <c r="AQ572" i="10"/>
  <c r="AQ573" i="10"/>
  <c r="AQ574" i="10"/>
  <c r="AQ575" i="10"/>
  <c r="AQ576" i="10"/>
  <c r="AQ577" i="10"/>
  <c r="AQ578" i="10"/>
  <c r="AQ579" i="10"/>
  <c r="AQ580" i="10"/>
  <c r="AQ581" i="10"/>
  <c r="AQ582" i="10"/>
  <c r="AQ583" i="10"/>
  <c r="AQ584" i="10"/>
  <c r="AQ585" i="10"/>
  <c r="AQ586" i="10"/>
  <c r="AQ587" i="10"/>
  <c r="AQ588" i="10"/>
  <c r="AQ589" i="10"/>
  <c r="AQ590" i="10"/>
  <c r="AQ591" i="10"/>
  <c r="AQ592" i="10"/>
  <c r="AQ593" i="10"/>
  <c r="AQ594" i="10"/>
  <c r="AQ595" i="10"/>
  <c r="AQ596" i="10"/>
  <c r="AQ597" i="10"/>
  <c r="AQ598" i="10"/>
  <c r="AQ599" i="10"/>
  <c r="AQ600" i="10"/>
  <c r="AQ601" i="10"/>
  <c r="AQ602" i="10"/>
  <c r="AQ603" i="10"/>
  <c r="AQ604" i="10"/>
  <c r="AQ605" i="10"/>
  <c r="AQ606" i="10"/>
  <c r="AQ607" i="10"/>
  <c r="AQ608" i="10"/>
  <c r="AQ609" i="10"/>
  <c r="AQ610" i="10"/>
  <c r="AQ611" i="10"/>
  <c r="AQ612" i="10"/>
  <c r="AQ613" i="10"/>
  <c r="AQ614" i="10"/>
  <c r="AQ615" i="10"/>
  <c r="AQ616" i="10"/>
  <c r="AQ617" i="10"/>
  <c r="AQ618" i="10"/>
  <c r="AQ619" i="10"/>
  <c r="AQ620" i="10"/>
  <c r="AQ621" i="10"/>
  <c r="AQ622" i="10"/>
  <c r="AQ623" i="10"/>
  <c r="AQ624" i="10"/>
  <c r="AQ625" i="10"/>
  <c r="AQ626" i="10"/>
  <c r="AQ627" i="10"/>
  <c r="AQ628" i="10"/>
  <c r="AQ629" i="10"/>
  <c r="AQ630" i="10"/>
  <c r="AQ631" i="10"/>
  <c r="AQ632" i="10"/>
  <c r="AQ633" i="10"/>
  <c r="AQ634" i="10"/>
  <c r="AQ635" i="10"/>
  <c r="AQ636" i="10"/>
  <c r="AQ637" i="10"/>
  <c r="AQ638" i="10"/>
  <c r="AQ639" i="10"/>
  <c r="AQ640" i="10"/>
  <c r="AQ641" i="10"/>
  <c r="AQ642" i="10"/>
  <c r="AQ643" i="10"/>
  <c r="AQ644" i="10"/>
  <c r="AQ645" i="10"/>
  <c r="AQ646" i="10"/>
  <c r="AQ647" i="10"/>
  <c r="AQ648" i="10"/>
  <c r="AQ649" i="10"/>
  <c r="AQ650" i="10"/>
  <c r="AQ651" i="10"/>
  <c r="AQ652" i="10"/>
  <c r="AQ653" i="10"/>
  <c r="AQ654" i="10"/>
  <c r="AQ655" i="10"/>
  <c r="AQ656" i="10"/>
  <c r="AQ657" i="10"/>
  <c r="AQ658" i="10"/>
  <c r="AQ659" i="10"/>
  <c r="AQ660" i="10"/>
  <c r="AQ661" i="10"/>
  <c r="AQ662" i="10"/>
  <c r="AQ663" i="10"/>
  <c r="AQ664" i="10"/>
  <c r="AQ665" i="10"/>
  <c r="AQ666" i="10"/>
  <c r="AQ667" i="10"/>
  <c r="AQ668" i="10"/>
  <c r="AQ669" i="10"/>
  <c r="AQ670" i="10"/>
  <c r="AQ671" i="10"/>
  <c r="AQ672" i="10"/>
  <c r="AQ673" i="10"/>
  <c r="AQ674" i="10"/>
  <c r="AQ675" i="10"/>
  <c r="AQ676" i="10"/>
  <c r="AQ677" i="10"/>
  <c r="AQ678" i="10"/>
  <c r="AQ679" i="10"/>
  <c r="AQ680" i="10"/>
  <c r="AQ681" i="10"/>
  <c r="AQ682" i="10"/>
  <c r="AQ683" i="10"/>
  <c r="AQ684" i="10"/>
  <c r="AQ685" i="10"/>
  <c r="AQ686" i="10"/>
  <c r="AQ687" i="10"/>
  <c r="AQ688" i="10"/>
  <c r="AQ689" i="10"/>
  <c r="AQ690" i="10"/>
  <c r="AQ691" i="10"/>
  <c r="AQ692" i="10"/>
  <c r="AQ693" i="10"/>
  <c r="AQ694" i="10"/>
  <c r="AQ695" i="10"/>
  <c r="AQ696" i="10"/>
  <c r="AQ697" i="10"/>
  <c r="AQ698" i="10"/>
  <c r="AQ699" i="10"/>
  <c r="AQ700" i="10"/>
  <c r="AQ701" i="10"/>
  <c r="AQ702" i="10"/>
  <c r="AQ703" i="10"/>
  <c r="AQ704" i="10"/>
  <c r="AQ705" i="10"/>
  <c r="AQ706" i="10"/>
  <c r="AQ707" i="10"/>
  <c r="AQ708" i="10"/>
  <c r="AQ709" i="10"/>
  <c r="AQ710" i="10"/>
  <c r="AQ711" i="10"/>
  <c r="AQ712" i="10"/>
  <c r="AQ713" i="10"/>
  <c r="AQ714" i="10"/>
  <c r="AQ715" i="10"/>
  <c r="AQ716" i="10"/>
  <c r="AQ717" i="10"/>
  <c r="AQ718" i="10"/>
  <c r="AQ719" i="10"/>
  <c r="AQ720" i="10"/>
  <c r="AQ721" i="10"/>
  <c r="AQ722" i="10"/>
  <c r="AQ723" i="10"/>
  <c r="AQ724" i="10"/>
  <c r="AQ725" i="10"/>
  <c r="AQ726" i="10"/>
  <c r="AQ727" i="10"/>
  <c r="AQ728" i="10"/>
  <c r="AQ729" i="10"/>
  <c r="AQ730" i="10"/>
  <c r="AQ731" i="10"/>
  <c r="AQ732" i="10"/>
  <c r="AQ733" i="10"/>
  <c r="AQ734" i="10"/>
  <c r="AQ735" i="10"/>
  <c r="AQ736" i="10"/>
  <c r="AQ737" i="10"/>
  <c r="AQ738" i="10"/>
  <c r="AQ739" i="10"/>
  <c r="AQ740" i="10"/>
  <c r="AQ741" i="10"/>
  <c r="AQ742" i="10"/>
  <c r="AQ743" i="10"/>
  <c r="AQ744" i="10"/>
  <c r="AQ745" i="10"/>
  <c r="AQ746" i="10"/>
  <c r="AQ747" i="10"/>
  <c r="AQ748" i="10"/>
  <c r="AQ749" i="10"/>
  <c r="AQ750" i="10"/>
  <c r="AQ751" i="10"/>
  <c r="AQ752" i="10"/>
  <c r="AQ753" i="10"/>
  <c r="AQ754" i="10"/>
  <c r="AQ755" i="10"/>
  <c r="AQ756" i="10"/>
  <c r="AQ757" i="10"/>
  <c r="AQ758" i="10"/>
  <c r="AQ759" i="10"/>
  <c r="AQ760" i="10"/>
  <c r="AQ761" i="10"/>
  <c r="AQ762" i="10"/>
  <c r="AQ763" i="10"/>
  <c r="AQ764" i="10"/>
  <c r="AQ765" i="10"/>
  <c r="AQ766" i="10"/>
  <c r="AQ767" i="10"/>
  <c r="AQ768" i="10"/>
  <c r="AQ769" i="10"/>
  <c r="AQ770" i="10"/>
  <c r="AQ771" i="10"/>
  <c r="AQ772" i="10"/>
  <c r="AQ773" i="10"/>
  <c r="AQ774" i="10"/>
  <c r="AQ775" i="10"/>
  <c r="AQ776" i="10"/>
  <c r="AQ777" i="10"/>
  <c r="AQ778" i="10"/>
  <c r="AQ779" i="10"/>
  <c r="AQ780" i="10"/>
  <c r="AQ781" i="10"/>
  <c r="AQ782" i="10"/>
  <c r="AQ783" i="10"/>
  <c r="AQ784" i="10"/>
  <c r="AQ785" i="10"/>
  <c r="AQ786" i="10"/>
  <c r="AQ787" i="10"/>
  <c r="AQ788" i="10"/>
  <c r="AQ789" i="10"/>
  <c r="AQ790" i="10"/>
  <c r="AQ791" i="10"/>
  <c r="AQ792" i="10"/>
  <c r="AQ793" i="10"/>
  <c r="AQ794" i="10"/>
  <c r="AQ795" i="10"/>
  <c r="AQ796" i="10"/>
  <c r="AQ797" i="10"/>
  <c r="AQ798" i="10"/>
  <c r="AQ799" i="10"/>
  <c r="AQ800" i="10"/>
  <c r="AQ801" i="10"/>
  <c r="AQ802" i="10"/>
  <c r="AQ803" i="10"/>
  <c r="AQ804" i="10"/>
  <c r="AQ805" i="10"/>
  <c r="AQ806" i="10"/>
  <c r="AQ807" i="10"/>
  <c r="AQ808" i="10"/>
  <c r="AQ809" i="10"/>
  <c r="AQ810" i="10"/>
  <c r="AQ811" i="10"/>
  <c r="AQ812" i="10"/>
  <c r="AQ813" i="10"/>
  <c r="AQ814" i="10"/>
  <c r="AQ815" i="10"/>
  <c r="AQ816" i="10"/>
  <c r="AQ817" i="10"/>
  <c r="AQ818" i="10"/>
  <c r="AQ819" i="10"/>
  <c r="AQ820" i="10"/>
  <c r="AQ821" i="10"/>
  <c r="AQ822" i="10"/>
  <c r="AQ823" i="10"/>
  <c r="AQ824" i="10"/>
  <c r="AQ825" i="10"/>
  <c r="AQ826" i="10"/>
  <c r="AQ827" i="10"/>
  <c r="AQ828" i="10"/>
  <c r="AQ829" i="10"/>
  <c r="AQ830" i="10"/>
  <c r="AQ831" i="10"/>
  <c r="AQ832" i="10"/>
  <c r="AQ833" i="10"/>
  <c r="AQ834" i="10"/>
  <c r="AQ835" i="10"/>
  <c r="AQ836" i="10"/>
  <c r="AQ837" i="10"/>
  <c r="AQ838" i="10"/>
  <c r="AQ839" i="10"/>
  <c r="AQ840" i="10"/>
  <c r="AQ841" i="10"/>
  <c r="AQ842" i="10"/>
  <c r="AQ843" i="10"/>
  <c r="AQ844" i="10"/>
  <c r="AQ845" i="10"/>
  <c r="AQ846" i="10"/>
  <c r="AQ847" i="10"/>
  <c r="AQ848" i="10"/>
  <c r="AQ849" i="10"/>
  <c r="AQ850" i="10"/>
  <c r="AQ851" i="10"/>
  <c r="AQ852" i="10"/>
  <c r="AQ853" i="10"/>
  <c r="AQ854" i="10"/>
  <c r="AQ855" i="10"/>
  <c r="AQ856" i="10"/>
  <c r="AQ857" i="10"/>
  <c r="AQ858" i="10"/>
  <c r="AQ859" i="10"/>
  <c r="AQ860" i="10"/>
  <c r="AQ861" i="10"/>
  <c r="AQ862" i="10"/>
  <c r="AQ863" i="10"/>
  <c r="AQ864" i="10"/>
  <c r="AQ865" i="10"/>
  <c r="AQ866" i="10"/>
  <c r="AQ867" i="10"/>
  <c r="AQ868" i="10"/>
  <c r="AQ869" i="10"/>
  <c r="AQ870" i="10"/>
  <c r="AQ871" i="10"/>
  <c r="AQ872" i="10"/>
  <c r="AQ873" i="10"/>
  <c r="AQ874" i="10"/>
  <c r="AQ875" i="10"/>
  <c r="AQ876" i="10"/>
  <c r="AQ877" i="10"/>
  <c r="AQ878" i="10"/>
  <c r="AQ879" i="10"/>
  <c r="AQ880" i="10"/>
  <c r="AQ881" i="10"/>
  <c r="AQ882" i="10"/>
  <c r="AQ883" i="10"/>
  <c r="AQ884" i="10"/>
  <c r="AQ885" i="10"/>
  <c r="AQ886" i="10"/>
  <c r="AQ887" i="10"/>
  <c r="AQ888" i="10"/>
  <c r="AQ889" i="10"/>
  <c r="AQ890" i="10"/>
  <c r="AQ891" i="10"/>
  <c r="AQ892" i="10"/>
  <c r="AQ893" i="10"/>
  <c r="AQ894" i="10"/>
  <c r="AQ895" i="10"/>
  <c r="AQ896" i="10"/>
  <c r="AQ897" i="10"/>
  <c r="AQ898" i="10"/>
  <c r="AQ899" i="10"/>
  <c r="AQ900" i="10"/>
  <c r="AQ901" i="10"/>
  <c r="AQ902" i="10"/>
  <c r="AQ3" i="10"/>
  <c r="AP4" i="10"/>
  <c r="AP5" i="10"/>
  <c r="AP6" i="10"/>
  <c r="AP7" i="10"/>
  <c r="AP8" i="10"/>
  <c r="AP9" i="10"/>
  <c r="AP10" i="10"/>
  <c r="AP11" i="10"/>
  <c r="AP12" i="10"/>
  <c r="AP13" i="10"/>
  <c r="AP14" i="10"/>
  <c r="AP15" i="10"/>
  <c r="AP16" i="10"/>
  <c r="AP17" i="10"/>
  <c r="AP18" i="10"/>
  <c r="AP19" i="10"/>
  <c r="AP20" i="10"/>
  <c r="AP21" i="10"/>
  <c r="AP22" i="10"/>
  <c r="AP23" i="10"/>
  <c r="AP24" i="10"/>
  <c r="AP25" i="10"/>
  <c r="AP26" i="10"/>
  <c r="AP27" i="10"/>
  <c r="AP28" i="10"/>
  <c r="AP29" i="10"/>
  <c r="AP30" i="10"/>
  <c r="AP31" i="10"/>
  <c r="AP32" i="10"/>
  <c r="AP33" i="10"/>
  <c r="AP34" i="10"/>
  <c r="AP35" i="10"/>
  <c r="AP36" i="10"/>
  <c r="AP37" i="10"/>
  <c r="AP38" i="10"/>
  <c r="AP39" i="10"/>
  <c r="AP40" i="10"/>
  <c r="AP41" i="10"/>
  <c r="AP42" i="10"/>
  <c r="AP43" i="10"/>
  <c r="AP44" i="10"/>
  <c r="AP45" i="10"/>
  <c r="AP46" i="10"/>
  <c r="AP47" i="10"/>
  <c r="AP48" i="10"/>
  <c r="AP49" i="10"/>
  <c r="AP50" i="10"/>
  <c r="AP51" i="10"/>
  <c r="AP52" i="10"/>
  <c r="AP53" i="10"/>
  <c r="AP54" i="10"/>
  <c r="AP55" i="10"/>
  <c r="AP56" i="10"/>
  <c r="AP57" i="10"/>
  <c r="AP58" i="10"/>
  <c r="AP59" i="10"/>
  <c r="AP60" i="10"/>
  <c r="AP61" i="10"/>
  <c r="AP62" i="10"/>
  <c r="AP63" i="10"/>
  <c r="AP64" i="10"/>
  <c r="AP65" i="10"/>
  <c r="AP66" i="10"/>
  <c r="AP67" i="10"/>
  <c r="AP68" i="10"/>
  <c r="AP69" i="10"/>
  <c r="AP70" i="10"/>
  <c r="AP71" i="10"/>
  <c r="AP72" i="10"/>
  <c r="AP73" i="10"/>
  <c r="AP74" i="10"/>
  <c r="AP75" i="10"/>
  <c r="AP76" i="10"/>
  <c r="AP77" i="10"/>
  <c r="AP78" i="10"/>
  <c r="AP79" i="10"/>
  <c r="AP80" i="10"/>
  <c r="AP81" i="10"/>
  <c r="AP82" i="10"/>
  <c r="AP83" i="10"/>
  <c r="AP84" i="10"/>
  <c r="AP85" i="10"/>
  <c r="AP86" i="10"/>
  <c r="AP87" i="10"/>
  <c r="AP88" i="10"/>
  <c r="AP89" i="10"/>
  <c r="AP90" i="10"/>
  <c r="AP91" i="10"/>
  <c r="AP92" i="10"/>
  <c r="AP93" i="10"/>
  <c r="AP94" i="10"/>
  <c r="AP95" i="10"/>
  <c r="AP96" i="10"/>
  <c r="AP97" i="10"/>
  <c r="AP98" i="10"/>
  <c r="AP99" i="10"/>
  <c r="AP100" i="10"/>
  <c r="AP101" i="10"/>
  <c r="AP102" i="10"/>
  <c r="AP103" i="10"/>
  <c r="AP104" i="10"/>
  <c r="AP105" i="10"/>
  <c r="AP106" i="10"/>
  <c r="AP107" i="10"/>
  <c r="AP108" i="10"/>
  <c r="AP109" i="10"/>
  <c r="AP110" i="10"/>
  <c r="AP111" i="10"/>
  <c r="AP112" i="10"/>
  <c r="AP113" i="10"/>
  <c r="AP114" i="10"/>
  <c r="AP115" i="10"/>
  <c r="AP116" i="10"/>
  <c r="AP117" i="10"/>
  <c r="AP118" i="10"/>
  <c r="AP119" i="10"/>
  <c r="AP120" i="10"/>
  <c r="AP121" i="10"/>
  <c r="AP122" i="10"/>
  <c r="AP123" i="10"/>
  <c r="AP124" i="10"/>
  <c r="AP125" i="10"/>
  <c r="AP126" i="10"/>
  <c r="AP127" i="10"/>
  <c r="AP128" i="10"/>
  <c r="AP129" i="10"/>
  <c r="AP130" i="10"/>
  <c r="AP131" i="10"/>
  <c r="AP132" i="10"/>
  <c r="AP133" i="10"/>
  <c r="AP134" i="10"/>
  <c r="AP135" i="10"/>
  <c r="AP136" i="10"/>
  <c r="AP137" i="10"/>
  <c r="AP138" i="10"/>
  <c r="AP139" i="10"/>
  <c r="AP140" i="10"/>
  <c r="AP141" i="10"/>
  <c r="AP142" i="10"/>
  <c r="AP143" i="10"/>
  <c r="AP144" i="10"/>
  <c r="AP145" i="10"/>
  <c r="AP146" i="10"/>
  <c r="AP147" i="10"/>
  <c r="AP148" i="10"/>
  <c r="AP149" i="10"/>
  <c r="AP150" i="10"/>
  <c r="AP151" i="10"/>
  <c r="AP152" i="10"/>
  <c r="AP153" i="10"/>
  <c r="AP154" i="10"/>
  <c r="AP155" i="10"/>
  <c r="AP156" i="10"/>
  <c r="AP157" i="10"/>
  <c r="AP158" i="10"/>
  <c r="AP159" i="10"/>
  <c r="AP160" i="10"/>
  <c r="AP161" i="10"/>
  <c r="AP162" i="10"/>
  <c r="AP163" i="10"/>
  <c r="AP164" i="10"/>
  <c r="AP165" i="10"/>
  <c r="AP166" i="10"/>
  <c r="AP167" i="10"/>
  <c r="AP168" i="10"/>
  <c r="AP169" i="10"/>
  <c r="AP170" i="10"/>
  <c r="AP171" i="10"/>
  <c r="AP172" i="10"/>
  <c r="AP173" i="10"/>
  <c r="AP174" i="10"/>
  <c r="AP175" i="10"/>
  <c r="AP176" i="10"/>
  <c r="AP177" i="10"/>
  <c r="AP178" i="10"/>
  <c r="AP179" i="10"/>
  <c r="AP180" i="10"/>
  <c r="AP181" i="10"/>
  <c r="AP182" i="10"/>
  <c r="AP183" i="10"/>
  <c r="AP184" i="10"/>
  <c r="AP185" i="10"/>
  <c r="AP186" i="10"/>
  <c r="AP187" i="10"/>
  <c r="AP188" i="10"/>
  <c r="AP189" i="10"/>
  <c r="AP190" i="10"/>
  <c r="AP191" i="10"/>
  <c r="AP192" i="10"/>
  <c r="AP193" i="10"/>
  <c r="AP194" i="10"/>
  <c r="AP195" i="10"/>
  <c r="AP196" i="10"/>
  <c r="AP197" i="10"/>
  <c r="AP198" i="10"/>
  <c r="AP199" i="10"/>
  <c r="AP200" i="10"/>
  <c r="AP201" i="10"/>
  <c r="AP202" i="10"/>
  <c r="AP203" i="10"/>
  <c r="AP204" i="10"/>
  <c r="AP205" i="10"/>
  <c r="AP206" i="10"/>
  <c r="AP207" i="10"/>
  <c r="AP208" i="10"/>
  <c r="AP209" i="10"/>
  <c r="AP210" i="10"/>
  <c r="AP211" i="10"/>
  <c r="AP212" i="10"/>
  <c r="AP213" i="10"/>
  <c r="AP214" i="10"/>
  <c r="AP215" i="10"/>
  <c r="AP216" i="10"/>
  <c r="AP217" i="10"/>
  <c r="AP218" i="10"/>
  <c r="AP219" i="10"/>
  <c r="AP220" i="10"/>
  <c r="AP221" i="10"/>
  <c r="AP222" i="10"/>
  <c r="AP223" i="10"/>
  <c r="AP224" i="10"/>
  <c r="AP225" i="10"/>
  <c r="AP226" i="10"/>
  <c r="AP227" i="10"/>
  <c r="AP228" i="10"/>
  <c r="AP229" i="10"/>
  <c r="AP230" i="10"/>
  <c r="AP231" i="10"/>
  <c r="AP232" i="10"/>
  <c r="AP233" i="10"/>
  <c r="AP234" i="10"/>
  <c r="AP235" i="10"/>
  <c r="AP236" i="10"/>
  <c r="AP237" i="10"/>
  <c r="AP238" i="10"/>
  <c r="AP239" i="10"/>
  <c r="AP240" i="10"/>
  <c r="AP241" i="10"/>
  <c r="AP242" i="10"/>
  <c r="AP243" i="10"/>
  <c r="AP244" i="10"/>
  <c r="AP245" i="10"/>
  <c r="AP246" i="10"/>
  <c r="AP247" i="10"/>
  <c r="AP248" i="10"/>
  <c r="AP249" i="10"/>
  <c r="AP250" i="10"/>
  <c r="AP251" i="10"/>
  <c r="AP252" i="10"/>
  <c r="AP253" i="10"/>
  <c r="AP254" i="10"/>
  <c r="AP255" i="10"/>
  <c r="AP256" i="10"/>
  <c r="AP257" i="10"/>
  <c r="AP258" i="10"/>
  <c r="AP259" i="10"/>
  <c r="AP260" i="10"/>
  <c r="AP261" i="10"/>
  <c r="AP262" i="10"/>
  <c r="AP263" i="10"/>
  <c r="AP264" i="10"/>
  <c r="AP265" i="10"/>
  <c r="AP266" i="10"/>
  <c r="AP267" i="10"/>
  <c r="AP268" i="10"/>
  <c r="AP269" i="10"/>
  <c r="AP270" i="10"/>
  <c r="AP271" i="10"/>
  <c r="AP272" i="10"/>
  <c r="AP273" i="10"/>
  <c r="AP274" i="10"/>
  <c r="AP275" i="10"/>
  <c r="AP276" i="10"/>
  <c r="AP277" i="10"/>
  <c r="AP278" i="10"/>
  <c r="AP279" i="10"/>
  <c r="AP280" i="10"/>
  <c r="AP281" i="10"/>
  <c r="AP282" i="10"/>
  <c r="AP283" i="10"/>
  <c r="AP284" i="10"/>
  <c r="AP285" i="10"/>
  <c r="AP286" i="10"/>
  <c r="AP287" i="10"/>
  <c r="AP288" i="10"/>
  <c r="AP289" i="10"/>
  <c r="AP290" i="10"/>
  <c r="AP291" i="10"/>
  <c r="AP292" i="10"/>
  <c r="AP293" i="10"/>
  <c r="AP294" i="10"/>
  <c r="AP295" i="10"/>
  <c r="AP296" i="10"/>
  <c r="AP297" i="10"/>
  <c r="AP298" i="10"/>
  <c r="AP299" i="10"/>
  <c r="AP300" i="10"/>
  <c r="AP301" i="10"/>
  <c r="AP302" i="10"/>
  <c r="AP303" i="10"/>
  <c r="AP304" i="10"/>
  <c r="AP305" i="10"/>
  <c r="AP306" i="10"/>
  <c r="AP307" i="10"/>
  <c r="AP308" i="10"/>
  <c r="AP309" i="10"/>
  <c r="AP310" i="10"/>
  <c r="AP311" i="10"/>
  <c r="AP312" i="10"/>
  <c r="AP313" i="10"/>
  <c r="AP314" i="10"/>
  <c r="AP315" i="10"/>
  <c r="AP316" i="10"/>
  <c r="AP317" i="10"/>
  <c r="AP318" i="10"/>
  <c r="AP319" i="10"/>
  <c r="AP320" i="10"/>
  <c r="AP321" i="10"/>
  <c r="AP322" i="10"/>
  <c r="AP323" i="10"/>
  <c r="AP324" i="10"/>
  <c r="AP325" i="10"/>
  <c r="AP326" i="10"/>
  <c r="AP327" i="10"/>
  <c r="AP328" i="10"/>
  <c r="AP329" i="10"/>
  <c r="AP330" i="10"/>
  <c r="AP331" i="10"/>
  <c r="AP332" i="10"/>
  <c r="AP333" i="10"/>
  <c r="AP334" i="10"/>
  <c r="AP335" i="10"/>
  <c r="AP336" i="10"/>
  <c r="AP337" i="10"/>
  <c r="AP338" i="10"/>
  <c r="AP339" i="10"/>
  <c r="AP340" i="10"/>
  <c r="AP341" i="10"/>
  <c r="AP342" i="10"/>
  <c r="AP343" i="10"/>
  <c r="AP344" i="10"/>
  <c r="AP345" i="10"/>
  <c r="AP346" i="10"/>
  <c r="AP347" i="10"/>
  <c r="AP348" i="10"/>
  <c r="AP349" i="10"/>
  <c r="AP350" i="10"/>
  <c r="AP351" i="10"/>
  <c r="AP352" i="10"/>
  <c r="AP353" i="10"/>
  <c r="AP354" i="10"/>
  <c r="AP355" i="10"/>
  <c r="AP356" i="10"/>
  <c r="AP357" i="10"/>
  <c r="AP358" i="10"/>
  <c r="AP359" i="10"/>
  <c r="AP360" i="10"/>
  <c r="AP361" i="10"/>
  <c r="AP362" i="10"/>
  <c r="AP363" i="10"/>
  <c r="AP364" i="10"/>
  <c r="AP365" i="10"/>
  <c r="AP366" i="10"/>
  <c r="AP367" i="10"/>
  <c r="AP368" i="10"/>
  <c r="AP369" i="10"/>
  <c r="AP370" i="10"/>
  <c r="AP371" i="10"/>
  <c r="AP372" i="10"/>
  <c r="AP373" i="10"/>
  <c r="AP374" i="10"/>
  <c r="AP375" i="10"/>
  <c r="AP376" i="10"/>
  <c r="AP377" i="10"/>
  <c r="AP378" i="10"/>
  <c r="AP379" i="10"/>
  <c r="AP380" i="10"/>
  <c r="AP381" i="10"/>
  <c r="AP382" i="10"/>
  <c r="AP383" i="10"/>
  <c r="AP384" i="10"/>
  <c r="AP385" i="10"/>
  <c r="AP386" i="10"/>
  <c r="AP387" i="10"/>
  <c r="AP388" i="10"/>
  <c r="AP389" i="10"/>
  <c r="AP390" i="10"/>
  <c r="AP391" i="10"/>
  <c r="AP392" i="10"/>
  <c r="AP393" i="10"/>
  <c r="AP394" i="10"/>
  <c r="AP395" i="10"/>
  <c r="AP396" i="10"/>
  <c r="AP397" i="10"/>
  <c r="AP398" i="10"/>
  <c r="AP399" i="10"/>
  <c r="AP400" i="10"/>
  <c r="AP401" i="10"/>
  <c r="AP402" i="10"/>
  <c r="AP403" i="10"/>
  <c r="AP404" i="10"/>
  <c r="AP405" i="10"/>
  <c r="AP406" i="10"/>
  <c r="AP407" i="10"/>
  <c r="AP408" i="10"/>
  <c r="AP409" i="10"/>
  <c r="AP410" i="10"/>
  <c r="AP411" i="10"/>
  <c r="AP412" i="10"/>
  <c r="AP413" i="10"/>
  <c r="AP414" i="10"/>
  <c r="AP415" i="10"/>
  <c r="AP416" i="10"/>
  <c r="AP417" i="10"/>
  <c r="AP418" i="10"/>
  <c r="AP419" i="10"/>
  <c r="AP420" i="10"/>
  <c r="AP421" i="10"/>
  <c r="AP422" i="10"/>
  <c r="AP423" i="10"/>
  <c r="AP424" i="10"/>
  <c r="AP425" i="10"/>
  <c r="AP426" i="10"/>
  <c r="AP427" i="10"/>
  <c r="AP428" i="10"/>
  <c r="AP429" i="10"/>
  <c r="AP430" i="10"/>
  <c r="AP431" i="10"/>
  <c r="AP432" i="10"/>
  <c r="AP433" i="10"/>
  <c r="AP434" i="10"/>
  <c r="AP435" i="10"/>
  <c r="AP436" i="10"/>
  <c r="AP437" i="10"/>
  <c r="AP438" i="10"/>
  <c r="AP439" i="10"/>
  <c r="AP440" i="10"/>
  <c r="AP441" i="10"/>
  <c r="AP442" i="10"/>
  <c r="AP443" i="10"/>
  <c r="AP444" i="10"/>
  <c r="AP445" i="10"/>
  <c r="AP446" i="10"/>
  <c r="AP447" i="10"/>
  <c r="AP448" i="10"/>
  <c r="AP449" i="10"/>
  <c r="AP450" i="10"/>
  <c r="AP451" i="10"/>
  <c r="AP452" i="10"/>
  <c r="AP453" i="10"/>
  <c r="AP454" i="10"/>
  <c r="AP455" i="10"/>
  <c r="AP456" i="10"/>
  <c r="AP457" i="10"/>
  <c r="AP458" i="10"/>
  <c r="AP459" i="10"/>
  <c r="AP460" i="10"/>
  <c r="AP461" i="10"/>
  <c r="AP462" i="10"/>
  <c r="AP463" i="10"/>
  <c r="AP464" i="10"/>
  <c r="AP465" i="10"/>
  <c r="AP466" i="10"/>
  <c r="AP467" i="10"/>
  <c r="AP468" i="10"/>
  <c r="AP469" i="10"/>
  <c r="AP470" i="10"/>
  <c r="AP471" i="10"/>
  <c r="AP472" i="10"/>
  <c r="AP473" i="10"/>
  <c r="AP474" i="10"/>
  <c r="AP475" i="10"/>
  <c r="AP476" i="10"/>
  <c r="AP477" i="10"/>
  <c r="AP478" i="10"/>
  <c r="AP479" i="10"/>
  <c r="AP480" i="10"/>
  <c r="AP481" i="10"/>
  <c r="AP482" i="10"/>
  <c r="AP483" i="10"/>
  <c r="AP484" i="10"/>
  <c r="AP485" i="10"/>
  <c r="AP486" i="10"/>
  <c r="AP487" i="10"/>
  <c r="AP488" i="10"/>
  <c r="AP489" i="10"/>
  <c r="AP490" i="10"/>
  <c r="AP491" i="10"/>
  <c r="AP492" i="10"/>
  <c r="AP493" i="10"/>
  <c r="AP494" i="10"/>
  <c r="AP495" i="10"/>
  <c r="AP496" i="10"/>
  <c r="AP497" i="10"/>
  <c r="AP498" i="10"/>
  <c r="AP499" i="10"/>
  <c r="AP500" i="10"/>
  <c r="AP501" i="10"/>
  <c r="AP502" i="10"/>
  <c r="AP503" i="10"/>
  <c r="AP504" i="10"/>
  <c r="AP505" i="10"/>
  <c r="AP506" i="10"/>
  <c r="AP507" i="10"/>
  <c r="AP508" i="10"/>
  <c r="AP509" i="10"/>
  <c r="AP510" i="10"/>
  <c r="AP511" i="10"/>
  <c r="AP512" i="10"/>
  <c r="AP513" i="10"/>
  <c r="AP514" i="10"/>
  <c r="AP515" i="10"/>
  <c r="AP516" i="10"/>
  <c r="AP517" i="10"/>
  <c r="AP518" i="10"/>
  <c r="AP519" i="10"/>
  <c r="AP520" i="10"/>
  <c r="AP521" i="10"/>
  <c r="AP522" i="10"/>
  <c r="AP523" i="10"/>
  <c r="AP524" i="10"/>
  <c r="AP525" i="10"/>
  <c r="AP526" i="10"/>
  <c r="AP527" i="10"/>
  <c r="AP528" i="10"/>
  <c r="AP529" i="10"/>
  <c r="AP530" i="10"/>
  <c r="AP531" i="10"/>
  <c r="AP532" i="10"/>
  <c r="AP533" i="10"/>
  <c r="AP534" i="10"/>
  <c r="AP535" i="10"/>
  <c r="AP536" i="10"/>
  <c r="AP537" i="10"/>
  <c r="AP538" i="10"/>
  <c r="AP539" i="10"/>
  <c r="AP540" i="10"/>
  <c r="AP541" i="10"/>
  <c r="AP542" i="10"/>
  <c r="AP543" i="10"/>
  <c r="AP544" i="10"/>
  <c r="AP545" i="10"/>
  <c r="AP546" i="10"/>
  <c r="AP547" i="10"/>
  <c r="AP548" i="10"/>
  <c r="AP549" i="10"/>
  <c r="AP550" i="10"/>
  <c r="AP551" i="10"/>
  <c r="AP552" i="10"/>
  <c r="AP553" i="10"/>
  <c r="AP554" i="10"/>
  <c r="AP555" i="10"/>
  <c r="AP556" i="10"/>
  <c r="AP557" i="10"/>
  <c r="AP558" i="10"/>
  <c r="AP559" i="10"/>
  <c r="AP560" i="10"/>
  <c r="AP561" i="10"/>
  <c r="AP562" i="10"/>
  <c r="AP563" i="10"/>
  <c r="AP564" i="10"/>
  <c r="AP565" i="10"/>
  <c r="AP566" i="10"/>
  <c r="AP567" i="10"/>
  <c r="AP568" i="10"/>
  <c r="AP569" i="10"/>
  <c r="AP570" i="10"/>
  <c r="AP571" i="10"/>
  <c r="AP572" i="10"/>
  <c r="AP573" i="10"/>
  <c r="AP574" i="10"/>
  <c r="AP575" i="10"/>
  <c r="AP576" i="10"/>
  <c r="AP577" i="10"/>
  <c r="AP578" i="10"/>
  <c r="AP579" i="10"/>
  <c r="AP580" i="10"/>
  <c r="AP581" i="10"/>
  <c r="AP582" i="10"/>
  <c r="AP583" i="10"/>
  <c r="AP584" i="10"/>
  <c r="AP585" i="10"/>
  <c r="AP586" i="10"/>
  <c r="AP587" i="10"/>
  <c r="AP588" i="10"/>
  <c r="AP589" i="10"/>
  <c r="AP590" i="10"/>
  <c r="AP591" i="10"/>
  <c r="AP592" i="10"/>
  <c r="AP593" i="10"/>
  <c r="AP594" i="10"/>
  <c r="AP595" i="10"/>
  <c r="AP596" i="10"/>
  <c r="AP597" i="10"/>
  <c r="AP598" i="10"/>
  <c r="AP599" i="10"/>
  <c r="AP600" i="10"/>
  <c r="AP601" i="10"/>
  <c r="AP602" i="10"/>
  <c r="AP603" i="10"/>
  <c r="AP604" i="10"/>
  <c r="AP605" i="10"/>
  <c r="AP606" i="10"/>
  <c r="AP607" i="10"/>
  <c r="AP608" i="10"/>
  <c r="AP609" i="10"/>
  <c r="AP610" i="10"/>
  <c r="AP611" i="10"/>
  <c r="AP612" i="10"/>
  <c r="AP613" i="10"/>
  <c r="AP614" i="10"/>
  <c r="AP615" i="10"/>
  <c r="AP616" i="10"/>
  <c r="AP617" i="10"/>
  <c r="AP618" i="10"/>
  <c r="AP619" i="10"/>
  <c r="AP620" i="10"/>
  <c r="AP621" i="10"/>
  <c r="AP622" i="10"/>
  <c r="AP623" i="10"/>
  <c r="AP624" i="10"/>
  <c r="AP625" i="10"/>
  <c r="AP626" i="10"/>
  <c r="AP627" i="10"/>
  <c r="AP628" i="10"/>
  <c r="AP629" i="10"/>
  <c r="AP630" i="10"/>
  <c r="AP631" i="10"/>
  <c r="AP632" i="10"/>
  <c r="AP633" i="10"/>
  <c r="AP634" i="10"/>
  <c r="AP635" i="10"/>
  <c r="AP636" i="10"/>
  <c r="AP637" i="10"/>
  <c r="AP638" i="10"/>
  <c r="AP639" i="10"/>
  <c r="AP640" i="10"/>
  <c r="AP641" i="10"/>
  <c r="AP642" i="10"/>
  <c r="AP643" i="10"/>
  <c r="AP644" i="10"/>
  <c r="AP645" i="10"/>
  <c r="AP646" i="10"/>
  <c r="AP647" i="10"/>
  <c r="AP648" i="10"/>
  <c r="AP649" i="10"/>
  <c r="AP650" i="10"/>
  <c r="AP651" i="10"/>
  <c r="AP652" i="10"/>
  <c r="AP653" i="10"/>
  <c r="AP654" i="10"/>
  <c r="AP655" i="10"/>
  <c r="AP656" i="10"/>
  <c r="AP657" i="10"/>
  <c r="AP658" i="10"/>
  <c r="AP659" i="10"/>
  <c r="AP660" i="10"/>
  <c r="AP661" i="10"/>
  <c r="AP662" i="10"/>
  <c r="AP663" i="10"/>
  <c r="AP664" i="10"/>
  <c r="AP665" i="10"/>
  <c r="AP666" i="10"/>
  <c r="AP667" i="10"/>
  <c r="AP668" i="10"/>
  <c r="AP669" i="10"/>
  <c r="AP670" i="10"/>
  <c r="AP671" i="10"/>
  <c r="AP672" i="10"/>
  <c r="AP673" i="10"/>
  <c r="AP674" i="10"/>
  <c r="AP675" i="10"/>
  <c r="AP676" i="10"/>
  <c r="AP677" i="10"/>
  <c r="AP678" i="10"/>
  <c r="AP679" i="10"/>
  <c r="AP680" i="10"/>
  <c r="AP681" i="10"/>
  <c r="AP682" i="10"/>
  <c r="AP683" i="10"/>
  <c r="AP684" i="10"/>
  <c r="AP685" i="10"/>
  <c r="AP686" i="10"/>
  <c r="AP687" i="10"/>
  <c r="AP688" i="10"/>
  <c r="AP689" i="10"/>
  <c r="AP690" i="10"/>
  <c r="AP691" i="10"/>
  <c r="AP692" i="10"/>
  <c r="AP693" i="10"/>
  <c r="AP694" i="10"/>
  <c r="AP695" i="10"/>
  <c r="AP696" i="10"/>
  <c r="AP697" i="10"/>
  <c r="AP698" i="10"/>
  <c r="AP699" i="10"/>
  <c r="AP700" i="10"/>
  <c r="AP701" i="10"/>
  <c r="AP702" i="10"/>
  <c r="AP703" i="10"/>
  <c r="AP704" i="10"/>
  <c r="AP705" i="10"/>
  <c r="AP706" i="10"/>
  <c r="AP707" i="10"/>
  <c r="AP708" i="10"/>
  <c r="AP709" i="10"/>
  <c r="AP710" i="10"/>
  <c r="AP711" i="10"/>
  <c r="AP712" i="10"/>
  <c r="AP713" i="10"/>
  <c r="AP714" i="10"/>
  <c r="AP715" i="10"/>
  <c r="AP716" i="10"/>
  <c r="AP717" i="10"/>
  <c r="AP718" i="10"/>
  <c r="AP719" i="10"/>
  <c r="AP720" i="10"/>
  <c r="AP721" i="10"/>
  <c r="AP722" i="10"/>
  <c r="AP723" i="10"/>
  <c r="AP724" i="10"/>
  <c r="AP725" i="10"/>
  <c r="AP726" i="10"/>
  <c r="AP727" i="10"/>
  <c r="AP728" i="10"/>
  <c r="AP729" i="10"/>
  <c r="AP730" i="10"/>
  <c r="AP731" i="10"/>
  <c r="AP732" i="10"/>
  <c r="AP733" i="10"/>
  <c r="AP734" i="10"/>
  <c r="AP735" i="10"/>
  <c r="AP736" i="10"/>
  <c r="AP737" i="10"/>
  <c r="AP738" i="10"/>
  <c r="AP739" i="10"/>
  <c r="AP740" i="10"/>
  <c r="AP741" i="10"/>
  <c r="AP742" i="10"/>
  <c r="AP743" i="10"/>
  <c r="AP744" i="10"/>
  <c r="AP745" i="10"/>
  <c r="AP746" i="10"/>
  <c r="AP747" i="10"/>
  <c r="AP748" i="10"/>
  <c r="AP749" i="10"/>
  <c r="AP750" i="10"/>
  <c r="AP751" i="10"/>
  <c r="AP752" i="10"/>
  <c r="AP753" i="10"/>
  <c r="AP754" i="10"/>
  <c r="AP755" i="10"/>
  <c r="AP756" i="10"/>
  <c r="AP757" i="10"/>
  <c r="AP758" i="10"/>
  <c r="AP759" i="10"/>
  <c r="AP760" i="10"/>
  <c r="AP761" i="10"/>
  <c r="AP762" i="10"/>
  <c r="AP763" i="10"/>
  <c r="AP764" i="10"/>
  <c r="AP765" i="10"/>
  <c r="AP766" i="10"/>
  <c r="AP767" i="10"/>
  <c r="AP768" i="10"/>
  <c r="AP769" i="10"/>
  <c r="AP770" i="10"/>
  <c r="AP771" i="10"/>
  <c r="AP772" i="10"/>
  <c r="AP773" i="10"/>
  <c r="AP774" i="10"/>
  <c r="AP775" i="10"/>
  <c r="AP776" i="10"/>
  <c r="AP777" i="10"/>
  <c r="AP778" i="10"/>
  <c r="AP779" i="10"/>
  <c r="AP780" i="10"/>
  <c r="AP781" i="10"/>
  <c r="AP782" i="10"/>
  <c r="AP783" i="10"/>
  <c r="AP784" i="10"/>
  <c r="AP785" i="10"/>
  <c r="AP786" i="10"/>
  <c r="AP787" i="10"/>
  <c r="AP788" i="10"/>
  <c r="AP789" i="10"/>
  <c r="AP790" i="10"/>
  <c r="AP791" i="10"/>
  <c r="AP792" i="10"/>
  <c r="AP793" i="10"/>
  <c r="AP794" i="10"/>
  <c r="AP795" i="10"/>
  <c r="AP796" i="10"/>
  <c r="AP797" i="10"/>
  <c r="AP798" i="10"/>
  <c r="AP799" i="10"/>
  <c r="AP800" i="10"/>
  <c r="AP801" i="10"/>
  <c r="AP802" i="10"/>
  <c r="AP803" i="10"/>
  <c r="AP804" i="10"/>
  <c r="AP805" i="10"/>
  <c r="AP806" i="10"/>
  <c r="AP807" i="10"/>
  <c r="AP808" i="10"/>
  <c r="AP809" i="10"/>
  <c r="AP810" i="10"/>
  <c r="AP811" i="10"/>
  <c r="AP812" i="10"/>
  <c r="AP813" i="10"/>
  <c r="AP814" i="10"/>
  <c r="AP815" i="10"/>
  <c r="AP816" i="10"/>
  <c r="AP817" i="10"/>
  <c r="AP818" i="10"/>
  <c r="AP819" i="10"/>
  <c r="AP820" i="10"/>
  <c r="AP821" i="10"/>
  <c r="AP822" i="10"/>
  <c r="AP823" i="10"/>
  <c r="AP824" i="10"/>
  <c r="AP825" i="10"/>
  <c r="AP826" i="10"/>
  <c r="AP827" i="10"/>
  <c r="AP828" i="10"/>
  <c r="AP829" i="10"/>
  <c r="AP830" i="10"/>
  <c r="AP831" i="10"/>
  <c r="AP832" i="10"/>
  <c r="AP833" i="10"/>
  <c r="AP834" i="10"/>
  <c r="AP835" i="10"/>
  <c r="AP836" i="10"/>
  <c r="AP837" i="10"/>
  <c r="AP838" i="10"/>
  <c r="AP839" i="10"/>
  <c r="AP840" i="10"/>
  <c r="AP841" i="10"/>
  <c r="AP842" i="10"/>
  <c r="AP843" i="10"/>
  <c r="AP844" i="10"/>
  <c r="AP845" i="10"/>
  <c r="AP846" i="10"/>
  <c r="AP847" i="10"/>
  <c r="AP848" i="10"/>
  <c r="AP849" i="10"/>
  <c r="AP850" i="10"/>
  <c r="AP851" i="10"/>
  <c r="AP852" i="10"/>
  <c r="AP853" i="10"/>
  <c r="AP854" i="10"/>
  <c r="AP855" i="10"/>
  <c r="AP856" i="10"/>
  <c r="AP857" i="10"/>
  <c r="AP858" i="10"/>
  <c r="AP859" i="10"/>
  <c r="AP860" i="10"/>
  <c r="AP861" i="10"/>
  <c r="AP862" i="10"/>
  <c r="AP863" i="10"/>
  <c r="AP864" i="10"/>
  <c r="AP865" i="10"/>
  <c r="AP866" i="10"/>
  <c r="AP867" i="10"/>
  <c r="AP868" i="10"/>
  <c r="AP869" i="10"/>
  <c r="AP870" i="10"/>
  <c r="AP871" i="10"/>
  <c r="AP872" i="10"/>
  <c r="AP873" i="10"/>
  <c r="AP874" i="10"/>
  <c r="AP875" i="10"/>
  <c r="AP876" i="10"/>
  <c r="AP877" i="10"/>
  <c r="AP878" i="10"/>
  <c r="AP879" i="10"/>
  <c r="AP880" i="10"/>
  <c r="AP881" i="10"/>
  <c r="AP882" i="10"/>
  <c r="AP883" i="10"/>
  <c r="AP884" i="10"/>
  <c r="AP885" i="10"/>
  <c r="AP886" i="10"/>
  <c r="AP887" i="10"/>
  <c r="AP888" i="10"/>
  <c r="AP889" i="10"/>
  <c r="AP890" i="10"/>
  <c r="AP891" i="10"/>
  <c r="AP892" i="10"/>
  <c r="AP893" i="10"/>
  <c r="AP894" i="10"/>
  <c r="AP895" i="10"/>
  <c r="AP896" i="10"/>
  <c r="AP897" i="10"/>
  <c r="AP898" i="10"/>
  <c r="AP899" i="10"/>
  <c r="AP900" i="10"/>
  <c r="AP901" i="10"/>
  <c r="AP902" i="10"/>
  <c r="AP3" i="10"/>
  <c r="AO4" i="10"/>
  <c r="AO5" i="10"/>
  <c r="AO6" i="10"/>
  <c r="AO7" i="10"/>
  <c r="AO8" i="10"/>
  <c r="AO9" i="10"/>
  <c r="AO10" i="10"/>
  <c r="AO11" i="10"/>
  <c r="AO12" i="10"/>
  <c r="AO13" i="10"/>
  <c r="AO14" i="10"/>
  <c r="AO15" i="10"/>
  <c r="AO16" i="10"/>
  <c r="AO17" i="10"/>
  <c r="AO18" i="10"/>
  <c r="AO19" i="10"/>
  <c r="AO20" i="10"/>
  <c r="AO21" i="10"/>
  <c r="AO22" i="10"/>
  <c r="AO23" i="10"/>
  <c r="AO24" i="10"/>
  <c r="AO25" i="10"/>
  <c r="AO26" i="10"/>
  <c r="AO27" i="10"/>
  <c r="AO28" i="10"/>
  <c r="AO29" i="10"/>
  <c r="AO30" i="10"/>
  <c r="AO31" i="10"/>
  <c r="AO32" i="10"/>
  <c r="AO33" i="10"/>
  <c r="AO34" i="10"/>
  <c r="AO35" i="10"/>
  <c r="AO36" i="10"/>
  <c r="AO37" i="10"/>
  <c r="AO38" i="10"/>
  <c r="AO39" i="10"/>
  <c r="AO40" i="10"/>
  <c r="AO41" i="10"/>
  <c r="AO42" i="10"/>
  <c r="AO43" i="10"/>
  <c r="AO44" i="10"/>
  <c r="AO45" i="10"/>
  <c r="AO46" i="10"/>
  <c r="AO47" i="10"/>
  <c r="AO48" i="10"/>
  <c r="AO49" i="10"/>
  <c r="AO50" i="10"/>
  <c r="AO51" i="10"/>
  <c r="AO52" i="10"/>
  <c r="AO53" i="10"/>
  <c r="AO54" i="10"/>
  <c r="AO55" i="10"/>
  <c r="AO56" i="10"/>
  <c r="AO57" i="10"/>
  <c r="AO58" i="10"/>
  <c r="AO59" i="10"/>
  <c r="AO60" i="10"/>
  <c r="AO61" i="10"/>
  <c r="AO62" i="10"/>
  <c r="AO63" i="10"/>
  <c r="AO64" i="10"/>
  <c r="AO65" i="10"/>
  <c r="AO66" i="10"/>
  <c r="AO67" i="10"/>
  <c r="AO68" i="10"/>
  <c r="AO69" i="10"/>
  <c r="AO70" i="10"/>
  <c r="AO71" i="10"/>
  <c r="AO72" i="10"/>
  <c r="AO73" i="10"/>
  <c r="AO74" i="10"/>
  <c r="AO75" i="10"/>
  <c r="AO76" i="10"/>
  <c r="AO77" i="10"/>
  <c r="AO78" i="10"/>
  <c r="AO79" i="10"/>
  <c r="AO80" i="10"/>
  <c r="AO81" i="10"/>
  <c r="AO82" i="10"/>
  <c r="AO83" i="10"/>
  <c r="AO84" i="10"/>
  <c r="AO85" i="10"/>
  <c r="AO86" i="10"/>
  <c r="AO87" i="10"/>
  <c r="AO88" i="10"/>
  <c r="AO89" i="10"/>
  <c r="AO90" i="10"/>
  <c r="AO91" i="10"/>
  <c r="AO92" i="10"/>
  <c r="AO93" i="10"/>
  <c r="AO94" i="10"/>
  <c r="AO95" i="10"/>
  <c r="AO96" i="10"/>
  <c r="AO97" i="10"/>
  <c r="AO98" i="10"/>
  <c r="AO99" i="10"/>
  <c r="AO100" i="10"/>
  <c r="AO101" i="10"/>
  <c r="AO102" i="10"/>
  <c r="AO103" i="10"/>
  <c r="AO104" i="10"/>
  <c r="AO105" i="10"/>
  <c r="AO106" i="10"/>
  <c r="AO107" i="10"/>
  <c r="AO108" i="10"/>
  <c r="AO109" i="10"/>
  <c r="AO110" i="10"/>
  <c r="AO111" i="10"/>
  <c r="AO112" i="10"/>
  <c r="AO113" i="10"/>
  <c r="AO114" i="10"/>
  <c r="AO115" i="10"/>
  <c r="AO116" i="10"/>
  <c r="AO117" i="10"/>
  <c r="AO118" i="10"/>
  <c r="AO119" i="10"/>
  <c r="AO120" i="10"/>
  <c r="AO121" i="10"/>
  <c r="AO122" i="10"/>
  <c r="AO123" i="10"/>
  <c r="AO124" i="10"/>
  <c r="AO125" i="10"/>
  <c r="AO126" i="10"/>
  <c r="AO127" i="10"/>
  <c r="AO128" i="10"/>
  <c r="AO129" i="10"/>
  <c r="AO130" i="10"/>
  <c r="AO131" i="10"/>
  <c r="AO132" i="10"/>
  <c r="AO133" i="10"/>
  <c r="AO134" i="10"/>
  <c r="AO135" i="10"/>
  <c r="AO136" i="10"/>
  <c r="AO137" i="10"/>
  <c r="AO138" i="10"/>
  <c r="AO139" i="10"/>
  <c r="AO140" i="10"/>
  <c r="AO141" i="10"/>
  <c r="AO142" i="10"/>
  <c r="AO143" i="10"/>
  <c r="AO144" i="10"/>
  <c r="AO145" i="10"/>
  <c r="AO146" i="10"/>
  <c r="AO147" i="10"/>
  <c r="AO148" i="10"/>
  <c r="AO149" i="10"/>
  <c r="AO150" i="10"/>
  <c r="AO151" i="10"/>
  <c r="AO152" i="10"/>
  <c r="AO153" i="10"/>
  <c r="AO154" i="10"/>
  <c r="AO155" i="10"/>
  <c r="AO156" i="10"/>
  <c r="AO157" i="10"/>
  <c r="AO158" i="10"/>
  <c r="AO159" i="10"/>
  <c r="AO160" i="10"/>
  <c r="AO161" i="10"/>
  <c r="AO162" i="10"/>
  <c r="AO163" i="10"/>
  <c r="AO164" i="10"/>
  <c r="AO165" i="10"/>
  <c r="AO166" i="10"/>
  <c r="AO167" i="10"/>
  <c r="AO168" i="10"/>
  <c r="AO169" i="10"/>
  <c r="AO170" i="10"/>
  <c r="AO171" i="10"/>
  <c r="AO172" i="10"/>
  <c r="AO173" i="10"/>
  <c r="AO174" i="10"/>
  <c r="AO175" i="10"/>
  <c r="AO176" i="10"/>
  <c r="AO177" i="10"/>
  <c r="AO178" i="10"/>
  <c r="AO179" i="10"/>
  <c r="AO180" i="10"/>
  <c r="AO181" i="10"/>
  <c r="AO182" i="10"/>
  <c r="AO183" i="10"/>
  <c r="AO184" i="10"/>
  <c r="AO185" i="10"/>
  <c r="AO186" i="10"/>
  <c r="AO187" i="10"/>
  <c r="AO188" i="10"/>
  <c r="AO189" i="10"/>
  <c r="AO190" i="10"/>
  <c r="AO191" i="10"/>
  <c r="AO192" i="10"/>
  <c r="AO193" i="10"/>
  <c r="AO194" i="10"/>
  <c r="AO195" i="10"/>
  <c r="AO196" i="10"/>
  <c r="AO197" i="10"/>
  <c r="AO198" i="10"/>
  <c r="AO199" i="10"/>
  <c r="AO200" i="10"/>
  <c r="AO201" i="10"/>
  <c r="AO202" i="10"/>
  <c r="AO203" i="10"/>
  <c r="AO204" i="10"/>
  <c r="AO205" i="10"/>
  <c r="AO206" i="10"/>
  <c r="AO207" i="10"/>
  <c r="AO208" i="10"/>
  <c r="AO209" i="10"/>
  <c r="AO210" i="10"/>
  <c r="AO211" i="10"/>
  <c r="AO212" i="10"/>
  <c r="AO213" i="10"/>
  <c r="AO214" i="10"/>
  <c r="AO215" i="10"/>
  <c r="AO216" i="10"/>
  <c r="AO217" i="10"/>
  <c r="AO218" i="10"/>
  <c r="AO219" i="10"/>
  <c r="AO220" i="10"/>
  <c r="AO221" i="10"/>
  <c r="AO222" i="10"/>
  <c r="AO223" i="10"/>
  <c r="AO224" i="10"/>
  <c r="AO225" i="10"/>
  <c r="AO226" i="10"/>
  <c r="AO227" i="10"/>
  <c r="AO228" i="10"/>
  <c r="AO229" i="10"/>
  <c r="AO230" i="10"/>
  <c r="AO231" i="10"/>
  <c r="AO232" i="10"/>
  <c r="AO233" i="10"/>
  <c r="AO234" i="10"/>
  <c r="AO235" i="10"/>
  <c r="AO236" i="10"/>
  <c r="AO237" i="10"/>
  <c r="AO238" i="10"/>
  <c r="AO239" i="10"/>
  <c r="AO240" i="10"/>
  <c r="AO241" i="10"/>
  <c r="AO242" i="10"/>
  <c r="AO243" i="10"/>
  <c r="AO244" i="10"/>
  <c r="AO245" i="10"/>
  <c r="AO246" i="10"/>
  <c r="AO247" i="10"/>
  <c r="AO248" i="10"/>
  <c r="AO249" i="10"/>
  <c r="AO250" i="10"/>
  <c r="AO251" i="10"/>
  <c r="AO252" i="10"/>
  <c r="AO253" i="10"/>
  <c r="AO254" i="10"/>
  <c r="AO255" i="10"/>
  <c r="AO256" i="10"/>
  <c r="AO257" i="10"/>
  <c r="AO258" i="10"/>
  <c r="AO259" i="10"/>
  <c r="AO260" i="10"/>
  <c r="AO261" i="10"/>
  <c r="AO262" i="10"/>
  <c r="AO263" i="10"/>
  <c r="AO264" i="10"/>
  <c r="AO265" i="10"/>
  <c r="AO266" i="10"/>
  <c r="AO267" i="10"/>
  <c r="AO268" i="10"/>
  <c r="AO269" i="10"/>
  <c r="AO270" i="10"/>
  <c r="AO271" i="10"/>
  <c r="AO272" i="10"/>
  <c r="AO273" i="10"/>
  <c r="AO274" i="10"/>
  <c r="AO275" i="10"/>
  <c r="AO276" i="10"/>
  <c r="AO277" i="10"/>
  <c r="AO278" i="10"/>
  <c r="AO279" i="10"/>
  <c r="AO280" i="10"/>
  <c r="AO281" i="10"/>
  <c r="AO282" i="10"/>
  <c r="AO283" i="10"/>
  <c r="AO284" i="10"/>
  <c r="AO285" i="10"/>
  <c r="AO286" i="10"/>
  <c r="AO287" i="10"/>
  <c r="AO288" i="10"/>
  <c r="AO289" i="10"/>
  <c r="AO290" i="10"/>
  <c r="AO291" i="10"/>
  <c r="AO292" i="10"/>
  <c r="AO293" i="10"/>
  <c r="AO294" i="10"/>
  <c r="AO295" i="10"/>
  <c r="AO296" i="10"/>
  <c r="AO297" i="10"/>
  <c r="AO298" i="10"/>
  <c r="AO299" i="10"/>
  <c r="AO300" i="10"/>
  <c r="AO301" i="10"/>
  <c r="AO302" i="10"/>
  <c r="AO303" i="10"/>
  <c r="AO304" i="10"/>
  <c r="AO305" i="10"/>
  <c r="AO306" i="10"/>
  <c r="AO307" i="10"/>
  <c r="AO308" i="10"/>
  <c r="AO309" i="10"/>
  <c r="AO310" i="10"/>
  <c r="AO311" i="10"/>
  <c r="AO312" i="10"/>
  <c r="AO313" i="10"/>
  <c r="AO314" i="10"/>
  <c r="AO315" i="10"/>
  <c r="AO316" i="10"/>
  <c r="AO317" i="10"/>
  <c r="AO318" i="10"/>
  <c r="AO319" i="10"/>
  <c r="AO320" i="10"/>
  <c r="AO321" i="10"/>
  <c r="AO322" i="10"/>
  <c r="AO323" i="10"/>
  <c r="AO324" i="10"/>
  <c r="AO325" i="10"/>
  <c r="AO326" i="10"/>
  <c r="AO327" i="10"/>
  <c r="AO328" i="10"/>
  <c r="AO329" i="10"/>
  <c r="AO330" i="10"/>
  <c r="AO331" i="10"/>
  <c r="AO332" i="10"/>
  <c r="AO333" i="10"/>
  <c r="AO334" i="10"/>
  <c r="AO335" i="10"/>
  <c r="AO336" i="10"/>
  <c r="AO337" i="10"/>
  <c r="AO338" i="10"/>
  <c r="AO339" i="10"/>
  <c r="AO340" i="10"/>
  <c r="AO341" i="10"/>
  <c r="AO342" i="10"/>
  <c r="AO343" i="10"/>
  <c r="AO344" i="10"/>
  <c r="AO345" i="10"/>
  <c r="AO346" i="10"/>
  <c r="AO347" i="10"/>
  <c r="AO348" i="10"/>
  <c r="AO349" i="10"/>
  <c r="AO350" i="10"/>
  <c r="AO351" i="10"/>
  <c r="AO352" i="10"/>
  <c r="AO353" i="10"/>
  <c r="AO354" i="10"/>
  <c r="AO355" i="10"/>
  <c r="AO356" i="10"/>
  <c r="AO357" i="10"/>
  <c r="AO358" i="10"/>
  <c r="AO359" i="10"/>
  <c r="AO360" i="10"/>
  <c r="AO361" i="10"/>
  <c r="AO362" i="10"/>
  <c r="AO363" i="10"/>
  <c r="AO364" i="10"/>
  <c r="AO365" i="10"/>
  <c r="AO366" i="10"/>
  <c r="AO367" i="10"/>
  <c r="AO368" i="10"/>
  <c r="AO369" i="10"/>
  <c r="AO370" i="10"/>
  <c r="AO371" i="10"/>
  <c r="AO372" i="10"/>
  <c r="AO373" i="10"/>
  <c r="AO374" i="10"/>
  <c r="AO375" i="10"/>
  <c r="AO376" i="10"/>
  <c r="AO377" i="10"/>
  <c r="AO378" i="10"/>
  <c r="AO379" i="10"/>
  <c r="AO380" i="10"/>
  <c r="AO381" i="10"/>
  <c r="AO382" i="10"/>
  <c r="AO383" i="10"/>
  <c r="AO384" i="10"/>
  <c r="AO385" i="10"/>
  <c r="AO386" i="10"/>
  <c r="AO387" i="10"/>
  <c r="AO388" i="10"/>
  <c r="AO389" i="10"/>
  <c r="AO390" i="10"/>
  <c r="AO391" i="10"/>
  <c r="AO392" i="10"/>
  <c r="AO393" i="10"/>
  <c r="AO394" i="10"/>
  <c r="AO395" i="10"/>
  <c r="AO396" i="10"/>
  <c r="AO397" i="10"/>
  <c r="AO398" i="10"/>
  <c r="AO399" i="10"/>
  <c r="AO400" i="10"/>
  <c r="AO401" i="10"/>
  <c r="AO402" i="10"/>
  <c r="AO403" i="10"/>
  <c r="AO404" i="10"/>
  <c r="AO405" i="10"/>
  <c r="AO406" i="10"/>
  <c r="AO407" i="10"/>
  <c r="AO408" i="10"/>
  <c r="AO409" i="10"/>
  <c r="AO410" i="10"/>
  <c r="AO411" i="10"/>
  <c r="AO412" i="10"/>
  <c r="AO413" i="10"/>
  <c r="AO414" i="10"/>
  <c r="AO415" i="10"/>
  <c r="AO416" i="10"/>
  <c r="AO417" i="10"/>
  <c r="AO418" i="10"/>
  <c r="AO419" i="10"/>
  <c r="AO420" i="10"/>
  <c r="AO421" i="10"/>
  <c r="AO422" i="10"/>
  <c r="AO423" i="10"/>
  <c r="AO424" i="10"/>
  <c r="AO425" i="10"/>
  <c r="AO426" i="10"/>
  <c r="AO427" i="10"/>
  <c r="AO428" i="10"/>
  <c r="AO429" i="10"/>
  <c r="AO430" i="10"/>
  <c r="AO431" i="10"/>
  <c r="AO432" i="10"/>
  <c r="AO433" i="10"/>
  <c r="AO434" i="10"/>
  <c r="AO435" i="10"/>
  <c r="AO436" i="10"/>
  <c r="AO437" i="10"/>
  <c r="AO438" i="10"/>
  <c r="AO439" i="10"/>
  <c r="AO440" i="10"/>
  <c r="AO441" i="10"/>
  <c r="AO442" i="10"/>
  <c r="AO443" i="10"/>
  <c r="AO444" i="10"/>
  <c r="AO445" i="10"/>
  <c r="AO446" i="10"/>
  <c r="AO447" i="10"/>
  <c r="AO448" i="10"/>
  <c r="AO449" i="10"/>
  <c r="AO450" i="10"/>
  <c r="AO451" i="10"/>
  <c r="AO452" i="10"/>
  <c r="AO453" i="10"/>
  <c r="AO454" i="10"/>
  <c r="AO455" i="10"/>
  <c r="AO456" i="10"/>
  <c r="AO457" i="10"/>
  <c r="AO458" i="10"/>
  <c r="AO459" i="10"/>
  <c r="AO460" i="10"/>
  <c r="AO461" i="10"/>
  <c r="AO462" i="10"/>
  <c r="AO463" i="10"/>
  <c r="AO464" i="10"/>
  <c r="AO465" i="10"/>
  <c r="AO466" i="10"/>
  <c r="AO467" i="10"/>
  <c r="AO468" i="10"/>
  <c r="AO469" i="10"/>
  <c r="AO470" i="10"/>
  <c r="AO471" i="10"/>
  <c r="AO472" i="10"/>
  <c r="AO473" i="10"/>
  <c r="AO474" i="10"/>
  <c r="AO475" i="10"/>
  <c r="AO476" i="10"/>
  <c r="AO477" i="10"/>
  <c r="AO478" i="10"/>
  <c r="AO479" i="10"/>
  <c r="AO480" i="10"/>
  <c r="AO481" i="10"/>
  <c r="AO482" i="10"/>
  <c r="AO483" i="10"/>
  <c r="AO484" i="10"/>
  <c r="AO485" i="10"/>
  <c r="AO486" i="10"/>
  <c r="AO487" i="10"/>
  <c r="AO488" i="10"/>
  <c r="AO489" i="10"/>
  <c r="AO490" i="10"/>
  <c r="AO491" i="10"/>
  <c r="AO492" i="10"/>
  <c r="AO493" i="10"/>
  <c r="AO494" i="10"/>
  <c r="AO495" i="10"/>
  <c r="AO496" i="10"/>
  <c r="AO497" i="10"/>
  <c r="AO498" i="10"/>
  <c r="AO499" i="10"/>
  <c r="AO500" i="10"/>
  <c r="AO501" i="10"/>
  <c r="AO502" i="10"/>
  <c r="AO503" i="10"/>
  <c r="AO504" i="10"/>
  <c r="AO505" i="10"/>
  <c r="AO506" i="10"/>
  <c r="AO507" i="10"/>
  <c r="AO508" i="10"/>
  <c r="AO509" i="10"/>
  <c r="AO510" i="10"/>
  <c r="AO511" i="10"/>
  <c r="AO512" i="10"/>
  <c r="AO513" i="10"/>
  <c r="AO514" i="10"/>
  <c r="AO515" i="10"/>
  <c r="AO516" i="10"/>
  <c r="AO517" i="10"/>
  <c r="AO518" i="10"/>
  <c r="AO519" i="10"/>
  <c r="AO520" i="10"/>
  <c r="AO521" i="10"/>
  <c r="AO522" i="10"/>
  <c r="AO523" i="10"/>
  <c r="AO524" i="10"/>
  <c r="AO525" i="10"/>
  <c r="AO526" i="10"/>
  <c r="AO527" i="10"/>
  <c r="AO528" i="10"/>
  <c r="AO529" i="10"/>
  <c r="AO530" i="10"/>
  <c r="AO531" i="10"/>
  <c r="AO532" i="10"/>
  <c r="AO533" i="10"/>
  <c r="AO534" i="10"/>
  <c r="AO535" i="10"/>
  <c r="AO536" i="10"/>
  <c r="AO537" i="10"/>
  <c r="AO538" i="10"/>
  <c r="AO539" i="10"/>
  <c r="AO540" i="10"/>
  <c r="AO541" i="10"/>
  <c r="AO542" i="10"/>
  <c r="AO543" i="10"/>
  <c r="AO544" i="10"/>
  <c r="AO545" i="10"/>
  <c r="AO546" i="10"/>
  <c r="AO547" i="10"/>
  <c r="AO548" i="10"/>
  <c r="AO549" i="10"/>
  <c r="AO550" i="10"/>
  <c r="AO551" i="10"/>
  <c r="AO552" i="10"/>
  <c r="AO553" i="10"/>
  <c r="AO554" i="10"/>
  <c r="AO555" i="10"/>
  <c r="AO556" i="10"/>
  <c r="AO557" i="10"/>
  <c r="AO558" i="10"/>
  <c r="AO559" i="10"/>
  <c r="AO560" i="10"/>
  <c r="AO561" i="10"/>
  <c r="AO562" i="10"/>
  <c r="AO563" i="10"/>
  <c r="AO564" i="10"/>
  <c r="AO565" i="10"/>
  <c r="AO566" i="10"/>
  <c r="AO567" i="10"/>
  <c r="AO568" i="10"/>
  <c r="AO569" i="10"/>
  <c r="AO570" i="10"/>
  <c r="AO571" i="10"/>
  <c r="AO572" i="10"/>
  <c r="AO573" i="10"/>
  <c r="AO574" i="10"/>
  <c r="AO575" i="10"/>
  <c r="AO576" i="10"/>
  <c r="AO577" i="10"/>
  <c r="AO578" i="10"/>
  <c r="AO579" i="10"/>
  <c r="AO580" i="10"/>
  <c r="AO581" i="10"/>
  <c r="AO582" i="10"/>
  <c r="AO583" i="10"/>
  <c r="AO584" i="10"/>
  <c r="AO585" i="10"/>
  <c r="AO586" i="10"/>
  <c r="AO587" i="10"/>
  <c r="AO588" i="10"/>
  <c r="AO589" i="10"/>
  <c r="AO590" i="10"/>
  <c r="AO591" i="10"/>
  <c r="AO592" i="10"/>
  <c r="AO593" i="10"/>
  <c r="AO594" i="10"/>
  <c r="AO595" i="10"/>
  <c r="AO596" i="10"/>
  <c r="AO597" i="10"/>
  <c r="AO598" i="10"/>
  <c r="AO599" i="10"/>
  <c r="AO600" i="10"/>
  <c r="AO601" i="10"/>
  <c r="AO602" i="10"/>
  <c r="AO603" i="10"/>
  <c r="AO604" i="10"/>
  <c r="AO605" i="10"/>
  <c r="AO606" i="10"/>
  <c r="AO607" i="10"/>
  <c r="AO608" i="10"/>
  <c r="AO609" i="10"/>
  <c r="AO610" i="10"/>
  <c r="AO611" i="10"/>
  <c r="AO612" i="10"/>
  <c r="AO613" i="10"/>
  <c r="AO614" i="10"/>
  <c r="AO615" i="10"/>
  <c r="AO616" i="10"/>
  <c r="AO617" i="10"/>
  <c r="AO618" i="10"/>
  <c r="AO619" i="10"/>
  <c r="AO620" i="10"/>
  <c r="AO621" i="10"/>
  <c r="AO622" i="10"/>
  <c r="AO623" i="10"/>
  <c r="AO624" i="10"/>
  <c r="AO625" i="10"/>
  <c r="AO626" i="10"/>
  <c r="AO627" i="10"/>
  <c r="AO628" i="10"/>
  <c r="AO629" i="10"/>
  <c r="AO630" i="10"/>
  <c r="AO631" i="10"/>
  <c r="AO632" i="10"/>
  <c r="AO633" i="10"/>
  <c r="AO634" i="10"/>
  <c r="AO635" i="10"/>
  <c r="AO636" i="10"/>
  <c r="AO637" i="10"/>
  <c r="AO638" i="10"/>
  <c r="AO639" i="10"/>
  <c r="AO640" i="10"/>
  <c r="AO641" i="10"/>
  <c r="AO642" i="10"/>
  <c r="AO643" i="10"/>
  <c r="AO644" i="10"/>
  <c r="AO645" i="10"/>
  <c r="AO646" i="10"/>
  <c r="AO647" i="10"/>
  <c r="AO648" i="10"/>
  <c r="AO649" i="10"/>
  <c r="AO650" i="10"/>
  <c r="AO651" i="10"/>
  <c r="AO652" i="10"/>
  <c r="AO653" i="10"/>
  <c r="AO654" i="10"/>
  <c r="AO655" i="10"/>
  <c r="AO656" i="10"/>
  <c r="AO657" i="10"/>
  <c r="AO658" i="10"/>
  <c r="AO659" i="10"/>
  <c r="AO660" i="10"/>
  <c r="AO661" i="10"/>
  <c r="AO662" i="10"/>
  <c r="AO663" i="10"/>
  <c r="AO664" i="10"/>
  <c r="AO665" i="10"/>
  <c r="AO666" i="10"/>
  <c r="AO667" i="10"/>
  <c r="AO668" i="10"/>
  <c r="AO669" i="10"/>
  <c r="AO670" i="10"/>
  <c r="AO671" i="10"/>
  <c r="AO672" i="10"/>
  <c r="AO673" i="10"/>
  <c r="AO674" i="10"/>
  <c r="AO675" i="10"/>
  <c r="AO676" i="10"/>
  <c r="AO677" i="10"/>
  <c r="AO678" i="10"/>
  <c r="AO679" i="10"/>
  <c r="AO680" i="10"/>
  <c r="AO681" i="10"/>
  <c r="AO682" i="10"/>
  <c r="AO683" i="10"/>
  <c r="AO684" i="10"/>
  <c r="AO685" i="10"/>
  <c r="AO686" i="10"/>
  <c r="AO687" i="10"/>
  <c r="AO688" i="10"/>
  <c r="AO689" i="10"/>
  <c r="AO690" i="10"/>
  <c r="AO691" i="10"/>
  <c r="AO692" i="10"/>
  <c r="AO693" i="10"/>
  <c r="AO694" i="10"/>
  <c r="AO695" i="10"/>
  <c r="AO696" i="10"/>
  <c r="AO697" i="10"/>
  <c r="AO698" i="10"/>
  <c r="AO699" i="10"/>
  <c r="AO700" i="10"/>
  <c r="AO701" i="10"/>
  <c r="AO702" i="10"/>
  <c r="AO703" i="10"/>
  <c r="AO704" i="10"/>
  <c r="AO705" i="10"/>
  <c r="AO706" i="10"/>
  <c r="AO707" i="10"/>
  <c r="AO708" i="10"/>
  <c r="AO709" i="10"/>
  <c r="AO710" i="10"/>
  <c r="AO711" i="10"/>
  <c r="AO712" i="10"/>
  <c r="AO713" i="10"/>
  <c r="AO714" i="10"/>
  <c r="AO715" i="10"/>
  <c r="AO716" i="10"/>
  <c r="AO717" i="10"/>
  <c r="AO718" i="10"/>
  <c r="AO719" i="10"/>
  <c r="AO720" i="10"/>
  <c r="AO721" i="10"/>
  <c r="AO722" i="10"/>
  <c r="AO723" i="10"/>
  <c r="AO724" i="10"/>
  <c r="AO725" i="10"/>
  <c r="AO726" i="10"/>
  <c r="AO727" i="10"/>
  <c r="AO728" i="10"/>
  <c r="AO729" i="10"/>
  <c r="AO730" i="10"/>
  <c r="AO731" i="10"/>
  <c r="AO732" i="10"/>
  <c r="AO733" i="10"/>
  <c r="AO734" i="10"/>
  <c r="AO735" i="10"/>
  <c r="AO736" i="10"/>
  <c r="AO737" i="10"/>
  <c r="AO738" i="10"/>
  <c r="AO739" i="10"/>
  <c r="AO740" i="10"/>
  <c r="AO741" i="10"/>
  <c r="AO742" i="10"/>
  <c r="AO743" i="10"/>
  <c r="AO744" i="10"/>
  <c r="AO745" i="10"/>
  <c r="AO746" i="10"/>
  <c r="AO747" i="10"/>
  <c r="AO748" i="10"/>
  <c r="AO749" i="10"/>
  <c r="AO750" i="10"/>
  <c r="AO751" i="10"/>
  <c r="AO752" i="10"/>
  <c r="AO753" i="10"/>
  <c r="AO754" i="10"/>
  <c r="AO755" i="10"/>
  <c r="AO756" i="10"/>
  <c r="AO757" i="10"/>
  <c r="AO758" i="10"/>
  <c r="AO759" i="10"/>
  <c r="AO760" i="10"/>
  <c r="AO761" i="10"/>
  <c r="AO762" i="10"/>
  <c r="AO763" i="10"/>
  <c r="AO764" i="10"/>
  <c r="AO765" i="10"/>
  <c r="AO766" i="10"/>
  <c r="AO767" i="10"/>
  <c r="AO768" i="10"/>
  <c r="AO769" i="10"/>
  <c r="AO770" i="10"/>
  <c r="AO771" i="10"/>
  <c r="AO772" i="10"/>
  <c r="AO773" i="10"/>
  <c r="AO774" i="10"/>
  <c r="AO775" i="10"/>
  <c r="AO776" i="10"/>
  <c r="AO777" i="10"/>
  <c r="AO778" i="10"/>
  <c r="AO779" i="10"/>
  <c r="AO780" i="10"/>
  <c r="AO781" i="10"/>
  <c r="AO782" i="10"/>
  <c r="AO783" i="10"/>
  <c r="AO784" i="10"/>
  <c r="AO785" i="10"/>
  <c r="AO786" i="10"/>
  <c r="AO787" i="10"/>
  <c r="AO788" i="10"/>
  <c r="AO789" i="10"/>
  <c r="AO790" i="10"/>
  <c r="AO791" i="10"/>
  <c r="AO792" i="10"/>
  <c r="AO793" i="10"/>
  <c r="AO794" i="10"/>
  <c r="AO795" i="10"/>
  <c r="AO796" i="10"/>
  <c r="AO797" i="10"/>
  <c r="AO798" i="10"/>
  <c r="AO799" i="10"/>
  <c r="AO800" i="10"/>
  <c r="AO801" i="10"/>
  <c r="AO802" i="10"/>
  <c r="AO803" i="10"/>
  <c r="AO804" i="10"/>
  <c r="AO805" i="10"/>
  <c r="AO806" i="10"/>
  <c r="AO807" i="10"/>
  <c r="AO808" i="10"/>
  <c r="AO809" i="10"/>
  <c r="AO810" i="10"/>
  <c r="AO811" i="10"/>
  <c r="AO812" i="10"/>
  <c r="AO813" i="10"/>
  <c r="AO814" i="10"/>
  <c r="AO815" i="10"/>
  <c r="AO816" i="10"/>
  <c r="AO817" i="10"/>
  <c r="AO818" i="10"/>
  <c r="AO819" i="10"/>
  <c r="AO820" i="10"/>
  <c r="AO821" i="10"/>
  <c r="AO822" i="10"/>
  <c r="AO823" i="10"/>
  <c r="AO824" i="10"/>
  <c r="AO825" i="10"/>
  <c r="AO826" i="10"/>
  <c r="AO827" i="10"/>
  <c r="AO828" i="10"/>
  <c r="AO829" i="10"/>
  <c r="AO830" i="10"/>
  <c r="AO831" i="10"/>
  <c r="AO832" i="10"/>
  <c r="AO833" i="10"/>
  <c r="AO834" i="10"/>
  <c r="AO835" i="10"/>
  <c r="AO836" i="10"/>
  <c r="AO837" i="10"/>
  <c r="AO838" i="10"/>
  <c r="AO839" i="10"/>
  <c r="AO840" i="10"/>
  <c r="AO841" i="10"/>
  <c r="AO842" i="10"/>
  <c r="AO843" i="10"/>
  <c r="AO844" i="10"/>
  <c r="AO845" i="10"/>
  <c r="AO846" i="10"/>
  <c r="AO847" i="10"/>
  <c r="AO848" i="10"/>
  <c r="AO849" i="10"/>
  <c r="AO850" i="10"/>
  <c r="AO851" i="10"/>
  <c r="AO852" i="10"/>
  <c r="AO853" i="10"/>
  <c r="AO854" i="10"/>
  <c r="AO855" i="10"/>
  <c r="AO856" i="10"/>
  <c r="AO857" i="10"/>
  <c r="AO858" i="10"/>
  <c r="AO859" i="10"/>
  <c r="AO860" i="10"/>
  <c r="AO861" i="10"/>
  <c r="AO862" i="10"/>
  <c r="AO863" i="10"/>
  <c r="AO864" i="10"/>
  <c r="AO865" i="10"/>
  <c r="AO866" i="10"/>
  <c r="AO867" i="10"/>
  <c r="AO868" i="10"/>
  <c r="AO869" i="10"/>
  <c r="AO870" i="10"/>
  <c r="AO871" i="10"/>
  <c r="AO872" i="10"/>
  <c r="AO873" i="10"/>
  <c r="AO874" i="10"/>
  <c r="AO875" i="10"/>
  <c r="AO876" i="10"/>
  <c r="AO877" i="10"/>
  <c r="AO878" i="10"/>
  <c r="AO879" i="10"/>
  <c r="AO880" i="10"/>
  <c r="AO881" i="10"/>
  <c r="AO882" i="10"/>
  <c r="AO883" i="10"/>
  <c r="AO884" i="10"/>
  <c r="AO885" i="10"/>
  <c r="AO886" i="10"/>
  <c r="AO887" i="10"/>
  <c r="AO888" i="10"/>
  <c r="AO889" i="10"/>
  <c r="AO890" i="10"/>
  <c r="AO891" i="10"/>
  <c r="AO892" i="10"/>
  <c r="AO893" i="10"/>
  <c r="AO894" i="10"/>
  <c r="AO895" i="10"/>
  <c r="AO896" i="10"/>
  <c r="AO897" i="10"/>
  <c r="AO898" i="10"/>
  <c r="AO899" i="10"/>
  <c r="AO900" i="10"/>
  <c r="AO901" i="10"/>
  <c r="AO902" i="10"/>
  <c r="AO3" i="10"/>
  <c r="AN4" i="10"/>
  <c r="AN5" i="10"/>
  <c r="AN6" i="10"/>
  <c r="AN7" i="10"/>
  <c r="AN8" i="10"/>
  <c r="AN9" i="10"/>
  <c r="AN10" i="10"/>
  <c r="AN11" i="10"/>
  <c r="AN12" i="10"/>
  <c r="AN13" i="10"/>
  <c r="AN14" i="10"/>
  <c r="AN15" i="10"/>
  <c r="AN16" i="10"/>
  <c r="AN17" i="10"/>
  <c r="AN18" i="10"/>
  <c r="AN19" i="10"/>
  <c r="AN20" i="10"/>
  <c r="AN21" i="10"/>
  <c r="AN22" i="10"/>
  <c r="AN23" i="10"/>
  <c r="AN24" i="10"/>
  <c r="AN25" i="10"/>
  <c r="AN26" i="10"/>
  <c r="AN27" i="10"/>
  <c r="AN28" i="10"/>
  <c r="AN29" i="10"/>
  <c r="AN30" i="10"/>
  <c r="AN31" i="10"/>
  <c r="AN32" i="10"/>
  <c r="AN33" i="10"/>
  <c r="AN34" i="10"/>
  <c r="AN35" i="10"/>
  <c r="AN36" i="10"/>
  <c r="AN37" i="10"/>
  <c r="AN38" i="10"/>
  <c r="AN39" i="10"/>
  <c r="AN40" i="10"/>
  <c r="AN41" i="10"/>
  <c r="AN42" i="10"/>
  <c r="AN43" i="10"/>
  <c r="AN44" i="10"/>
  <c r="AN45" i="10"/>
  <c r="AN46" i="10"/>
  <c r="AN47" i="10"/>
  <c r="AN48" i="10"/>
  <c r="AN49" i="10"/>
  <c r="AN50" i="10"/>
  <c r="AN51" i="10"/>
  <c r="AN52" i="10"/>
  <c r="AN53" i="10"/>
  <c r="AN54" i="10"/>
  <c r="AN55" i="10"/>
  <c r="AN56" i="10"/>
  <c r="AN57" i="10"/>
  <c r="AN58" i="10"/>
  <c r="AN59" i="10"/>
  <c r="AN60" i="10"/>
  <c r="AN61" i="10"/>
  <c r="AN62" i="10"/>
  <c r="AN63" i="10"/>
  <c r="AN64" i="10"/>
  <c r="AN65" i="10"/>
  <c r="AN66" i="10"/>
  <c r="AN67" i="10"/>
  <c r="AN68" i="10"/>
  <c r="AN69" i="10"/>
  <c r="AN70" i="10"/>
  <c r="AN71" i="10"/>
  <c r="AN72" i="10"/>
  <c r="AN73" i="10"/>
  <c r="AN74" i="10"/>
  <c r="AN75" i="10"/>
  <c r="AN76" i="10"/>
  <c r="AN77" i="10"/>
  <c r="AN78" i="10"/>
  <c r="AN79" i="10"/>
  <c r="AN80" i="10"/>
  <c r="AN81" i="10"/>
  <c r="AN82" i="10"/>
  <c r="AN83" i="10"/>
  <c r="AN84" i="10"/>
  <c r="AN85" i="10"/>
  <c r="AN86" i="10"/>
  <c r="AN87" i="10"/>
  <c r="AN88" i="10"/>
  <c r="AN89" i="10"/>
  <c r="AN90" i="10"/>
  <c r="AN91" i="10"/>
  <c r="AN92" i="10"/>
  <c r="AN93" i="10"/>
  <c r="AN94" i="10"/>
  <c r="AN95" i="10"/>
  <c r="AN96" i="10"/>
  <c r="AN97" i="10"/>
  <c r="AN98" i="10"/>
  <c r="AN99" i="10"/>
  <c r="AN100" i="10"/>
  <c r="AN101" i="10"/>
  <c r="AN102" i="10"/>
  <c r="AN103" i="10"/>
  <c r="AN104" i="10"/>
  <c r="AN105" i="10"/>
  <c r="AN106" i="10"/>
  <c r="AN107" i="10"/>
  <c r="AN108" i="10"/>
  <c r="AN109" i="10"/>
  <c r="AN110" i="10"/>
  <c r="AN111" i="10"/>
  <c r="AN112" i="10"/>
  <c r="AN113" i="10"/>
  <c r="AN114" i="10"/>
  <c r="AN115" i="10"/>
  <c r="AN116" i="10"/>
  <c r="AN117" i="10"/>
  <c r="AN118" i="10"/>
  <c r="AN119" i="10"/>
  <c r="AN120" i="10"/>
  <c r="AN121" i="10"/>
  <c r="AN122" i="10"/>
  <c r="AN123" i="10"/>
  <c r="AN124" i="10"/>
  <c r="AN125" i="10"/>
  <c r="AN126" i="10"/>
  <c r="AN127" i="10"/>
  <c r="AN128" i="10"/>
  <c r="AN129" i="10"/>
  <c r="AN130" i="10"/>
  <c r="AN131" i="10"/>
  <c r="AN132" i="10"/>
  <c r="AN133" i="10"/>
  <c r="AN134" i="10"/>
  <c r="AN135" i="10"/>
  <c r="AN136" i="10"/>
  <c r="AN137" i="10"/>
  <c r="AN138" i="10"/>
  <c r="AN139" i="10"/>
  <c r="AN140" i="10"/>
  <c r="AN141" i="10"/>
  <c r="AN142" i="10"/>
  <c r="AN143" i="10"/>
  <c r="AN144" i="10"/>
  <c r="AN145" i="10"/>
  <c r="AN146" i="10"/>
  <c r="AN147" i="10"/>
  <c r="AN148" i="10"/>
  <c r="AN149" i="10"/>
  <c r="AN150" i="10"/>
  <c r="AN151" i="10"/>
  <c r="AN152" i="10"/>
  <c r="AN153" i="10"/>
  <c r="AN154" i="10"/>
  <c r="AN155" i="10"/>
  <c r="AN156" i="10"/>
  <c r="AN157" i="10"/>
  <c r="AN158" i="10"/>
  <c r="AN159" i="10"/>
  <c r="AN160" i="10"/>
  <c r="AN161" i="10"/>
  <c r="AN162" i="10"/>
  <c r="AN163" i="10"/>
  <c r="AN164" i="10"/>
  <c r="AN165" i="10"/>
  <c r="AN166" i="10"/>
  <c r="AN167" i="10"/>
  <c r="AN168" i="10"/>
  <c r="AN169" i="10"/>
  <c r="AN170" i="10"/>
  <c r="AN171" i="10"/>
  <c r="AN172" i="10"/>
  <c r="AN173" i="10"/>
  <c r="AN174" i="10"/>
  <c r="AN175" i="10"/>
  <c r="AN176" i="10"/>
  <c r="AN177" i="10"/>
  <c r="AN178" i="10"/>
  <c r="AN179" i="10"/>
  <c r="AN180" i="10"/>
  <c r="AN181" i="10"/>
  <c r="AN182" i="10"/>
  <c r="AN183" i="10"/>
  <c r="AN184" i="10"/>
  <c r="AN185" i="10"/>
  <c r="AN186" i="10"/>
  <c r="AN187" i="10"/>
  <c r="AN188" i="10"/>
  <c r="AN189" i="10"/>
  <c r="AN190" i="10"/>
  <c r="AN191" i="10"/>
  <c r="AN192" i="10"/>
  <c r="AN193" i="10"/>
  <c r="AN194" i="10"/>
  <c r="AN195" i="10"/>
  <c r="AN196" i="10"/>
  <c r="AN197" i="10"/>
  <c r="AN198" i="10"/>
  <c r="AN199" i="10"/>
  <c r="AN200" i="10"/>
  <c r="AN201" i="10"/>
  <c r="AN202" i="10"/>
  <c r="AN203" i="10"/>
  <c r="AN204" i="10"/>
  <c r="AN205" i="10"/>
  <c r="AN206" i="10"/>
  <c r="AN207" i="10"/>
  <c r="AN208" i="10"/>
  <c r="AN209" i="10"/>
  <c r="AN210" i="10"/>
  <c r="AN211" i="10"/>
  <c r="AN212" i="10"/>
  <c r="AN213" i="10"/>
  <c r="AN214" i="10"/>
  <c r="AN215" i="10"/>
  <c r="AN216" i="10"/>
  <c r="AN217" i="10"/>
  <c r="AN218" i="10"/>
  <c r="AN219" i="10"/>
  <c r="AN220" i="10"/>
  <c r="AN221" i="10"/>
  <c r="AN222" i="10"/>
  <c r="AN223" i="10"/>
  <c r="AN224" i="10"/>
  <c r="AN225" i="10"/>
  <c r="AN226" i="10"/>
  <c r="AN227" i="10"/>
  <c r="AN228" i="10"/>
  <c r="AN229" i="10"/>
  <c r="AN230" i="10"/>
  <c r="AN231" i="10"/>
  <c r="AN232" i="10"/>
  <c r="AN233" i="10"/>
  <c r="AN234" i="10"/>
  <c r="AN235" i="10"/>
  <c r="AN236" i="10"/>
  <c r="AN237" i="10"/>
  <c r="AN238" i="10"/>
  <c r="AN239" i="10"/>
  <c r="AN240" i="10"/>
  <c r="AN241" i="10"/>
  <c r="AN242" i="10"/>
  <c r="AN243" i="10"/>
  <c r="AN244" i="10"/>
  <c r="AN245" i="10"/>
  <c r="AN246" i="10"/>
  <c r="AN247" i="10"/>
  <c r="AN248" i="10"/>
  <c r="AN249" i="10"/>
  <c r="AN250" i="10"/>
  <c r="AN251" i="10"/>
  <c r="AN252" i="10"/>
  <c r="AN253" i="10"/>
  <c r="AN254" i="10"/>
  <c r="AN255" i="10"/>
  <c r="AN256" i="10"/>
  <c r="AN257" i="10"/>
  <c r="AN258" i="10"/>
  <c r="AN259" i="10"/>
  <c r="AN260" i="10"/>
  <c r="AN261" i="10"/>
  <c r="AN262" i="10"/>
  <c r="AN263" i="10"/>
  <c r="AN264" i="10"/>
  <c r="AN265" i="10"/>
  <c r="AN266" i="10"/>
  <c r="AN267" i="10"/>
  <c r="AN268" i="10"/>
  <c r="AN269" i="10"/>
  <c r="AN270" i="10"/>
  <c r="AN271" i="10"/>
  <c r="AN272" i="10"/>
  <c r="AN273" i="10"/>
  <c r="AN274" i="10"/>
  <c r="AN275" i="10"/>
  <c r="AN276" i="10"/>
  <c r="AN277" i="10"/>
  <c r="AN278" i="10"/>
  <c r="AN279" i="10"/>
  <c r="AN280" i="10"/>
  <c r="AN281" i="10"/>
  <c r="AN282" i="10"/>
  <c r="AN283" i="10"/>
  <c r="AN284" i="10"/>
  <c r="AN285" i="10"/>
  <c r="AN286" i="10"/>
  <c r="AN287" i="10"/>
  <c r="AN288" i="10"/>
  <c r="AN289" i="10"/>
  <c r="AN290" i="10"/>
  <c r="AN291" i="10"/>
  <c r="AN292" i="10"/>
  <c r="AN293" i="10"/>
  <c r="AN294" i="10"/>
  <c r="AN295" i="10"/>
  <c r="AN296" i="10"/>
  <c r="AN297" i="10"/>
  <c r="AN298" i="10"/>
  <c r="AN299" i="10"/>
  <c r="AN300" i="10"/>
  <c r="AN301" i="10"/>
  <c r="AN302" i="10"/>
  <c r="AN303" i="10"/>
  <c r="AN304" i="10"/>
  <c r="AN305" i="10"/>
  <c r="AN306" i="10"/>
  <c r="AN307" i="10"/>
  <c r="AN308" i="10"/>
  <c r="AN309" i="10"/>
  <c r="AN310" i="10"/>
  <c r="AN311" i="10"/>
  <c r="AN312" i="10"/>
  <c r="AN313" i="10"/>
  <c r="AN314" i="10"/>
  <c r="AN315" i="10"/>
  <c r="AN316" i="10"/>
  <c r="AN317" i="10"/>
  <c r="AN318" i="10"/>
  <c r="AN319" i="10"/>
  <c r="AN320" i="10"/>
  <c r="AN321" i="10"/>
  <c r="AN322" i="10"/>
  <c r="AN323" i="10"/>
  <c r="AN324" i="10"/>
  <c r="AN325" i="10"/>
  <c r="AN326" i="10"/>
  <c r="AN327" i="10"/>
  <c r="AN328" i="10"/>
  <c r="AN329" i="10"/>
  <c r="AN330" i="10"/>
  <c r="AN331" i="10"/>
  <c r="AN332" i="10"/>
  <c r="AN333" i="10"/>
  <c r="AN334" i="10"/>
  <c r="AN335" i="10"/>
  <c r="AN336" i="10"/>
  <c r="AN337" i="10"/>
  <c r="AN338" i="10"/>
  <c r="AN339" i="10"/>
  <c r="AN340" i="10"/>
  <c r="AN341" i="10"/>
  <c r="AN342" i="10"/>
  <c r="AN343" i="10"/>
  <c r="AN344" i="10"/>
  <c r="AN345" i="10"/>
  <c r="AN346" i="10"/>
  <c r="AN347" i="10"/>
  <c r="AN348" i="10"/>
  <c r="AN349" i="10"/>
  <c r="AN350" i="10"/>
  <c r="AN351" i="10"/>
  <c r="AN352" i="10"/>
  <c r="AN353" i="10"/>
  <c r="AN354" i="10"/>
  <c r="AN355" i="10"/>
  <c r="AN356" i="10"/>
  <c r="AN357" i="10"/>
  <c r="AN358" i="10"/>
  <c r="AN359" i="10"/>
  <c r="AN360" i="10"/>
  <c r="AN361" i="10"/>
  <c r="AN362" i="10"/>
  <c r="AN363" i="10"/>
  <c r="AN364" i="10"/>
  <c r="AN365" i="10"/>
  <c r="AN366" i="10"/>
  <c r="AN367" i="10"/>
  <c r="AN368" i="10"/>
  <c r="AN369" i="10"/>
  <c r="AN370" i="10"/>
  <c r="AN371" i="10"/>
  <c r="AN372" i="10"/>
  <c r="AN373" i="10"/>
  <c r="AN374" i="10"/>
  <c r="AN375" i="10"/>
  <c r="AN376" i="10"/>
  <c r="AN377" i="10"/>
  <c r="AN378" i="10"/>
  <c r="AN379" i="10"/>
  <c r="AN380" i="10"/>
  <c r="AN381" i="10"/>
  <c r="AN382" i="10"/>
  <c r="AN383" i="10"/>
  <c r="AN384" i="10"/>
  <c r="AN385" i="10"/>
  <c r="AN386" i="10"/>
  <c r="AN387" i="10"/>
  <c r="AN388" i="10"/>
  <c r="AN389" i="10"/>
  <c r="AN390" i="10"/>
  <c r="AN391" i="10"/>
  <c r="AN392" i="10"/>
  <c r="AN393" i="10"/>
  <c r="AN394" i="10"/>
  <c r="AN395" i="10"/>
  <c r="AN396" i="10"/>
  <c r="AN397" i="10"/>
  <c r="AN398" i="10"/>
  <c r="AN399" i="10"/>
  <c r="AN400" i="10"/>
  <c r="AN401" i="10"/>
  <c r="AN402" i="10"/>
  <c r="AN403" i="10"/>
  <c r="AN404" i="10"/>
  <c r="AN405" i="10"/>
  <c r="AN406" i="10"/>
  <c r="AN407" i="10"/>
  <c r="AN408" i="10"/>
  <c r="AN409" i="10"/>
  <c r="AN410" i="10"/>
  <c r="AN411" i="10"/>
  <c r="AN412" i="10"/>
  <c r="AN413" i="10"/>
  <c r="AN414" i="10"/>
  <c r="AN415" i="10"/>
  <c r="AN416" i="10"/>
  <c r="AN417" i="10"/>
  <c r="AN418" i="10"/>
  <c r="AN419" i="10"/>
  <c r="AN420" i="10"/>
  <c r="AN421" i="10"/>
  <c r="AN422" i="10"/>
  <c r="AN423" i="10"/>
  <c r="AN424" i="10"/>
  <c r="AN425" i="10"/>
  <c r="AN426" i="10"/>
  <c r="AN427" i="10"/>
  <c r="AN428" i="10"/>
  <c r="AN429" i="10"/>
  <c r="AN430" i="10"/>
  <c r="AN431" i="10"/>
  <c r="AN432" i="10"/>
  <c r="AN433" i="10"/>
  <c r="AN434" i="10"/>
  <c r="AN435" i="10"/>
  <c r="AN436" i="10"/>
  <c r="AN437" i="10"/>
  <c r="AN438" i="10"/>
  <c r="AN439" i="10"/>
  <c r="AN440" i="10"/>
  <c r="AN441" i="10"/>
  <c r="AN442" i="10"/>
  <c r="AN443" i="10"/>
  <c r="AN444" i="10"/>
  <c r="AN445" i="10"/>
  <c r="AN446" i="10"/>
  <c r="AN447" i="10"/>
  <c r="AN448" i="10"/>
  <c r="AN449" i="10"/>
  <c r="AN450" i="10"/>
  <c r="AN451" i="10"/>
  <c r="AN452" i="10"/>
  <c r="AN453" i="10"/>
  <c r="AN454" i="10"/>
  <c r="AN455" i="10"/>
  <c r="AN456" i="10"/>
  <c r="AN457" i="10"/>
  <c r="AN458" i="10"/>
  <c r="AN459" i="10"/>
  <c r="AN460" i="10"/>
  <c r="AN461" i="10"/>
  <c r="AN462" i="10"/>
  <c r="AN463" i="10"/>
  <c r="AN464" i="10"/>
  <c r="AN465" i="10"/>
  <c r="AN466" i="10"/>
  <c r="AN467" i="10"/>
  <c r="AN468" i="10"/>
  <c r="AN469" i="10"/>
  <c r="AN470" i="10"/>
  <c r="AN471" i="10"/>
  <c r="AN472" i="10"/>
  <c r="AN473" i="10"/>
  <c r="AN474" i="10"/>
  <c r="AN475" i="10"/>
  <c r="AN476" i="10"/>
  <c r="AN477" i="10"/>
  <c r="AN478" i="10"/>
  <c r="AN479" i="10"/>
  <c r="AN480" i="10"/>
  <c r="AN481" i="10"/>
  <c r="AN482" i="10"/>
  <c r="AN483" i="10"/>
  <c r="AN484" i="10"/>
  <c r="AN485" i="10"/>
  <c r="AN486" i="10"/>
  <c r="AN487" i="10"/>
  <c r="AN488" i="10"/>
  <c r="AN489" i="10"/>
  <c r="AN490" i="10"/>
  <c r="AN491" i="10"/>
  <c r="AN492" i="10"/>
  <c r="AN493" i="10"/>
  <c r="AN494" i="10"/>
  <c r="AN495" i="10"/>
  <c r="AN496" i="10"/>
  <c r="AN497" i="10"/>
  <c r="AN498" i="10"/>
  <c r="AN499" i="10"/>
  <c r="AN500" i="10"/>
  <c r="AN501" i="10"/>
  <c r="AN502" i="10"/>
  <c r="AN503" i="10"/>
  <c r="AN504" i="10"/>
  <c r="AN505" i="10"/>
  <c r="AN506" i="10"/>
  <c r="AN507" i="10"/>
  <c r="AN508" i="10"/>
  <c r="AN509" i="10"/>
  <c r="AN510" i="10"/>
  <c r="AN511" i="10"/>
  <c r="AN512" i="10"/>
  <c r="AN513" i="10"/>
  <c r="AN514" i="10"/>
  <c r="AN515" i="10"/>
  <c r="AN516" i="10"/>
  <c r="AN517" i="10"/>
  <c r="AN518" i="10"/>
  <c r="AN519" i="10"/>
  <c r="AN520" i="10"/>
  <c r="AN521" i="10"/>
  <c r="AN522" i="10"/>
  <c r="AN523" i="10"/>
  <c r="AN524" i="10"/>
  <c r="AN525" i="10"/>
  <c r="AN526" i="10"/>
  <c r="AN527" i="10"/>
  <c r="AN528" i="10"/>
  <c r="AN529" i="10"/>
  <c r="AN530" i="10"/>
  <c r="AN531" i="10"/>
  <c r="AN532" i="10"/>
  <c r="AN533" i="10"/>
  <c r="AN534" i="10"/>
  <c r="AN535" i="10"/>
  <c r="AN536" i="10"/>
  <c r="AN537" i="10"/>
  <c r="AN538" i="10"/>
  <c r="AN539" i="10"/>
  <c r="AN540" i="10"/>
  <c r="AN541" i="10"/>
  <c r="AN542" i="10"/>
  <c r="AN543" i="10"/>
  <c r="AN544" i="10"/>
  <c r="AN545" i="10"/>
  <c r="AN546" i="10"/>
  <c r="AN547" i="10"/>
  <c r="AN548" i="10"/>
  <c r="AN549" i="10"/>
  <c r="AN550" i="10"/>
  <c r="AN551" i="10"/>
  <c r="AN552" i="10"/>
  <c r="AN553" i="10"/>
  <c r="AN554" i="10"/>
  <c r="AN555" i="10"/>
  <c r="AN556" i="10"/>
  <c r="AN557" i="10"/>
  <c r="AN558" i="10"/>
  <c r="AN559" i="10"/>
  <c r="AN560" i="10"/>
  <c r="AN561" i="10"/>
  <c r="AN562" i="10"/>
  <c r="AN563" i="10"/>
  <c r="AN564" i="10"/>
  <c r="AN565" i="10"/>
  <c r="AN566" i="10"/>
  <c r="AN567" i="10"/>
  <c r="AN568" i="10"/>
  <c r="AN569" i="10"/>
  <c r="AN570" i="10"/>
  <c r="AN571" i="10"/>
  <c r="AN572" i="10"/>
  <c r="AN573" i="10"/>
  <c r="AN574" i="10"/>
  <c r="AN575" i="10"/>
  <c r="AN576" i="10"/>
  <c r="AN577" i="10"/>
  <c r="AN578" i="10"/>
  <c r="AN579" i="10"/>
  <c r="AN580" i="10"/>
  <c r="AN581" i="10"/>
  <c r="AN582" i="10"/>
  <c r="AN583" i="10"/>
  <c r="AN584" i="10"/>
  <c r="AN585" i="10"/>
  <c r="AN586" i="10"/>
  <c r="AN587" i="10"/>
  <c r="AN588" i="10"/>
  <c r="AN589" i="10"/>
  <c r="AN590" i="10"/>
  <c r="AN591" i="10"/>
  <c r="AN592" i="10"/>
  <c r="AN593" i="10"/>
  <c r="AN594" i="10"/>
  <c r="AN595" i="10"/>
  <c r="AN596" i="10"/>
  <c r="AN597" i="10"/>
  <c r="AN598" i="10"/>
  <c r="AN599" i="10"/>
  <c r="AN600" i="10"/>
  <c r="AN601" i="10"/>
  <c r="AN602" i="10"/>
  <c r="AN603" i="10"/>
  <c r="AN604" i="10"/>
  <c r="AN605" i="10"/>
  <c r="AN606" i="10"/>
  <c r="AN607" i="10"/>
  <c r="AN608" i="10"/>
  <c r="AN609" i="10"/>
  <c r="AN610" i="10"/>
  <c r="AN611" i="10"/>
  <c r="AN612" i="10"/>
  <c r="AN613" i="10"/>
  <c r="AN614" i="10"/>
  <c r="AN615" i="10"/>
  <c r="AN616" i="10"/>
  <c r="AN617" i="10"/>
  <c r="AN618" i="10"/>
  <c r="AN619" i="10"/>
  <c r="AN620" i="10"/>
  <c r="AN621" i="10"/>
  <c r="AN622" i="10"/>
  <c r="AN623" i="10"/>
  <c r="AN624" i="10"/>
  <c r="AN625" i="10"/>
  <c r="AN626" i="10"/>
  <c r="AN627" i="10"/>
  <c r="AN628" i="10"/>
  <c r="AN629" i="10"/>
  <c r="AN630" i="10"/>
  <c r="AN631" i="10"/>
  <c r="AN632" i="10"/>
  <c r="AN633" i="10"/>
  <c r="AN634" i="10"/>
  <c r="AN635" i="10"/>
  <c r="AN636" i="10"/>
  <c r="AN637" i="10"/>
  <c r="AN638" i="10"/>
  <c r="AN639" i="10"/>
  <c r="AN640" i="10"/>
  <c r="AN641" i="10"/>
  <c r="AN642" i="10"/>
  <c r="AN643" i="10"/>
  <c r="AN644" i="10"/>
  <c r="AN645" i="10"/>
  <c r="AN646" i="10"/>
  <c r="AN647" i="10"/>
  <c r="AN648" i="10"/>
  <c r="AN649" i="10"/>
  <c r="AN650" i="10"/>
  <c r="AN651" i="10"/>
  <c r="AN652" i="10"/>
  <c r="AN653" i="10"/>
  <c r="AN654" i="10"/>
  <c r="AN655" i="10"/>
  <c r="AN656" i="10"/>
  <c r="AN657" i="10"/>
  <c r="AN658" i="10"/>
  <c r="AN659" i="10"/>
  <c r="AN660" i="10"/>
  <c r="AN661" i="10"/>
  <c r="AN662" i="10"/>
  <c r="AN663" i="10"/>
  <c r="AN664" i="10"/>
  <c r="AN665" i="10"/>
  <c r="AN666" i="10"/>
  <c r="AN667" i="10"/>
  <c r="AN668" i="10"/>
  <c r="AN669" i="10"/>
  <c r="AN670" i="10"/>
  <c r="AN671" i="10"/>
  <c r="AN672" i="10"/>
  <c r="AN673" i="10"/>
  <c r="AN674" i="10"/>
  <c r="AN675" i="10"/>
  <c r="AN676" i="10"/>
  <c r="AN677" i="10"/>
  <c r="AN678" i="10"/>
  <c r="AN679" i="10"/>
  <c r="AN680" i="10"/>
  <c r="AN681" i="10"/>
  <c r="AN682" i="10"/>
  <c r="AN683" i="10"/>
  <c r="AN684" i="10"/>
  <c r="AN685" i="10"/>
  <c r="AN686" i="10"/>
  <c r="AN687" i="10"/>
  <c r="AN688" i="10"/>
  <c r="AN689" i="10"/>
  <c r="AN690" i="10"/>
  <c r="AN691" i="10"/>
  <c r="AN692" i="10"/>
  <c r="AN693" i="10"/>
  <c r="AN694" i="10"/>
  <c r="AN695" i="10"/>
  <c r="AN696" i="10"/>
  <c r="AN697" i="10"/>
  <c r="AN698" i="10"/>
  <c r="AN699" i="10"/>
  <c r="AN700" i="10"/>
  <c r="AN701" i="10"/>
  <c r="AN702" i="10"/>
  <c r="AS702" i="10" s="1"/>
  <c r="AN703" i="10"/>
  <c r="AN704" i="10"/>
  <c r="AN705" i="10"/>
  <c r="AN706" i="10"/>
  <c r="AN707" i="10"/>
  <c r="AS707" i="10" s="1"/>
  <c r="AN708" i="10"/>
  <c r="AN709" i="10"/>
  <c r="AN710" i="10"/>
  <c r="AN711" i="10"/>
  <c r="AN712" i="10"/>
  <c r="AS712" i="10" s="1"/>
  <c r="AN713" i="10"/>
  <c r="AN714" i="10"/>
  <c r="AN715" i="10"/>
  <c r="AN716" i="10"/>
  <c r="AN717" i="10"/>
  <c r="AN718" i="10"/>
  <c r="AS718" i="10" s="1"/>
  <c r="AN719" i="10"/>
  <c r="AN720" i="10"/>
  <c r="AN721" i="10"/>
  <c r="AN722" i="10"/>
  <c r="AS722" i="10" s="1"/>
  <c r="AN723" i="10"/>
  <c r="AN724" i="10"/>
  <c r="AN725" i="10"/>
  <c r="AN726" i="10"/>
  <c r="AS726" i="10" s="1"/>
  <c r="AN727" i="10"/>
  <c r="AN728" i="10"/>
  <c r="AN729" i="10"/>
  <c r="AN730" i="10"/>
  <c r="AS730" i="10" s="1"/>
  <c r="AN731" i="10"/>
  <c r="AN732" i="10"/>
  <c r="AN733" i="10"/>
  <c r="AN734" i="10"/>
  <c r="AS734" i="10" s="1"/>
  <c r="AN735" i="10"/>
  <c r="AN736" i="10"/>
  <c r="AN737" i="10"/>
  <c r="AN738" i="10"/>
  <c r="AS738" i="10" s="1"/>
  <c r="AN739" i="10"/>
  <c r="AN740" i="10"/>
  <c r="AN741" i="10"/>
  <c r="AN742" i="10"/>
  <c r="AS742" i="10" s="1"/>
  <c r="AN743" i="10"/>
  <c r="AN744" i="10"/>
  <c r="AN745" i="10"/>
  <c r="AN746" i="10"/>
  <c r="AS746" i="10" s="1"/>
  <c r="AN747" i="10"/>
  <c r="AN748" i="10"/>
  <c r="AN749" i="10"/>
  <c r="AN750" i="10"/>
  <c r="AS750" i="10" s="1"/>
  <c r="AN751" i="10"/>
  <c r="AN752" i="10"/>
  <c r="AN753" i="10"/>
  <c r="AN754" i="10"/>
  <c r="AS754" i="10" s="1"/>
  <c r="AN755" i="10"/>
  <c r="AN756" i="10"/>
  <c r="AN757" i="10"/>
  <c r="AN758" i="10"/>
  <c r="AS758" i="10" s="1"/>
  <c r="AN759" i="10"/>
  <c r="AN760" i="10"/>
  <c r="AN761" i="10"/>
  <c r="AN762" i="10"/>
  <c r="AS762" i="10" s="1"/>
  <c r="AN763" i="10"/>
  <c r="AN764" i="10"/>
  <c r="AN765" i="10"/>
  <c r="AN766" i="10"/>
  <c r="AS766" i="10" s="1"/>
  <c r="AN767" i="10"/>
  <c r="AN768" i="10"/>
  <c r="AN769" i="10"/>
  <c r="AN770" i="10"/>
  <c r="AS770" i="10" s="1"/>
  <c r="AN771" i="10"/>
  <c r="AN772" i="10"/>
  <c r="AN773" i="10"/>
  <c r="AN774" i="10"/>
  <c r="AS774" i="10" s="1"/>
  <c r="AN775" i="10"/>
  <c r="AN776" i="10"/>
  <c r="AN777" i="10"/>
  <c r="AN778" i="10"/>
  <c r="AS778" i="10" s="1"/>
  <c r="AN779" i="10"/>
  <c r="AN780" i="10"/>
  <c r="AN781" i="10"/>
  <c r="AN782" i="10"/>
  <c r="AS782" i="10" s="1"/>
  <c r="AN783" i="10"/>
  <c r="AN784" i="10"/>
  <c r="AN785" i="10"/>
  <c r="AN786" i="10"/>
  <c r="AS786" i="10" s="1"/>
  <c r="AN787" i="10"/>
  <c r="AN788" i="10"/>
  <c r="AN789" i="10"/>
  <c r="AN790" i="10"/>
  <c r="AS790" i="10" s="1"/>
  <c r="AN791" i="10"/>
  <c r="AN792" i="10"/>
  <c r="AN793" i="10"/>
  <c r="AN794" i="10"/>
  <c r="AS794" i="10" s="1"/>
  <c r="AN795" i="10"/>
  <c r="AN796" i="10"/>
  <c r="AN797" i="10"/>
  <c r="AN798" i="10"/>
  <c r="AS798" i="10" s="1"/>
  <c r="AN799" i="10"/>
  <c r="AN800" i="10"/>
  <c r="AN801" i="10"/>
  <c r="AN802" i="10"/>
  <c r="AS802" i="10" s="1"/>
  <c r="AN803" i="10"/>
  <c r="AN804" i="10"/>
  <c r="AN805" i="10"/>
  <c r="AN806" i="10"/>
  <c r="AS806" i="10" s="1"/>
  <c r="AN807" i="10"/>
  <c r="AN808" i="10"/>
  <c r="AN809" i="10"/>
  <c r="AN810" i="10"/>
  <c r="AS810" i="10" s="1"/>
  <c r="AN811" i="10"/>
  <c r="AN812" i="10"/>
  <c r="AN813" i="10"/>
  <c r="AN814" i="10"/>
  <c r="AS814" i="10" s="1"/>
  <c r="AN815" i="10"/>
  <c r="AN816" i="10"/>
  <c r="AN817" i="10"/>
  <c r="AN818" i="10"/>
  <c r="AS818" i="10" s="1"/>
  <c r="AN819" i="10"/>
  <c r="AN820" i="10"/>
  <c r="AN821" i="10"/>
  <c r="AN822" i="10"/>
  <c r="AS822" i="10" s="1"/>
  <c r="AN823" i="10"/>
  <c r="AN824" i="10"/>
  <c r="AN825" i="10"/>
  <c r="AN826" i="10"/>
  <c r="AS826" i="10" s="1"/>
  <c r="AN827" i="10"/>
  <c r="AN828" i="10"/>
  <c r="AN829" i="10"/>
  <c r="AN830" i="10"/>
  <c r="AS830" i="10" s="1"/>
  <c r="AN831" i="10"/>
  <c r="AN832" i="10"/>
  <c r="AN833" i="10"/>
  <c r="AN834" i="10"/>
  <c r="AS834" i="10" s="1"/>
  <c r="AN835" i="10"/>
  <c r="AN836" i="10"/>
  <c r="AN837" i="10"/>
  <c r="AN838" i="10"/>
  <c r="AS838" i="10" s="1"/>
  <c r="AN839" i="10"/>
  <c r="AN840" i="10"/>
  <c r="AN841" i="10"/>
  <c r="AN842" i="10"/>
  <c r="AS842" i="10" s="1"/>
  <c r="AN843" i="10"/>
  <c r="AN844" i="10"/>
  <c r="AN845" i="10"/>
  <c r="AN846" i="10"/>
  <c r="AS846" i="10" s="1"/>
  <c r="AN847" i="10"/>
  <c r="AN848" i="10"/>
  <c r="AN849" i="10"/>
  <c r="AN850" i="10"/>
  <c r="AS850" i="10" s="1"/>
  <c r="AN851" i="10"/>
  <c r="AN852" i="10"/>
  <c r="AN853" i="10"/>
  <c r="AN854" i="10"/>
  <c r="AS854" i="10" s="1"/>
  <c r="AN855" i="10"/>
  <c r="AN856" i="10"/>
  <c r="AN857" i="10"/>
  <c r="AN858" i="10"/>
  <c r="AS858" i="10" s="1"/>
  <c r="AN859" i="10"/>
  <c r="AN860" i="10"/>
  <c r="AN861" i="10"/>
  <c r="AN862" i="10"/>
  <c r="AS862" i="10" s="1"/>
  <c r="AN863" i="10"/>
  <c r="AN864" i="10"/>
  <c r="AN865" i="10"/>
  <c r="AN866" i="10"/>
  <c r="AS866" i="10" s="1"/>
  <c r="AN867" i="10"/>
  <c r="AN868" i="10"/>
  <c r="AN869" i="10"/>
  <c r="AN870" i="10"/>
  <c r="AS870" i="10" s="1"/>
  <c r="AN871" i="10"/>
  <c r="AN872" i="10"/>
  <c r="AN873" i="10"/>
  <c r="AN874" i="10"/>
  <c r="AS874" i="10" s="1"/>
  <c r="AN875" i="10"/>
  <c r="AN876" i="10"/>
  <c r="AN877" i="10"/>
  <c r="AN878" i="10"/>
  <c r="AS878" i="10" s="1"/>
  <c r="AN879" i="10"/>
  <c r="AN880" i="10"/>
  <c r="AN881" i="10"/>
  <c r="AN882" i="10"/>
  <c r="AS882" i="10" s="1"/>
  <c r="AN883" i="10"/>
  <c r="AN884" i="10"/>
  <c r="AN885" i="10"/>
  <c r="AN886" i="10"/>
  <c r="AS886" i="10" s="1"/>
  <c r="AN887" i="10"/>
  <c r="AN888" i="10"/>
  <c r="AN889" i="10"/>
  <c r="AN890" i="10"/>
  <c r="AS890" i="10" s="1"/>
  <c r="AN891" i="10"/>
  <c r="AN892" i="10"/>
  <c r="AN893" i="10"/>
  <c r="AN894" i="10"/>
  <c r="AS894" i="10" s="1"/>
  <c r="AN895" i="10"/>
  <c r="AN896" i="10"/>
  <c r="AN897" i="10"/>
  <c r="AN898" i="10"/>
  <c r="AS898" i="10" s="1"/>
  <c r="AN899" i="10"/>
  <c r="AN900" i="10"/>
  <c r="AN901" i="10"/>
  <c r="AN902" i="10"/>
  <c r="AS902" i="10" s="1"/>
  <c r="AN3" i="10"/>
  <c r="AI19" i="10"/>
  <c r="AI20" i="10"/>
  <c r="AI21" i="10"/>
  <c r="AI22" i="10"/>
  <c r="AI23" i="10"/>
  <c r="AH19" i="10"/>
  <c r="AH20" i="10"/>
  <c r="AH21" i="10"/>
  <c r="AH22" i="10"/>
  <c r="AH23" i="10"/>
  <c r="AG19" i="10"/>
  <c r="AG20" i="10"/>
  <c r="AG21" i="10"/>
  <c r="AG22" i="10"/>
  <c r="AG23" i="10"/>
  <c r="AF20" i="10"/>
  <c r="AF21" i="10"/>
  <c r="AF22" i="10"/>
  <c r="AF23" i="10"/>
  <c r="AF4" i="10"/>
  <c r="AF5" i="10"/>
  <c r="AF6" i="10"/>
  <c r="AF7" i="10"/>
  <c r="AF8" i="10"/>
  <c r="AF9" i="10"/>
  <c r="AF10" i="10"/>
  <c r="AF11" i="10"/>
  <c r="AF12" i="10"/>
  <c r="AF13" i="10"/>
  <c r="AF14" i="10"/>
  <c r="AF15" i="10"/>
  <c r="AF16" i="10"/>
  <c r="AF17" i="10"/>
  <c r="AF18" i="10"/>
  <c r="AF19" i="10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3" i="10"/>
  <c r="AH4" i="10"/>
  <c r="AH5" i="10"/>
  <c r="AH6" i="10"/>
  <c r="AH7" i="10"/>
  <c r="AH8" i="10"/>
  <c r="AH9" i="10"/>
  <c r="AH10" i="10"/>
  <c r="AH11" i="10"/>
  <c r="AH12" i="10"/>
  <c r="AH13" i="10"/>
  <c r="AH14" i="10"/>
  <c r="AH15" i="10"/>
  <c r="AH16" i="10"/>
  <c r="AH17" i="10"/>
  <c r="AH18" i="10"/>
  <c r="AH3" i="10"/>
  <c r="AG4" i="10"/>
  <c r="AG5" i="10"/>
  <c r="AG6" i="10"/>
  <c r="AG7" i="10"/>
  <c r="AG8" i="10"/>
  <c r="AG9" i="10"/>
  <c r="AG10" i="10"/>
  <c r="AG11" i="10"/>
  <c r="AG12" i="10"/>
  <c r="AG13" i="10"/>
  <c r="AG14" i="10"/>
  <c r="AG15" i="10"/>
  <c r="AG16" i="10"/>
  <c r="AG17" i="10"/>
  <c r="AG18" i="10"/>
  <c r="AG3" i="10"/>
  <c r="AF3" i="10"/>
  <c r="Y8" i="10"/>
  <c r="AB8" i="10" s="1"/>
  <c r="Y7" i="10"/>
  <c r="AB7" i="10" s="1"/>
  <c r="Y6" i="10"/>
  <c r="AB6" i="10" s="1"/>
  <c r="Y5" i="10"/>
  <c r="AB5" i="10" s="1"/>
  <c r="Y4" i="10"/>
  <c r="AB4" i="10" s="1"/>
  <c r="Y3" i="10"/>
  <c r="AB3" i="10" s="1"/>
  <c r="X8" i="10"/>
  <c r="AA8" i="10" s="1"/>
  <c r="X7" i="10"/>
  <c r="AA7" i="10" s="1"/>
  <c r="X6" i="10"/>
  <c r="AA6" i="10" s="1"/>
  <c r="X5" i="10"/>
  <c r="AA5" i="10" s="1"/>
  <c r="X4" i="10"/>
  <c r="AA4" i="10" s="1"/>
  <c r="X3" i="10"/>
  <c r="AA3" i="10" s="1"/>
  <c r="W8" i="10"/>
  <c r="W7" i="10"/>
  <c r="W6" i="10"/>
  <c r="W5" i="10"/>
  <c r="W4" i="10"/>
  <c r="W3" i="10"/>
  <c r="V8" i="10"/>
  <c r="V7" i="10"/>
  <c r="V6" i="10"/>
  <c r="V5" i="10"/>
  <c r="V4" i="10"/>
  <c r="V3" i="10"/>
  <c r="I5" i="10"/>
  <c r="I4" i="10"/>
  <c r="I3" i="10"/>
  <c r="H5" i="10"/>
  <c r="H4" i="10"/>
  <c r="H3" i="10"/>
  <c r="G5" i="10"/>
  <c r="G4" i="10"/>
  <c r="G3" i="10"/>
  <c r="F5" i="10"/>
  <c r="F4" i="10"/>
  <c r="F3" i="10"/>
  <c r="E5" i="10"/>
  <c r="E4" i="10"/>
  <c r="E3" i="10"/>
  <c r="B13" i="10"/>
  <c r="B12" i="10"/>
  <c r="B11" i="10"/>
  <c r="B10" i="10"/>
  <c r="B9" i="10"/>
  <c r="B3" i="10"/>
  <c r="B5" i="10"/>
  <c r="B4" i="10"/>
  <c r="B8" i="10"/>
  <c r="B7" i="10"/>
  <c r="B6" i="10"/>
  <c r="B2" i="10"/>
  <c r="BZ6" i="10" l="1"/>
  <c r="AC6" i="11"/>
  <c r="AC4" i="11"/>
  <c r="AC2" i="11"/>
  <c r="AC3" i="11"/>
  <c r="AC5" i="11"/>
  <c r="Z6" i="10"/>
  <c r="J5" i="10"/>
  <c r="Z3" i="10"/>
  <c r="Z7" i="10"/>
  <c r="J3" i="10"/>
  <c r="Z5" i="10"/>
  <c r="AW9" i="10"/>
  <c r="J4" i="10"/>
  <c r="Z4" i="10"/>
  <c r="Z8" i="10"/>
  <c r="AJ21" i="10"/>
  <c r="AJ20" i="10"/>
  <c r="AJ15" i="10"/>
  <c r="AJ11" i="10"/>
  <c r="AJ7" i="10"/>
  <c r="AJ23" i="10"/>
  <c r="AJ22" i="10"/>
  <c r="AJ17" i="10"/>
  <c r="EH9" i="10" s="1"/>
  <c r="AJ13" i="10"/>
  <c r="EH7" i="10" s="1"/>
  <c r="AJ9" i="10"/>
  <c r="AJ5" i="10"/>
  <c r="EH5" i="10" s="1"/>
  <c r="AJ16" i="10"/>
  <c r="EH8" i="10" s="1"/>
  <c r="AJ12" i="10"/>
  <c r="AJ8" i="10"/>
  <c r="AJ4" i="10"/>
  <c r="EH4" i="10" s="1"/>
  <c r="AJ3" i="10"/>
  <c r="EH3" i="10" s="1"/>
  <c r="AJ18" i="10"/>
  <c r="AJ14" i="10"/>
  <c r="AJ10" i="10"/>
  <c r="AJ6" i="10"/>
  <c r="EH6" i="10" s="1"/>
  <c r="AJ19" i="10"/>
  <c r="AR894" i="10"/>
  <c r="AR878" i="10"/>
  <c r="AR862" i="10"/>
  <c r="AR846" i="10"/>
  <c r="AR830" i="10"/>
  <c r="AR814" i="10"/>
  <c r="AR798" i="10"/>
  <c r="AR782" i="10"/>
  <c r="AR766" i="10"/>
  <c r="AR750" i="10"/>
  <c r="AR734" i="10"/>
  <c r="AR718" i="10"/>
  <c r="AR890" i="10"/>
  <c r="AR874" i="10"/>
  <c r="AR858" i="10"/>
  <c r="AR842" i="10"/>
  <c r="AR826" i="10"/>
  <c r="AR810" i="10"/>
  <c r="AR794" i="10"/>
  <c r="AR778" i="10"/>
  <c r="AR762" i="10"/>
  <c r="AR746" i="10"/>
  <c r="AR730" i="10"/>
  <c r="AR712" i="10"/>
  <c r="AR902" i="10"/>
  <c r="AR886" i="10"/>
  <c r="AR870" i="10"/>
  <c r="AR854" i="10"/>
  <c r="AR838" i="10"/>
  <c r="AR822" i="10"/>
  <c r="AR806" i="10"/>
  <c r="AR790" i="10"/>
  <c r="AR774" i="10"/>
  <c r="AR758" i="10"/>
  <c r="AR742" i="10"/>
  <c r="AR726" i="10"/>
  <c r="AR707" i="10"/>
  <c r="AR898" i="10"/>
  <c r="AR882" i="10"/>
  <c r="AR866" i="10"/>
  <c r="AR850" i="10"/>
  <c r="AR834" i="10"/>
  <c r="AR818" i="10"/>
  <c r="AR802" i="10"/>
  <c r="AR786" i="10"/>
  <c r="AR770" i="10"/>
  <c r="AR754" i="10"/>
  <c r="AR738" i="10"/>
  <c r="AR722" i="10"/>
  <c r="AR702" i="10"/>
  <c r="AS3" i="10"/>
  <c r="AR3" i="10"/>
  <c r="AS901" i="10"/>
  <c r="AR901" i="10"/>
  <c r="AS900" i="10"/>
  <c r="AR900" i="10"/>
  <c r="AS899" i="10"/>
  <c r="AR899" i="10"/>
  <c r="AS897" i="10"/>
  <c r="AR897" i="10"/>
  <c r="AS896" i="10"/>
  <c r="AR896" i="10"/>
  <c r="AS895" i="10"/>
  <c r="AR895" i="10"/>
  <c r="AS893" i="10"/>
  <c r="AR893" i="10"/>
  <c r="AS892" i="10"/>
  <c r="AR892" i="10"/>
  <c r="AS891" i="10"/>
  <c r="AR891" i="10"/>
  <c r="AS889" i="10"/>
  <c r="AR889" i="10"/>
  <c r="AS888" i="10"/>
  <c r="AR888" i="10"/>
  <c r="AS887" i="10"/>
  <c r="AR887" i="10"/>
  <c r="AS885" i="10"/>
  <c r="AR885" i="10"/>
  <c r="AR884" i="10"/>
  <c r="AS884" i="10"/>
  <c r="AS883" i="10"/>
  <c r="AR883" i="10"/>
  <c r="AS881" i="10"/>
  <c r="AR881" i="10"/>
  <c r="AS880" i="10"/>
  <c r="AR880" i="10"/>
  <c r="AS879" i="10"/>
  <c r="AR879" i="10"/>
  <c r="AS877" i="10"/>
  <c r="AR877" i="10"/>
  <c r="AS876" i="10"/>
  <c r="AR876" i="10"/>
  <c r="AS875" i="10"/>
  <c r="AR875" i="10"/>
  <c r="AS873" i="10"/>
  <c r="AR873" i="10"/>
  <c r="AS872" i="10"/>
  <c r="AR872" i="10"/>
  <c r="AS871" i="10"/>
  <c r="AR871" i="10"/>
  <c r="AS869" i="10"/>
  <c r="AR869" i="10"/>
  <c r="AS868" i="10"/>
  <c r="AR868" i="10"/>
  <c r="AS867" i="10"/>
  <c r="AR867" i="10"/>
  <c r="AS865" i="10"/>
  <c r="AR865" i="10"/>
  <c r="AS864" i="10"/>
  <c r="AR864" i="10"/>
  <c r="AS863" i="10"/>
  <c r="AR863" i="10"/>
  <c r="AS861" i="10"/>
  <c r="AR861" i="10"/>
  <c r="AS860" i="10"/>
  <c r="AR860" i="10"/>
  <c r="AS859" i="10"/>
  <c r="AR859" i="10"/>
  <c r="AS857" i="10"/>
  <c r="AR857" i="10"/>
  <c r="AS856" i="10"/>
  <c r="AR856" i="10"/>
  <c r="AS855" i="10"/>
  <c r="AR855" i="10"/>
  <c r="AS853" i="10"/>
  <c r="AR853" i="10"/>
  <c r="AS852" i="10"/>
  <c r="AR852" i="10"/>
  <c r="AS851" i="10"/>
  <c r="AR851" i="10"/>
  <c r="AS849" i="10"/>
  <c r="AR849" i="10"/>
  <c r="AS848" i="10"/>
  <c r="AR848" i="10"/>
  <c r="AR847" i="10"/>
  <c r="AS847" i="10"/>
  <c r="AS845" i="10"/>
  <c r="AR845" i="10"/>
  <c r="AS844" i="10"/>
  <c r="AR844" i="10"/>
  <c r="AS843" i="10"/>
  <c r="AR843" i="10"/>
  <c r="AS841" i="10"/>
  <c r="AR841" i="10"/>
  <c r="AS840" i="10"/>
  <c r="AR840" i="10"/>
  <c r="AS839" i="10"/>
  <c r="AR839" i="10"/>
  <c r="AS837" i="10"/>
  <c r="AR837" i="10"/>
  <c r="AS836" i="10"/>
  <c r="AR836" i="10"/>
  <c r="AS835" i="10"/>
  <c r="AR835" i="10"/>
  <c r="AS833" i="10"/>
  <c r="AR833" i="10"/>
  <c r="AS832" i="10"/>
  <c r="AR832" i="10"/>
  <c r="AS831" i="10"/>
  <c r="AR831" i="10"/>
  <c r="AS829" i="10"/>
  <c r="AR829" i="10"/>
  <c r="AS828" i="10"/>
  <c r="AR828" i="10"/>
  <c r="AS827" i="10"/>
  <c r="AR827" i="10"/>
  <c r="AS825" i="10"/>
  <c r="AR825" i="10"/>
  <c r="AS824" i="10"/>
  <c r="AR824" i="10"/>
  <c r="AS823" i="10"/>
  <c r="AR823" i="10"/>
  <c r="AS821" i="10"/>
  <c r="AR821" i="10"/>
  <c r="AS820" i="10"/>
  <c r="AR820" i="10"/>
  <c r="AS819" i="10"/>
  <c r="AR819" i="10"/>
  <c r="AS817" i="10"/>
  <c r="AR817" i="10"/>
  <c r="AS816" i="10"/>
  <c r="AR816" i="10"/>
  <c r="AS815" i="10"/>
  <c r="AR815" i="10"/>
  <c r="AS813" i="10"/>
  <c r="AR813" i="10"/>
  <c r="AS812" i="10"/>
  <c r="AR812" i="10"/>
  <c r="AS811" i="10"/>
  <c r="AR811" i="10"/>
  <c r="AS809" i="10"/>
  <c r="AR809" i="10"/>
  <c r="AS808" i="10"/>
  <c r="AR808" i="10"/>
  <c r="AS807" i="10"/>
  <c r="AR807" i="10"/>
  <c r="AS805" i="10"/>
  <c r="AR805" i="10"/>
  <c r="AR804" i="10"/>
  <c r="AS804" i="10"/>
  <c r="AS803" i="10"/>
  <c r="AR803" i="10"/>
  <c r="AS801" i="10"/>
  <c r="AR801" i="10"/>
  <c r="AS800" i="10"/>
  <c r="AR800" i="10"/>
  <c r="AR799" i="10"/>
  <c r="AS799" i="10"/>
  <c r="AS797" i="10"/>
  <c r="AR797" i="10"/>
  <c r="AS796" i="10"/>
  <c r="AR796" i="10"/>
  <c r="AS795" i="10"/>
  <c r="AR795" i="10"/>
  <c r="AS793" i="10"/>
  <c r="AR793" i="10"/>
  <c r="AS792" i="10"/>
  <c r="AR792" i="10"/>
  <c r="AS791" i="10"/>
  <c r="AR791" i="10"/>
  <c r="AS789" i="10"/>
  <c r="AR789" i="10"/>
  <c r="AS788" i="10"/>
  <c r="AR788" i="10"/>
  <c r="AS787" i="10"/>
  <c r="AR787" i="10"/>
  <c r="AS785" i="10"/>
  <c r="AR785" i="10"/>
  <c r="AS784" i="10"/>
  <c r="AR784" i="10"/>
  <c r="AR783" i="10"/>
  <c r="AS783" i="10"/>
  <c r="AS781" i="10"/>
  <c r="AR781" i="10"/>
  <c r="AS780" i="10"/>
  <c r="AR780" i="10"/>
  <c r="AS779" i="10"/>
  <c r="AR779" i="10"/>
  <c r="AS777" i="10"/>
  <c r="AR777" i="10"/>
  <c r="AS776" i="10"/>
  <c r="AR776" i="10"/>
  <c r="AS775" i="10"/>
  <c r="AR775" i="10"/>
  <c r="AS773" i="10"/>
  <c r="AR773" i="10"/>
  <c r="AS772" i="10"/>
  <c r="AR772" i="10"/>
  <c r="AS771" i="10"/>
  <c r="AR771" i="10"/>
  <c r="AS769" i="10"/>
  <c r="AR769" i="10"/>
  <c r="AS768" i="10"/>
  <c r="AR768" i="10"/>
  <c r="AS767" i="10"/>
  <c r="AR767" i="10"/>
  <c r="AS765" i="10"/>
  <c r="AR765" i="10"/>
  <c r="AS764" i="10"/>
  <c r="AR764" i="10"/>
  <c r="AS763" i="10"/>
  <c r="AR763" i="10"/>
  <c r="AS761" i="10"/>
  <c r="AR761" i="10"/>
  <c r="AS760" i="10"/>
  <c r="AR760" i="10"/>
  <c r="AS759" i="10"/>
  <c r="AR759" i="10"/>
  <c r="AS757" i="10"/>
  <c r="AR757" i="10"/>
  <c r="AR756" i="10"/>
  <c r="AS756" i="10"/>
  <c r="AS755" i="10"/>
  <c r="AR755" i="10"/>
  <c r="AS753" i="10"/>
  <c r="AR753" i="10"/>
  <c r="AS752" i="10"/>
  <c r="AR752" i="10"/>
  <c r="AS751" i="10"/>
  <c r="AR751" i="10"/>
  <c r="AS749" i="10"/>
  <c r="AR749" i="10"/>
  <c r="AS748" i="10"/>
  <c r="AR748" i="10"/>
  <c r="AS747" i="10"/>
  <c r="AR747" i="10"/>
  <c r="AS745" i="10"/>
  <c r="AR745" i="10"/>
  <c r="AS744" i="10"/>
  <c r="AR744" i="10"/>
  <c r="AS743" i="10"/>
  <c r="AR743" i="10"/>
  <c r="AS741" i="10"/>
  <c r="AR741" i="10"/>
  <c r="AS740" i="10"/>
  <c r="AR740" i="10"/>
  <c r="AR739" i="10"/>
  <c r="AS739" i="10"/>
  <c r="AS737" i="10"/>
  <c r="AR737" i="10"/>
  <c r="AS736" i="10"/>
  <c r="AR736" i="10"/>
  <c r="AS735" i="10"/>
  <c r="AR735" i="10"/>
  <c r="AS733" i="10"/>
  <c r="AR733" i="10"/>
  <c r="AS732" i="10"/>
  <c r="AR732" i="10"/>
  <c r="AS731" i="10"/>
  <c r="AR731" i="10"/>
  <c r="AS729" i="10"/>
  <c r="AR729" i="10"/>
  <c r="AS728" i="10"/>
  <c r="AR728" i="10"/>
  <c r="AS727" i="10"/>
  <c r="AR727" i="10"/>
  <c r="AS725" i="10"/>
  <c r="AR725" i="10"/>
  <c r="AS724" i="10"/>
  <c r="AR724" i="10"/>
  <c r="AS723" i="10"/>
  <c r="AR723" i="10"/>
  <c r="AS721" i="10"/>
  <c r="AR721" i="10"/>
  <c r="AS720" i="10"/>
  <c r="AR720" i="10"/>
  <c r="AS719" i="10"/>
  <c r="AR719" i="10"/>
  <c r="AS717" i="10"/>
  <c r="AR717" i="10"/>
  <c r="AS716" i="10"/>
  <c r="AR716" i="10"/>
  <c r="AS715" i="10"/>
  <c r="AR715" i="10"/>
  <c r="AS714" i="10"/>
  <c r="AR714" i="10"/>
  <c r="AS713" i="10"/>
  <c r="AR713" i="10"/>
  <c r="AR711" i="10"/>
  <c r="AS711" i="10"/>
  <c r="AS710" i="10"/>
  <c r="AR710" i="10"/>
  <c r="AS709" i="10"/>
  <c r="AR709" i="10"/>
  <c r="AS708" i="10"/>
  <c r="AR708" i="10"/>
  <c r="AS706" i="10"/>
  <c r="AR706" i="10"/>
  <c r="AS705" i="10"/>
  <c r="AR705" i="10"/>
  <c r="AR704" i="10"/>
  <c r="AS704" i="10"/>
  <c r="AS703" i="10"/>
  <c r="AR703" i="10"/>
  <c r="AS701" i="10"/>
  <c r="AR701" i="10"/>
  <c r="AS700" i="10"/>
  <c r="AR700" i="10"/>
  <c r="AS699" i="10"/>
  <c r="AR699" i="10"/>
  <c r="AS698" i="10"/>
  <c r="AR698" i="10"/>
  <c r="AS697" i="10"/>
  <c r="AR697" i="10"/>
  <c r="AS696" i="10"/>
  <c r="AR696" i="10"/>
  <c r="AS695" i="10"/>
  <c r="AR695" i="10"/>
  <c r="AS694" i="10"/>
  <c r="AR694" i="10"/>
  <c r="AS693" i="10"/>
  <c r="AR693" i="10"/>
  <c r="AS692" i="10"/>
  <c r="AR692" i="10"/>
  <c r="AS691" i="10"/>
  <c r="AR691" i="10"/>
  <c r="AS690" i="10"/>
  <c r="AR690" i="10"/>
  <c r="AS689" i="10"/>
  <c r="AR689" i="10"/>
  <c r="AS688" i="10"/>
  <c r="AR688" i="10"/>
  <c r="AS687" i="10"/>
  <c r="AR687" i="10"/>
  <c r="AS686" i="10"/>
  <c r="AR686" i="10"/>
  <c r="AS685" i="10"/>
  <c r="AR685" i="10"/>
  <c r="AS684" i="10"/>
  <c r="AR684" i="10"/>
  <c r="AS683" i="10"/>
  <c r="AR683" i="10"/>
  <c r="AS682" i="10"/>
  <c r="AR682" i="10"/>
  <c r="AS681" i="10"/>
  <c r="AR681" i="10"/>
  <c r="AS680" i="10"/>
  <c r="AR680" i="10"/>
  <c r="AS679" i="10"/>
  <c r="AR679" i="10"/>
  <c r="AS678" i="10"/>
  <c r="AR678" i="10"/>
  <c r="AS677" i="10"/>
  <c r="AR677" i="10"/>
  <c r="AS676" i="10"/>
  <c r="AR676" i="10"/>
  <c r="AS675" i="10"/>
  <c r="AR675" i="10"/>
  <c r="AS674" i="10"/>
  <c r="AR674" i="10"/>
  <c r="AS673" i="10"/>
  <c r="AR673" i="10"/>
  <c r="AS672" i="10"/>
  <c r="AR672" i="10"/>
  <c r="AS671" i="10"/>
  <c r="AR671" i="10"/>
  <c r="AS670" i="10"/>
  <c r="AR670" i="10"/>
  <c r="AS669" i="10"/>
  <c r="AR669" i="10"/>
  <c r="AS668" i="10"/>
  <c r="AR668" i="10"/>
  <c r="AS667" i="10"/>
  <c r="AR667" i="10"/>
  <c r="AS666" i="10"/>
  <c r="AR666" i="10"/>
  <c r="AS665" i="10"/>
  <c r="AR665" i="10"/>
  <c r="AS664" i="10"/>
  <c r="AR664" i="10"/>
  <c r="AS663" i="10"/>
  <c r="AR663" i="10"/>
  <c r="AS662" i="10"/>
  <c r="AR662" i="10"/>
  <c r="AS661" i="10"/>
  <c r="AR661" i="10"/>
  <c r="AS660" i="10"/>
  <c r="AR660" i="10"/>
  <c r="AS659" i="10"/>
  <c r="AR659" i="10"/>
  <c r="AS658" i="10"/>
  <c r="AR658" i="10"/>
  <c r="AS657" i="10"/>
  <c r="AR657" i="10"/>
  <c r="AS656" i="10"/>
  <c r="AR656" i="10"/>
  <c r="AS655" i="10"/>
  <c r="AR655" i="10"/>
  <c r="AS654" i="10"/>
  <c r="AR654" i="10"/>
  <c r="AR653" i="10"/>
  <c r="AS653" i="10"/>
  <c r="AS652" i="10"/>
  <c r="AR652" i="10"/>
  <c r="AS651" i="10"/>
  <c r="AR651" i="10"/>
  <c r="AS650" i="10"/>
  <c r="AR650" i="10"/>
  <c r="AS649" i="10"/>
  <c r="AR649" i="10"/>
  <c r="AS648" i="10"/>
  <c r="AR648" i="10"/>
  <c r="AS647" i="10"/>
  <c r="AR647" i="10"/>
  <c r="AS646" i="10"/>
  <c r="AR646" i="10"/>
  <c r="AS645" i="10"/>
  <c r="AR645" i="10"/>
  <c r="AS644" i="10"/>
  <c r="AR644" i="10"/>
  <c r="AS643" i="10"/>
  <c r="AR643" i="10"/>
  <c r="AS642" i="10"/>
  <c r="AR642" i="10"/>
  <c r="AS641" i="10"/>
  <c r="AR641" i="10"/>
  <c r="AR640" i="10"/>
  <c r="AS640" i="10"/>
  <c r="AS639" i="10"/>
  <c r="AR639" i="10"/>
  <c r="AS638" i="10"/>
  <c r="AR638" i="10"/>
  <c r="AS637" i="10"/>
  <c r="AR637" i="10"/>
  <c r="AS636" i="10"/>
  <c r="AR636" i="10"/>
  <c r="AS635" i="10"/>
  <c r="AR635" i="10"/>
  <c r="AS634" i="10"/>
  <c r="AR634" i="10"/>
  <c r="AS633" i="10"/>
  <c r="AR633" i="10"/>
  <c r="AS632" i="10"/>
  <c r="AR632" i="10"/>
  <c r="AS631" i="10"/>
  <c r="AR631" i="10"/>
  <c r="AS630" i="10"/>
  <c r="AR630" i="10"/>
  <c r="AS629" i="10"/>
  <c r="AR629" i="10"/>
  <c r="AS628" i="10"/>
  <c r="AR628" i="10"/>
  <c r="AS627" i="10"/>
  <c r="AR627" i="10"/>
  <c r="AS626" i="10"/>
  <c r="AR626" i="10"/>
  <c r="AR625" i="10"/>
  <c r="AS625" i="10"/>
  <c r="AS624" i="10"/>
  <c r="AR624" i="10"/>
  <c r="AS623" i="10"/>
  <c r="AR623" i="10"/>
  <c r="AS622" i="10"/>
  <c r="AR622" i="10"/>
  <c r="AS621" i="10"/>
  <c r="AR621" i="10"/>
  <c r="AS620" i="10"/>
  <c r="AR620" i="10"/>
  <c r="AS619" i="10"/>
  <c r="AR619" i="10"/>
  <c r="AS618" i="10"/>
  <c r="AR618" i="10"/>
  <c r="AS617" i="10"/>
  <c r="AR617" i="10"/>
  <c r="AS616" i="10"/>
  <c r="AR616" i="10"/>
  <c r="AS615" i="10"/>
  <c r="AR615" i="10"/>
  <c r="AS614" i="10"/>
  <c r="AR614" i="10"/>
  <c r="AS613" i="10"/>
  <c r="AR613" i="10"/>
  <c r="AS612" i="10"/>
  <c r="AR612" i="10"/>
  <c r="AS611" i="10"/>
  <c r="AR611" i="10"/>
  <c r="AS610" i="10"/>
  <c r="AR610" i="10"/>
  <c r="AS609" i="10"/>
  <c r="AR609" i="10"/>
  <c r="AS608" i="10"/>
  <c r="AR608" i="10"/>
  <c r="AS607" i="10"/>
  <c r="AR607" i="10"/>
  <c r="AS606" i="10"/>
  <c r="AR606" i="10"/>
  <c r="AS605" i="10"/>
  <c r="AR605" i="10"/>
  <c r="AS604" i="10"/>
  <c r="AR604" i="10"/>
  <c r="AS603" i="10"/>
  <c r="AR603" i="10"/>
  <c r="AS602" i="10"/>
  <c r="AR602" i="10"/>
  <c r="AS601" i="10"/>
  <c r="AR601" i="10"/>
  <c r="AS600" i="10"/>
  <c r="AR600" i="10"/>
  <c r="AS599" i="10"/>
  <c r="AR599" i="10"/>
  <c r="AS598" i="10"/>
  <c r="AR598" i="10"/>
  <c r="AR597" i="10"/>
  <c r="AS597" i="10"/>
  <c r="AS596" i="10"/>
  <c r="AR596" i="10"/>
  <c r="AS595" i="10"/>
  <c r="AR595" i="10"/>
  <c r="AS594" i="10"/>
  <c r="AR594" i="10"/>
  <c r="AS593" i="10"/>
  <c r="AR593" i="10"/>
  <c r="AS592" i="10"/>
  <c r="AR592" i="10"/>
  <c r="AS591" i="10"/>
  <c r="AR591" i="10"/>
  <c r="AS590" i="10"/>
  <c r="AR590" i="10"/>
  <c r="AR589" i="10"/>
  <c r="AS589" i="10"/>
  <c r="AS588" i="10"/>
  <c r="AR588" i="10"/>
  <c r="AS587" i="10"/>
  <c r="AR587" i="10"/>
  <c r="AS586" i="10"/>
  <c r="AR586" i="10"/>
  <c r="AS585" i="10"/>
  <c r="AR585" i="10"/>
  <c r="AS584" i="10"/>
  <c r="AR584" i="10"/>
  <c r="AS583" i="10"/>
  <c r="AR583" i="10"/>
  <c r="AS582" i="10"/>
  <c r="AR582" i="10"/>
  <c r="AS581" i="10"/>
  <c r="AR581" i="10"/>
  <c r="AS580" i="10"/>
  <c r="AR580" i="10"/>
  <c r="AS579" i="10"/>
  <c r="AR579" i="10"/>
  <c r="AS578" i="10"/>
  <c r="AR578" i="10"/>
  <c r="AS577" i="10"/>
  <c r="AR577" i="10"/>
  <c r="AS576" i="10"/>
  <c r="AR576" i="10"/>
  <c r="AS575" i="10"/>
  <c r="AR575" i="10"/>
  <c r="AS574" i="10"/>
  <c r="AR574" i="10"/>
  <c r="AS573" i="10"/>
  <c r="AR573" i="10"/>
  <c r="AS572" i="10"/>
  <c r="AR572" i="10"/>
  <c r="AS571" i="10"/>
  <c r="AR571" i="10"/>
  <c r="AS570" i="10"/>
  <c r="AR570" i="10"/>
  <c r="AS569" i="10"/>
  <c r="AR569" i="10"/>
  <c r="AR568" i="10"/>
  <c r="AS568" i="10"/>
  <c r="AS567" i="10"/>
  <c r="AR567" i="10"/>
  <c r="AS566" i="10"/>
  <c r="AR566" i="10"/>
  <c r="AS565" i="10"/>
  <c r="AR565" i="10"/>
  <c r="AS564" i="10"/>
  <c r="AR564" i="10"/>
  <c r="AS563" i="10"/>
  <c r="AR563" i="10"/>
  <c r="AS562" i="10"/>
  <c r="AR562" i="10"/>
  <c r="AR561" i="10"/>
  <c r="AS561" i="10"/>
  <c r="AS560" i="10"/>
  <c r="AR560" i="10"/>
  <c r="AS559" i="10"/>
  <c r="AR559" i="10"/>
  <c r="AS558" i="10"/>
  <c r="AR558" i="10"/>
  <c r="AS557" i="10"/>
  <c r="AR557" i="10"/>
  <c r="AS556" i="10"/>
  <c r="AR556" i="10"/>
  <c r="AS555" i="10"/>
  <c r="AR555" i="10"/>
  <c r="AS554" i="10"/>
  <c r="AR554" i="10"/>
  <c r="AS553" i="10"/>
  <c r="AR553" i="10"/>
  <c r="AS552" i="10"/>
  <c r="AR552" i="10"/>
  <c r="AS551" i="10"/>
  <c r="AR551" i="10"/>
  <c r="AS550" i="10"/>
  <c r="AR550" i="10"/>
  <c r="AS549" i="10"/>
  <c r="AR549" i="10"/>
  <c r="AS548" i="10"/>
  <c r="AR548" i="10"/>
  <c r="AS547" i="10"/>
  <c r="AR547" i="10"/>
  <c r="AS546" i="10"/>
  <c r="AR546" i="10"/>
  <c r="AS545" i="10"/>
  <c r="AR545" i="10"/>
  <c r="AS544" i="10"/>
  <c r="AR544" i="10"/>
  <c r="AS543" i="10"/>
  <c r="AR543" i="10"/>
  <c r="AS542" i="10"/>
  <c r="AR542" i="10"/>
  <c r="AS541" i="10"/>
  <c r="AR541" i="10"/>
  <c r="AR540" i="10"/>
  <c r="AS540" i="10"/>
  <c r="AS539" i="10"/>
  <c r="AR539" i="10"/>
  <c r="AS538" i="10"/>
  <c r="AR538" i="10"/>
  <c r="AS537" i="10"/>
  <c r="AR537" i="10"/>
  <c r="AS536" i="10"/>
  <c r="AR536" i="10"/>
  <c r="AS535" i="10"/>
  <c r="AR535" i="10"/>
  <c r="AS534" i="10"/>
  <c r="AR534" i="10"/>
  <c r="AR533" i="10"/>
  <c r="AS533" i="10"/>
  <c r="AS532" i="10"/>
  <c r="AR532" i="10"/>
  <c r="AS531" i="10"/>
  <c r="AR531" i="10"/>
  <c r="AS530" i="10"/>
  <c r="AR530" i="10"/>
  <c r="AS529" i="10"/>
  <c r="AR529" i="10"/>
  <c r="AS528" i="10"/>
  <c r="AR528" i="10"/>
  <c r="AS527" i="10"/>
  <c r="AR527" i="10"/>
  <c r="AS526" i="10"/>
  <c r="AR526" i="10"/>
  <c r="AS525" i="10"/>
  <c r="AR525" i="10"/>
  <c r="AS524" i="10"/>
  <c r="AR524" i="10"/>
  <c r="AS523" i="10"/>
  <c r="AR523" i="10"/>
  <c r="AS522" i="10"/>
  <c r="AR522" i="10"/>
  <c r="AS521" i="10"/>
  <c r="AR521" i="10"/>
  <c r="AS520" i="10"/>
  <c r="AR520" i="10"/>
  <c r="AS519" i="10"/>
  <c r="AR519" i="10"/>
  <c r="AS518" i="10"/>
  <c r="AR518" i="10"/>
  <c r="AS517" i="10"/>
  <c r="AR517" i="10"/>
  <c r="AS516" i="10"/>
  <c r="AR516" i="10"/>
  <c r="AS515" i="10"/>
  <c r="AR515" i="10"/>
  <c r="AS514" i="10"/>
  <c r="AR514" i="10"/>
  <c r="AS513" i="10"/>
  <c r="AR513" i="10"/>
  <c r="AS512" i="10"/>
  <c r="AR512" i="10"/>
  <c r="AS511" i="10"/>
  <c r="AR511" i="10"/>
  <c r="AS510" i="10"/>
  <c r="AR510" i="10"/>
  <c r="AS509" i="10"/>
  <c r="AR509" i="10"/>
  <c r="AS508" i="10"/>
  <c r="AR508" i="10"/>
  <c r="AS507" i="10"/>
  <c r="AR507" i="10"/>
  <c r="AS506" i="10"/>
  <c r="AR506" i="10"/>
  <c r="AS505" i="10"/>
  <c r="AR505" i="10"/>
  <c r="AS504" i="10"/>
  <c r="AR504" i="10"/>
  <c r="AS503" i="10"/>
  <c r="AR503" i="10"/>
  <c r="AS502" i="10"/>
  <c r="AR502" i="10"/>
  <c r="AS501" i="10"/>
  <c r="AR501" i="10"/>
  <c r="AS500" i="10"/>
  <c r="AR500" i="10"/>
  <c r="AS499" i="10"/>
  <c r="AR499" i="10"/>
  <c r="AS498" i="10"/>
  <c r="AR498" i="10"/>
  <c r="AS497" i="10"/>
  <c r="AR497" i="10"/>
  <c r="AS496" i="10"/>
  <c r="AR496" i="10"/>
  <c r="AS495" i="10"/>
  <c r="AR495" i="10"/>
  <c r="AS494" i="10"/>
  <c r="AR494" i="10"/>
  <c r="AR493" i="10"/>
  <c r="AS493" i="10"/>
  <c r="AS492" i="10"/>
  <c r="AR492" i="10"/>
  <c r="AS491" i="10"/>
  <c r="AR491" i="10"/>
  <c r="AS490" i="10"/>
  <c r="AR490" i="10"/>
  <c r="AS489" i="10"/>
  <c r="AR489" i="10"/>
  <c r="AS488" i="10"/>
  <c r="AR488" i="10"/>
  <c r="AS487" i="10"/>
  <c r="AR487" i="10"/>
  <c r="AS486" i="10"/>
  <c r="AR486" i="10"/>
  <c r="AS485" i="10"/>
  <c r="AR485" i="10"/>
  <c r="AS484" i="10"/>
  <c r="AR484" i="10"/>
  <c r="AS483" i="10"/>
  <c r="AR483" i="10"/>
  <c r="AS482" i="10"/>
  <c r="AR482" i="10"/>
  <c r="AS481" i="10"/>
  <c r="AR481" i="10"/>
  <c r="AS480" i="10"/>
  <c r="AR480" i="10"/>
  <c r="AS479" i="10"/>
  <c r="AR479" i="10"/>
  <c r="AS478" i="10"/>
  <c r="AR478" i="10"/>
  <c r="AS477" i="10"/>
  <c r="AR477" i="10"/>
  <c r="AS476" i="10"/>
  <c r="AR476" i="10"/>
  <c r="AS475" i="10"/>
  <c r="AR475" i="10"/>
  <c r="AS474" i="10"/>
  <c r="AR474" i="10"/>
  <c r="AS473" i="10"/>
  <c r="AR473" i="10"/>
  <c r="AR472" i="10"/>
  <c r="AS472" i="10"/>
  <c r="AS471" i="10"/>
  <c r="AR471" i="10"/>
  <c r="AS470" i="10"/>
  <c r="AR470" i="10"/>
  <c r="AS469" i="10"/>
  <c r="AR469" i="10"/>
  <c r="AS468" i="10"/>
  <c r="AR468" i="10"/>
  <c r="AS467" i="10"/>
  <c r="AR467" i="10"/>
  <c r="AS466" i="10"/>
  <c r="AR466" i="10"/>
  <c r="AS465" i="10"/>
  <c r="AR465" i="10"/>
  <c r="AS464" i="10"/>
  <c r="AR464" i="10"/>
  <c r="AS463" i="10"/>
  <c r="AR463" i="10"/>
  <c r="AS462" i="10"/>
  <c r="AR462" i="10"/>
  <c r="AS461" i="10"/>
  <c r="AR461" i="10"/>
  <c r="AS460" i="10"/>
  <c r="AR460" i="10"/>
  <c r="AS459" i="10"/>
  <c r="AR459" i="10"/>
  <c r="AS458" i="10"/>
  <c r="AR458" i="10"/>
  <c r="AS457" i="10"/>
  <c r="AR457" i="10"/>
  <c r="AS456" i="10"/>
  <c r="AR456" i="10"/>
  <c r="AS455" i="10"/>
  <c r="AR455" i="10"/>
  <c r="AS454" i="10"/>
  <c r="AR454" i="10"/>
  <c r="AS453" i="10"/>
  <c r="AR453" i="10"/>
  <c r="AS452" i="10"/>
  <c r="AR452" i="10"/>
  <c r="AS451" i="10"/>
  <c r="AR451" i="10"/>
  <c r="AS450" i="10"/>
  <c r="AR450" i="10"/>
  <c r="AS449" i="10"/>
  <c r="AR449" i="10"/>
  <c r="AS448" i="10"/>
  <c r="AR448" i="10"/>
  <c r="AS447" i="10"/>
  <c r="AR447" i="10"/>
  <c r="AS446" i="10"/>
  <c r="AR446" i="10"/>
  <c r="AS445" i="10"/>
  <c r="AR445" i="10"/>
  <c r="AS444" i="10"/>
  <c r="AR444" i="10"/>
  <c r="AS443" i="10"/>
  <c r="AR443" i="10"/>
  <c r="AS442" i="10"/>
  <c r="AR442" i="10"/>
  <c r="AS441" i="10"/>
  <c r="AR441" i="10"/>
  <c r="AS440" i="10"/>
  <c r="AR440" i="10"/>
  <c r="AS439" i="10"/>
  <c r="AR439" i="10"/>
  <c r="AS438" i="10"/>
  <c r="AR438" i="10"/>
  <c r="AS437" i="10"/>
  <c r="AR437" i="10"/>
  <c r="AS436" i="10"/>
  <c r="AR436" i="10"/>
  <c r="AS435" i="10"/>
  <c r="AR435" i="10"/>
  <c r="AS434" i="10"/>
  <c r="AR434" i="10"/>
  <c r="AS433" i="10"/>
  <c r="AR433" i="10"/>
  <c r="AS432" i="10"/>
  <c r="AR432" i="10"/>
  <c r="AS431" i="10"/>
  <c r="AR431" i="10"/>
  <c r="AS430" i="10"/>
  <c r="AR430" i="10"/>
  <c r="AS429" i="10"/>
  <c r="AR429" i="10"/>
  <c r="AS428" i="10"/>
  <c r="AR428" i="10"/>
  <c r="AS427" i="10"/>
  <c r="AR427" i="10"/>
  <c r="AS426" i="10"/>
  <c r="AR426" i="10"/>
  <c r="AS425" i="10"/>
  <c r="AR425" i="10"/>
  <c r="AS424" i="10"/>
  <c r="AR424" i="10"/>
  <c r="AS423" i="10"/>
  <c r="AR423" i="10"/>
  <c r="AS422" i="10"/>
  <c r="AR422" i="10"/>
  <c r="AS421" i="10"/>
  <c r="AR421" i="10"/>
  <c r="AS420" i="10"/>
  <c r="AR420" i="10"/>
  <c r="AS419" i="10"/>
  <c r="AR419" i="10"/>
  <c r="AS418" i="10"/>
  <c r="AR418" i="10"/>
  <c r="AS417" i="10"/>
  <c r="AR417" i="10"/>
  <c r="AS416" i="10"/>
  <c r="AR416" i="10"/>
  <c r="AS415" i="10"/>
  <c r="AR415" i="10"/>
  <c r="AS414" i="10"/>
  <c r="AR414" i="10"/>
  <c r="AS413" i="10"/>
  <c r="AR413" i="10"/>
  <c r="AS412" i="10"/>
  <c r="AR412" i="10"/>
  <c r="AS411" i="10"/>
  <c r="AR411" i="10"/>
  <c r="AS410" i="10"/>
  <c r="AR410" i="10"/>
  <c r="AS409" i="10"/>
  <c r="AR409" i="10"/>
  <c r="AR408" i="10"/>
  <c r="AS408" i="10"/>
  <c r="AS407" i="10"/>
  <c r="AR407" i="10"/>
  <c r="AS406" i="10"/>
  <c r="AR406" i="10"/>
  <c r="AS405" i="10"/>
  <c r="AR405" i="10"/>
  <c r="AS404" i="10"/>
  <c r="AR404" i="10"/>
  <c r="AS403" i="10"/>
  <c r="AR403" i="10"/>
  <c r="AS402" i="10"/>
  <c r="AR402" i="10"/>
  <c r="AS401" i="10"/>
  <c r="AR401" i="10"/>
  <c r="AS400" i="10"/>
  <c r="AR400" i="10"/>
  <c r="AS399" i="10"/>
  <c r="AR399" i="10"/>
  <c r="AS398" i="10"/>
  <c r="AR398" i="10"/>
  <c r="AS397" i="10"/>
  <c r="AR397" i="10"/>
  <c r="AS396" i="10"/>
  <c r="AR396" i="10"/>
  <c r="AS395" i="10"/>
  <c r="AR395" i="10"/>
  <c r="AS394" i="10"/>
  <c r="AR394" i="10"/>
  <c r="AS393" i="10"/>
  <c r="AR393" i="10"/>
  <c r="AS392" i="10"/>
  <c r="AR392" i="10"/>
  <c r="AS391" i="10"/>
  <c r="AR391" i="10"/>
  <c r="AS390" i="10"/>
  <c r="AR390" i="10"/>
  <c r="AS389" i="10"/>
  <c r="AR389" i="10"/>
  <c r="AS388" i="10"/>
  <c r="AR388" i="10"/>
  <c r="AR387" i="10"/>
  <c r="AS387" i="10"/>
  <c r="AS386" i="10"/>
  <c r="AR386" i="10"/>
  <c r="AS385" i="10"/>
  <c r="AR385" i="10"/>
  <c r="AS384" i="10"/>
  <c r="AR384" i="10"/>
  <c r="AS383" i="10"/>
  <c r="AR383" i="10"/>
  <c r="AS382" i="10"/>
  <c r="AR382" i="10"/>
  <c r="AS381" i="10"/>
  <c r="AR381" i="10"/>
  <c r="AS380" i="10"/>
  <c r="AR380" i="10"/>
  <c r="AS379" i="10"/>
  <c r="AR379" i="10"/>
  <c r="AS378" i="10"/>
  <c r="AR378" i="10"/>
  <c r="AS377" i="10"/>
  <c r="AR377" i="10"/>
  <c r="AS376" i="10"/>
  <c r="AR376" i="10"/>
  <c r="AS375" i="10"/>
  <c r="AR375" i="10"/>
  <c r="AS374" i="10"/>
  <c r="AR374" i="10"/>
  <c r="AS373" i="10"/>
  <c r="AR373" i="10"/>
  <c r="AS372" i="10"/>
  <c r="AR372" i="10"/>
  <c r="AS371" i="10"/>
  <c r="AR371" i="10"/>
  <c r="AS370" i="10"/>
  <c r="AR370" i="10"/>
  <c r="AS369" i="10"/>
  <c r="AR369" i="10"/>
  <c r="AS368" i="10"/>
  <c r="AR368" i="10"/>
  <c r="AS367" i="10"/>
  <c r="AR367" i="10"/>
  <c r="AS366" i="10"/>
  <c r="AR366" i="10"/>
  <c r="AS365" i="10"/>
  <c r="AR365" i="10"/>
  <c r="AS364" i="10"/>
  <c r="AR364" i="10"/>
  <c r="AS363" i="10"/>
  <c r="AR363" i="10"/>
  <c r="AS362" i="10"/>
  <c r="AR362" i="10"/>
  <c r="AS361" i="10"/>
  <c r="AR361" i="10"/>
  <c r="AS360" i="10"/>
  <c r="AR360" i="10"/>
  <c r="AS359" i="10"/>
  <c r="AR359" i="10"/>
  <c r="AS358" i="10"/>
  <c r="AR358" i="10"/>
  <c r="AS357" i="10"/>
  <c r="AR357" i="10"/>
  <c r="AS356" i="10"/>
  <c r="AR356" i="10"/>
  <c r="AS355" i="10"/>
  <c r="AR355" i="10"/>
  <c r="AS354" i="10"/>
  <c r="AR354" i="10"/>
  <c r="AS353" i="10"/>
  <c r="AR353" i="10"/>
  <c r="AS352" i="10"/>
  <c r="AR352" i="10"/>
  <c r="AS351" i="10"/>
  <c r="AR351" i="10"/>
  <c r="AS350" i="10"/>
  <c r="AR350" i="10"/>
  <c r="AS349" i="10"/>
  <c r="AR349" i="10"/>
  <c r="AS348" i="10"/>
  <c r="AR348" i="10"/>
  <c r="AS347" i="10"/>
  <c r="AR347" i="10"/>
  <c r="AS346" i="10"/>
  <c r="AR346" i="10"/>
  <c r="AS345" i="10"/>
  <c r="AR345" i="10"/>
  <c r="AS344" i="10"/>
  <c r="AR344" i="10"/>
  <c r="AS343" i="10"/>
  <c r="AR343" i="10"/>
  <c r="AS342" i="10"/>
  <c r="AR342" i="10"/>
  <c r="AS341" i="10"/>
  <c r="AR341" i="10"/>
  <c r="AS340" i="10"/>
  <c r="AR340" i="10"/>
  <c r="AS339" i="10"/>
  <c r="AR339" i="10"/>
  <c r="AS338" i="10"/>
  <c r="AR338" i="10"/>
  <c r="AS337" i="10"/>
  <c r="AR337" i="10"/>
  <c r="AS336" i="10"/>
  <c r="AR336" i="10"/>
  <c r="AS335" i="10"/>
  <c r="AR335" i="10"/>
  <c r="AS334" i="10"/>
  <c r="AR334" i="10"/>
  <c r="AS333" i="10"/>
  <c r="AR333" i="10"/>
  <c r="AS332" i="10"/>
  <c r="AR332" i="10"/>
  <c r="AS331" i="10"/>
  <c r="AR331" i="10"/>
  <c r="AS330" i="10"/>
  <c r="AR330" i="10"/>
  <c r="AS329" i="10"/>
  <c r="AR329" i="10"/>
  <c r="AS328" i="10"/>
  <c r="AR328" i="10"/>
  <c r="AS327" i="10"/>
  <c r="AR327" i="10"/>
  <c r="AS326" i="10"/>
  <c r="AR326" i="10"/>
  <c r="AS325" i="10"/>
  <c r="AR325" i="10"/>
  <c r="AS324" i="10"/>
  <c r="AR324" i="10"/>
  <c r="AS323" i="10"/>
  <c r="AR323" i="10"/>
  <c r="AS322" i="10"/>
  <c r="AR322" i="10"/>
  <c r="AS321" i="10"/>
  <c r="AR321" i="10"/>
  <c r="AS320" i="10"/>
  <c r="AR320" i="10"/>
  <c r="AS319" i="10"/>
  <c r="AR319" i="10"/>
  <c r="AS318" i="10"/>
  <c r="AR318" i="10"/>
  <c r="AS317" i="10"/>
  <c r="AR317" i="10"/>
  <c r="AS316" i="10"/>
  <c r="AR316" i="10"/>
  <c r="AS315" i="10"/>
  <c r="AR315" i="10"/>
  <c r="AS314" i="10"/>
  <c r="AR314" i="10"/>
  <c r="AS313" i="10"/>
  <c r="AR313" i="10"/>
  <c r="AS312" i="10"/>
  <c r="AR312" i="10"/>
  <c r="AS311" i="10"/>
  <c r="AR311" i="10"/>
  <c r="AS310" i="10"/>
  <c r="AR310" i="10"/>
  <c r="AS309" i="10"/>
  <c r="AR309" i="10"/>
  <c r="AS308" i="10"/>
  <c r="AR308" i="10"/>
  <c r="AS307" i="10"/>
  <c r="AR307" i="10"/>
  <c r="AS306" i="10"/>
  <c r="AR306" i="10"/>
  <c r="AS305" i="10"/>
  <c r="AR305" i="10"/>
  <c r="AS304" i="10"/>
  <c r="AR304" i="10"/>
  <c r="AS303" i="10"/>
  <c r="AR303" i="10"/>
  <c r="AS302" i="10"/>
  <c r="AR302" i="10"/>
  <c r="AS301" i="10"/>
  <c r="AR301" i="10"/>
  <c r="AS300" i="10"/>
  <c r="AR300" i="10"/>
  <c r="AS299" i="10"/>
  <c r="AR299" i="10"/>
  <c r="AS298" i="10"/>
  <c r="AR298" i="10"/>
  <c r="AS297" i="10"/>
  <c r="AR297" i="10"/>
  <c r="AS296" i="10"/>
  <c r="AR296" i="10"/>
  <c r="AS295" i="10"/>
  <c r="AR295" i="10"/>
  <c r="AS294" i="10"/>
  <c r="AR294" i="10"/>
  <c r="AS293" i="10"/>
  <c r="AR293" i="10"/>
  <c r="AS292" i="10"/>
  <c r="AR292" i="10"/>
  <c r="AS291" i="10"/>
  <c r="AR291" i="10"/>
  <c r="AS290" i="10"/>
  <c r="AR290" i="10"/>
  <c r="AS289" i="10"/>
  <c r="AR289" i="10"/>
  <c r="AS288" i="10"/>
  <c r="AR288" i="10"/>
  <c r="AS287" i="10"/>
  <c r="AR287" i="10"/>
  <c r="AS286" i="10"/>
  <c r="AR286" i="10"/>
  <c r="AS285" i="10"/>
  <c r="AR285" i="10"/>
  <c r="AS284" i="10"/>
  <c r="AR284" i="10"/>
  <c r="AS283" i="10"/>
  <c r="AR283" i="10"/>
  <c r="AS282" i="10"/>
  <c r="AR282" i="10"/>
  <c r="AS281" i="10"/>
  <c r="AR281" i="10"/>
  <c r="AS280" i="10"/>
  <c r="AR280" i="10"/>
  <c r="AS279" i="10"/>
  <c r="AR279" i="10"/>
  <c r="AS278" i="10"/>
  <c r="AR278" i="10"/>
  <c r="AS277" i="10"/>
  <c r="AR277" i="10"/>
  <c r="AS276" i="10"/>
  <c r="AR276" i="10"/>
  <c r="AS275" i="10"/>
  <c r="AR275" i="10"/>
  <c r="AS274" i="10"/>
  <c r="AR274" i="10"/>
  <c r="AS273" i="10"/>
  <c r="AR273" i="10"/>
  <c r="AS272" i="10"/>
  <c r="AR272" i="10"/>
  <c r="AS271" i="10"/>
  <c r="AR271" i="10"/>
  <c r="AS270" i="10"/>
  <c r="AR270" i="10"/>
  <c r="AS269" i="10"/>
  <c r="AR269" i="10"/>
  <c r="AS268" i="10"/>
  <c r="AR268" i="10"/>
  <c r="AS267" i="10"/>
  <c r="AR267" i="10"/>
  <c r="AS266" i="10"/>
  <c r="AR266" i="10"/>
  <c r="AS265" i="10"/>
  <c r="AR265" i="10"/>
  <c r="AS264" i="10"/>
  <c r="AR264" i="10"/>
  <c r="AS263" i="10"/>
  <c r="AR263" i="10"/>
  <c r="AS262" i="10"/>
  <c r="AR262" i="10"/>
  <c r="AS261" i="10"/>
  <c r="AR261" i="10"/>
  <c r="AS260" i="10"/>
  <c r="AR260" i="10"/>
  <c r="AS259" i="10"/>
  <c r="AR259" i="10"/>
  <c r="AS258" i="10"/>
  <c r="AR258" i="10"/>
  <c r="AS257" i="10"/>
  <c r="AR257" i="10"/>
  <c r="AS256" i="10"/>
  <c r="AR256" i="10"/>
  <c r="AS255" i="10"/>
  <c r="AR255" i="10"/>
  <c r="AS254" i="10"/>
  <c r="AR254" i="10"/>
  <c r="AS253" i="10"/>
  <c r="AR253" i="10"/>
  <c r="AS252" i="10"/>
  <c r="AR252" i="10"/>
  <c r="AS251" i="10"/>
  <c r="AR251" i="10"/>
  <c r="AS250" i="10"/>
  <c r="AR250" i="10"/>
  <c r="AS249" i="10"/>
  <c r="AR249" i="10"/>
  <c r="AS248" i="10"/>
  <c r="AR248" i="10"/>
  <c r="AS247" i="10"/>
  <c r="AR247" i="10"/>
  <c r="AS246" i="10"/>
  <c r="AR246" i="10"/>
  <c r="AS245" i="10"/>
  <c r="AR245" i="10"/>
  <c r="AS244" i="10"/>
  <c r="AR244" i="10"/>
  <c r="AS243" i="10"/>
  <c r="AR243" i="10"/>
  <c r="AS242" i="10"/>
  <c r="AR242" i="10"/>
  <c r="AS241" i="10"/>
  <c r="AR241" i="10"/>
  <c r="AS240" i="10"/>
  <c r="AR240" i="10"/>
  <c r="AS239" i="10"/>
  <c r="AR239" i="10"/>
  <c r="AS238" i="10"/>
  <c r="AR238" i="10"/>
  <c r="AS237" i="10"/>
  <c r="AR237" i="10"/>
  <c r="AS236" i="10"/>
  <c r="AR236" i="10"/>
  <c r="AS235" i="10"/>
  <c r="AR235" i="10"/>
  <c r="AS234" i="10"/>
  <c r="AR234" i="10"/>
  <c r="AS233" i="10"/>
  <c r="AR233" i="10"/>
  <c r="AS232" i="10"/>
  <c r="AR232" i="10"/>
  <c r="AS231" i="10"/>
  <c r="AR231" i="10"/>
  <c r="AS230" i="10"/>
  <c r="AR230" i="10"/>
  <c r="AS229" i="10"/>
  <c r="AR229" i="10"/>
  <c r="AS228" i="10"/>
  <c r="AR228" i="10"/>
  <c r="AS227" i="10"/>
  <c r="AR227" i="10"/>
  <c r="AS226" i="10"/>
  <c r="AR226" i="10"/>
  <c r="AS225" i="10"/>
  <c r="AR225" i="10"/>
  <c r="AS224" i="10"/>
  <c r="AR224" i="10"/>
  <c r="AS223" i="10"/>
  <c r="AR223" i="10"/>
  <c r="AS222" i="10"/>
  <c r="AR222" i="10"/>
  <c r="AS221" i="10"/>
  <c r="AR221" i="10"/>
  <c r="AS220" i="10"/>
  <c r="AR220" i="10"/>
  <c r="AS219" i="10"/>
  <c r="AR219" i="10"/>
  <c r="AS218" i="10"/>
  <c r="AR218" i="10"/>
  <c r="AS217" i="10"/>
  <c r="AR217" i="10"/>
  <c r="AS216" i="10"/>
  <c r="AR216" i="10"/>
  <c r="AS215" i="10"/>
  <c r="AR215" i="10"/>
  <c r="AS214" i="10"/>
  <c r="AR214" i="10"/>
  <c r="AS213" i="10"/>
  <c r="AR213" i="10"/>
  <c r="AS212" i="10"/>
  <c r="AR212" i="10"/>
  <c r="AS211" i="10"/>
  <c r="AR211" i="10"/>
  <c r="AR210" i="10"/>
  <c r="AS210" i="10"/>
  <c r="AS209" i="10"/>
  <c r="AR209" i="10"/>
  <c r="AS208" i="10"/>
  <c r="AR208" i="10"/>
  <c r="AS207" i="10"/>
  <c r="AR207" i="10"/>
  <c r="AS206" i="10"/>
  <c r="AR206" i="10"/>
  <c r="AS205" i="10"/>
  <c r="AR205" i="10"/>
  <c r="AS204" i="10"/>
  <c r="AR204" i="10"/>
  <c r="AS203" i="10"/>
  <c r="AR203" i="10"/>
  <c r="AS202" i="10"/>
  <c r="AR202" i="10"/>
  <c r="AS201" i="10"/>
  <c r="AR201" i="10"/>
  <c r="AS200" i="10"/>
  <c r="AR200" i="10"/>
  <c r="AS199" i="10"/>
  <c r="AR199" i="10"/>
  <c r="AS198" i="10"/>
  <c r="AR198" i="10"/>
  <c r="AS197" i="10"/>
  <c r="AR197" i="10"/>
  <c r="AS196" i="10"/>
  <c r="AR196" i="10"/>
  <c r="AS195" i="10"/>
  <c r="AR195" i="10"/>
  <c r="AS194" i="10"/>
  <c r="AR194" i="10"/>
  <c r="AS193" i="10"/>
  <c r="AR193" i="10"/>
  <c r="AS192" i="10"/>
  <c r="AR192" i="10"/>
  <c r="AS191" i="10"/>
  <c r="AR191" i="10"/>
  <c r="AS190" i="10"/>
  <c r="AR190" i="10"/>
  <c r="AS189" i="10"/>
  <c r="AR189" i="10"/>
  <c r="AS188" i="10"/>
  <c r="AR188" i="10"/>
  <c r="AS187" i="10"/>
  <c r="AR187" i="10"/>
  <c r="AS186" i="10"/>
  <c r="AR186" i="10"/>
  <c r="AS185" i="10"/>
  <c r="AR185" i="10"/>
  <c r="AS184" i="10"/>
  <c r="AR184" i="10"/>
  <c r="AS183" i="10"/>
  <c r="AR183" i="10"/>
  <c r="AR182" i="10"/>
  <c r="AS182" i="10"/>
  <c r="AS181" i="10"/>
  <c r="AR181" i="10"/>
  <c r="AS180" i="10"/>
  <c r="AR180" i="10"/>
  <c r="AS179" i="10"/>
  <c r="AR179" i="10"/>
  <c r="AS178" i="10"/>
  <c r="AR178" i="10"/>
  <c r="AS177" i="10"/>
  <c r="AR177" i="10"/>
  <c r="AS176" i="10"/>
  <c r="AR176" i="10"/>
  <c r="AS175" i="10"/>
  <c r="AR175" i="10"/>
  <c r="AS174" i="10"/>
  <c r="AR174" i="10"/>
  <c r="AS173" i="10"/>
  <c r="AR173" i="10"/>
  <c r="AS172" i="10"/>
  <c r="AR172" i="10"/>
  <c r="AS171" i="10"/>
  <c r="AR171" i="10"/>
  <c r="AS170" i="10"/>
  <c r="AR170" i="10"/>
  <c r="AS169" i="10"/>
  <c r="AR169" i="10"/>
  <c r="AS168" i="10"/>
  <c r="AR168" i="10"/>
  <c r="AS167" i="10"/>
  <c r="AR167" i="10"/>
  <c r="AS166" i="10"/>
  <c r="AR166" i="10"/>
  <c r="AS165" i="10"/>
  <c r="AR165" i="10"/>
  <c r="AS164" i="10"/>
  <c r="AR164" i="10"/>
  <c r="AS163" i="10"/>
  <c r="AR163" i="10"/>
  <c r="AS162" i="10"/>
  <c r="AR162" i="10"/>
  <c r="AS161" i="10"/>
  <c r="AR161" i="10"/>
  <c r="AS160" i="10"/>
  <c r="AR160" i="10"/>
  <c r="AS159" i="10"/>
  <c r="AR159" i="10"/>
  <c r="AS158" i="10"/>
  <c r="AR158" i="10"/>
  <c r="AR157" i="10"/>
  <c r="AS157" i="10"/>
  <c r="AS156" i="10"/>
  <c r="AR156" i="10"/>
  <c r="AS155" i="10"/>
  <c r="AR155" i="10"/>
  <c r="AS154" i="10"/>
  <c r="AR154" i="10"/>
  <c r="AS153" i="10"/>
  <c r="AR153" i="10"/>
  <c r="AS152" i="10"/>
  <c r="AR152" i="10"/>
  <c r="AS151" i="10"/>
  <c r="AR151" i="10"/>
  <c r="AS150" i="10"/>
  <c r="AR150" i="10"/>
  <c r="AS149" i="10"/>
  <c r="AR149" i="10"/>
  <c r="AS148" i="10"/>
  <c r="AR148" i="10"/>
  <c r="AS147" i="10"/>
  <c r="AR147" i="10"/>
  <c r="AR146" i="10"/>
  <c r="AS146" i="10"/>
  <c r="AR145" i="10"/>
  <c r="AS145" i="10"/>
  <c r="AS144" i="10"/>
  <c r="AR144" i="10"/>
  <c r="AS143" i="10"/>
  <c r="AR143" i="10"/>
  <c r="AS142" i="10"/>
  <c r="AR142" i="10"/>
  <c r="AS141" i="10"/>
  <c r="AR141" i="10"/>
  <c r="AS140" i="10"/>
  <c r="AR140" i="10"/>
  <c r="AS139" i="10"/>
  <c r="AR139" i="10"/>
  <c r="AS138" i="10"/>
  <c r="AR138" i="10"/>
  <c r="AS137" i="10"/>
  <c r="AR137" i="10"/>
  <c r="AS136" i="10"/>
  <c r="AR136" i="10"/>
  <c r="AS135" i="10"/>
  <c r="AR135" i="10"/>
  <c r="AS134" i="10"/>
  <c r="AR134" i="10"/>
  <c r="AR133" i="10"/>
  <c r="AS133" i="10"/>
  <c r="AS132" i="10"/>
  <c r="AR132" i="10"/>
  <c r="AS131" i="10"/>
  <c r="AR131" i="10"/>
  <c r="AS130" i="10"/>
  <c r="AR130" i="10"/>
  <c r="AR129" i="10"/>
  <c r="AS129" i="10"/>
  <c r="AS128" i="10"/>
  <c r="AR128" i="10"/>
  <c r="AS127" i="10"/>
  <c r="AR127" i="10"/>
  <c r="AS126" i="10"/>
  <c r="AR126" i="10"/>
  <c r="AR125" i="10"/>
  <c r="AS125" i="10"/>
  <c r="AS124" i="10"/>
  <c r="AR124" i="10"/>
  <c r="AS123" i="10"/>
  <c r="AR123" i="10"/>
  <c r="AS122" i="10"/>
  <c r="AR122" i="10"/>
  <c r="AS121" i="10"/>
  <c r="AR121" i="10"/>
  <c r="AS120" i="10"/>
  <c r="AR120" i="10"/>
  <c r="AS119" i="10"/>
  <c r="AR119" i="10"/>
  <c r="AS118" i="10"/>
  <c r="AR118" i="10"/>
  <c r="AR117" i="10"/>
  <c r="AS117" i="10"/>
  <c r="AS116" i="10"/>
  <c r="AR116" i="10"/>
  <c r="AS115" i="10"/>
  <c r="AR115" i="10"/>
  <c r="AS114" i="10"/>
  <c r="AR114" i="10"/>
  <c r="AS113" i="10"/>
  <c r="AR113" i="10"/>
  <c r="AS112" i="10"/>
  <c r="AR112" i="10"/>
  <c r="AS111" i="10"/>
  <c r="AR111" i="10"/>
  <c r="AS110" i="10"/>
  <c r="AR110" i="10"/>
  <c r="AR109" i="10"/>
  <c r="AS109" i="10"/>
  <c r="AS108" i="10"/>
  <c r="AR108" i="10"/>
  <c r="AS107" i="10"/>
  <c r="AR107" i="10"/>
  <c r="AS106" i="10"/>
  <c r="AR106" i="10"/>
  <c r="AS105" i="10"/>
  <c r="AR105" i="10"/>
  <c r="AS104" i="10"/>
  <c r="AR104" i="10"/>
  <c r="AS103" i="10"/>
  <c r="AR103" i="10"/>
  <c r="AS102" i="10"/>
  <c r="AR102" i="10"/>
  <c r="AR101" i="10"/>
  <c r="AS101" i="10"/>
  <c r="AS100" i="10"/>
  <c r="AR100" i="10"/>
  <c r="AS99" i="10"/>
  <c r="AR99" i="10"/>
  <c r="AS98" i="10"/>
  <c r="AR98" i="10"/>
  <c r="AR97" i="10"/>
  <c r="AS97" i="10"/>
  <c r="AS96" i="10"/>
  <c r="AR96" i="10"/>
  <c r="AS95" i="10"/>
  <c r="AR95" i="10"/>
  <c r="AS94" i="10"/>
  <c r="AR94" i="10"/>
  <c r="AR93" i="10"/>
  <c r="AS93" i="10"/>
  <c r="AS92" i="10"/>
  <c r="AR92" i="10"/>
  <c r="AS91" i="10"/>
  <c r="AR91" i="10"/>
  <c r="AS90" i="10"/>
  <c r="AR90" i="10"/>
  <c r="AS89" i="10"/>
  <c r="AR89" i="10"/>
  <c r="AS88" i="10"/>
  <c r="AR88" i="10"/>
  <c r="AS87" i="10"/>
  <c r="AR87" i="10"/>
  <c r="AS86" i="10"/>
  <c r="AR86" i="10"/>
  <c r="AS85" i="10"/>
  <c r="AR85" i="10"/>
  <c r="AS84" i="10"/>
  <c r="AR84" i="10"/>
  <c r="AS83" i="10"/>
  <c r="AR83" i="10"/>
  <c r="AR82" i="10"/>
  <c r="AS82" i="10"/>
  <c r="AR81" i="10"/>
  <c r="AS81" i="10"/>
  <c r="AS80" i="10"/>
  <c r="AR80" i="10"/>
  <c r="AS79" i="10"/>
  <c r="AR79" i="10"/>
  <c r="AS78" i="10"/>
  <c r="AR78" i="10"/>
  <c r="AS77" i="10"/>
  <c r="AR77" i="10"/>
  <c r="AS76" i="10"/>
  <c r="AR76" i="10"/>
  <c r="AS75" i="10"/>
  <c r="AR75" i="10"/>
  <c r="AS74" i="10"/>
  <c r="AR74" i="10"/>
  <c r="AS73" i="10"/>
  <c r="AR73" i="10"/>
  <c r="AS72" i="10"/>
  <c r="AR72" i="10"/>
  <c r="AS71" i="10"/>
  <c r="AR71" i="10"/>
  <c r="AS70" i="10"/>
  <c r="AR70" i="10"/>
  <c r="AR69" i="10"/>
  <c r="AS69" i="10"/>
  <c r="AS68" i="10"/>
  <c r="AR68" i="10"/>
  <c r="AS67" i="10"/>
  <c r="AR67" i="10"/>
  <c r="AS66" i="10"/>
  <c r="AR66" i="10"/>
  <c r="AR65" i="10"/>
  <c r="AS65" i="10"/>
  <c r="AS64" i="10"/>
  <c r="AR64" i="10"/>
  <c r="AS63" i="10"/>
  <c r="AR63" i="10"/>
  <c r="AS62" i="10"/>
  <c r="AR62" i="10"/>
  <c r="AR61" i="10"/>
  <c r="AS61" i="10"/>
  <c r="AS60" i="10"/>
  <c r="AR60" i="10"/>
  <c r="AS59" i="10"/>
  <c r="AR59" i="10"/>
  <c r="AS58" i="10"/>
  <c r="AR58" i="10"/>
  <c r="AS57" i="10"/>
  <c r="AR57" i="10"/>
  <c r="AS56" i="10"/>
  <c r="AR56" i="10"/>
  <c r="AS55" i="10"/>
  <c r="AR55" i="10"/>
  <c r="AS54" i="10"/>
  <c r="AR54" i="10"/>
  <c r="AR53" i="10"/>
  <c r="AS53" i="10"/>
  <c r="AS52" i="10"/>
  <c r="AR52" i="10"/>
  <c r="AS51" i="10"/>
  <c r="AR51" i="10"/>
  <c r="AS50" i="10"/>
  <c r="AR50" i="10"/>
  <c r="AS49" i="10"/>
  <c r="AR49" i="10"/>
  <c r="AS48" i="10"/>
  <c r="AR48" i="10"/>
  <c r="AS47" i="10"/>
  <c r="AR47" i="10"/>
  <c r="AS46" i="10"/>
  <c r="AR46" i="10"/>
  <c r="AR45" i="10"/>
  <c r="AS45" i="10"/>
  <c r="AS44" i="10"/>
  <c r="AR44" i="10"/>
  <c r="AS43" i="10"/>
  <c r="AR43" i="10"/>
  <c r="AS42" i="10"/>
  <c r="AR42" i="10"/>
  <c r="AS41" i="10"/>
  <c r="AR41" i="10"/>
  <c r="AS40" i="10"/>
  <c r="AR40" i="10"/>
  <c r="AR39" i="10"/>
  <c r="AS39" i="10"/>
  <c r="AS38" i="10"/>
  <c r="AR38" i="10"/>
  <c r="AR37" i="10"/>
  <c r="AS37" i="10"/>
  <c r="AS36" i="10"/>
  <c r="AR36" i="10"/>
  <c r="AS35" i="10"/>
  <c r="AR35" i="10"/>
  <c r="AS34" i="10"/>
  <c r="AR34" i="10"/>
  <c r="AR33" i="10"/>
  <c r="AS33" i="10"/>
  <c r="AS32" i="10"/>
  <c r="AR32" i="10"/>
  <c r="AS31" i="10"/>
  <c r="AR31" i="10"/>
  <c r="AS30" i="10"/>
  <c r="AR30" i="10"/>
  <c r="AR29" i="10"/>
  <c r="AS29" i="10"/>
  <c r="AS28" i="10"/>
  <c r="AR28" i="10"/>
  <c r="AS27" i="10"/>
  <c r="AR27" i="10"/>
  <c r="AS26" i="10"/>
  <c r="AR26" i="10"/>
  <c r="AS25" i="10"/>
  <c r="AR25" i="10"/>
  <c r="AS24" i="10"/>
  <c r="AR24" i="10"/>
  <c r="AS23" i="10"/>
  <c r="AR23" i="10"/>
  <c r="AS22" i="10"/>
  <c r="AR22" i="10"/>
  <c r="AS21" i="10"/>
  <c r="AR21" i="10"/>
  <c r="AS20" i="10"/>
  <c r="AR20" i="10"/>
  <c r="AS19" i="10"/>
  <c r="AR19" i="10"/>
  <c r="AS18" i="10"/>
  <c r="AR18" i="10"/>
  <c r="AR17" i="10"/>
  <c r="AS17" i="10"/>
  <c r="AS16" i="10"/>
  <c r="AR16" i="10"/>
  <c r="AS15" i="10"/>
  <c r="AR15" i="10"/>
  <c r="AS14" i="10"/>
  <c r="AR14" i="10"/>
  <c r="AS13" i="10"/>
  <c r="AR13" i="10"/>
  <c r="AS12" i="10"/>
  <c r="AR12" i="10"/>
  <c r="AS11" i="10"/>
  <c r="AR11" i="10"/>
  <c r="AS10" i="10"/>
  <c r="AR10" i="10"/>
  <c r="AS9" i="10"/>
  <c r="AR9" i="10"/>
  <c r="AS8" i="10"/>
  <c r="AR8" i="10"/>
  <c r="AS7" i="10"/>
  <c r="AR7" i="10"/>
  <c r="AS6" i="10"/>
  <c r="AR6" i="10"/>
  <c r="AR5" i="10"/>
  <c r="AS5" i="10"/>
  <c r="AS4" i="10"/>
  <c r="AR4" i="10"/>
  <c r="F3" i="8"/>
  <c r="F4" i="8"/>
  <c r="F5" i="8"/>
  <c r="F6" i="8"/>
  <c r="F7" i="8"/>
  <c r="F8" i="8"/>
  <c r="F9" i="8"/>
  <c r="F10" i="8"/>
  <c r="F11" i="8"/>
  <c r="F2" i="8"/>
  <c r="E2" i="8"/>
  <c r="E3" i="8"/>
  <c r="E4" i="8"/>
  <c r="E5" i="8"/>
  <c r="E6" i="8"/>
  <c r="E7" i="8"/>
  <c r="E8" i="8"/>
  <c r="E9" i="8"/>
  <c r="E10" i="8"/>
  <c r="E11" i="8"/>
  <c r="D3" i="8"/>
  <c r="D4" i="8"/>
  <c r="D5" i="8"/>
  <c r="D6" i="8"/>
  <c r="D7" i="8"/>
  <c r="D8" i="8"/>
  <c r="D9" i="8"/>
  <c r="D10" i="8"/>
  <c r="D11" i="8"/>
  <c r="D2" i="8"/>
  <c r="C3" i="8"/>
  <c r="C4" i="8"/>
  <c r="C5" i="8"/>
  <c r="C6" i="8"/>
  <c r="C7" i="8"/>
  <c r="C8" i="8"/>
  <c r="C9" i="8"/>
  <c r="C10" i="8"/>
  <c r="C11" i="8"/>
  <c r="C2" i="8"/>
  <c r="B3" i="8"/>
  <c r="B4" i="8"/>
  <c r="B5" i="8"/>
  <c r="B6" i="8"/>
  <c r="B7" i="8"/>
  <c r="B8" i="8"/>
  <c r="B9" i="8"/>
  <c r="B10" i="8"/>
  <c r="B11" i="8"/>
  <c r="B2" i="8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2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4" i="7"/>
  <c r="A805" i="7"/>
  <c r="A806" i="7"/>
  <c r="A807" i="7"/>
  <c r="A808" i="7"/>
  <c r="A809" i="7"/>
  <c r="A810" i="7"/>
  <c r="A811" i="7"/>
  <c r="A812" i="7"/>
  <c r="A813" i="7"/>
  <c r="A814" i="7"/>
  <c r="A815" i="7"/>
  <c r="A816" i="7"/>
  <c r="A817" i="7"/>
  <c r="A818" i="7"/>
  <c r="A819" i="7"/>
  <c r="A820" i="7"/>
  <c r="A821" i="7"/>
  <c r="A822" i="7"/>
  <c r="A823" i="7"/>
  <c r="A824" i="7"/>
  <c r="A825" i="7"/>
  <c r="A826" i="7"/>
  <c r="A827" i="7"/>
  <c r="A828" i="7"/>
  <c r="A829" i="7"/>
  <c r="A830" i="7"/>
  <c r="A831" i="7"/>
  <c r="A832" i="7"/>
  <c r="A833" i="7"/>
  <c r="A834" i="7"/>
  <c r="A835" i="7"/>
  <c r="A836" i="7"/>
  <c r="A837" i="7"/>
  <c r="A838" i="7"/>
  <c r="A839" i="7"/>
  <c r="A840" i="7"/>
  <c r="A841" i="7"/>
  <c r="A842" i="7"/>
  <c r="A843" i="7"/>
  <c r="A844" i="7"/>
  <c r="A845" i="7"/>
  <c r="A846" i="7"/>
  <c r="A847" i="7"/>
  <c r="A848" i="7"/>
  <c r="A849" i="7"/>
  <c r="A850" i="7"/>
  <c r="A851" i="7"/>
  <c r="A852" i="7"/>
  <c r="A853" i="7"/>
  <c r="A854" i="7"/>
  <c r="A855" i="7"/>
  <c r="A856" i="7"/>
  <c r="A857" i="7"/>
  <c r="A858" i="7"/>
  <c r="A859" i="7"/>
  <c r="A860" i="7"/>
  <c r="A861" i="7"/>
  <c r="A862" i="7"/>
  <c r="A863" i="7"/>
  <c r="A864" i="7"/>
  <c r="A865" i="7"/>
  <c r="A866" i="7"/>
  <c r="A867" i="7"/>
  <c r="A868" i="7"/>
  <c r="A869" i="7"/>
  <c r="A870" i="7"/>
  <c r="A871" i="7"/>
  <c r="A872" i="7"/>
  <c r="A873" i="7"/>
  <c r="A874" i="7"/>
  <c r="A875" i="7"/>
  <c r="A876" i="7"/>
  <c r="A877" i="7"/>
  <c r="A878" i="7"/>
  <c r="A879" i="7"/>
  <c r="A880" i="7"/>
  <c r="A881" i="7"/>
  <c r="A882" i="7"/>
  <c r="A883" i="7"/>
  <c r="A884" i="7"/>
  <c r="A885" i="7"/>
  <c r="A886" i="7"/>
  <c r="A887" i="7"/>
  <c r="A888" i="7"/>
  <c r="A889" i="7"/>
  <c r="A890" i="7"/>
  <c r="A891" i="7"/>
  <c r="A892" i="7"/>
  <c r="A893" i="7"/>
  <c r="A894" i="7"/>
  <c r="A895" i="7"/>
  <c r="A896" i="7"/>
  <c r="A897" i="7"/>
  <c r="A898" i="7"/>
  <c r="A899" i="7"/>
  <c r="A900" i="7"/>
  <c r="A901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" i="7"/>
  <c r="AB4" i="11" l="1"/>
  <c r="AD4" i="11"/>
  <c r="AB5" i="11"/>
  <c r="AD5" i="11"/>
  <c r="AB2" i="11"/>
  <c r="AD2" i="11"/>
  <c r="AB6" i="11"/>
  <c r="AD6" i="11"/>
  <c r="AB3" i="11"/>
  <c r="AD3" i="11"/>
  <c r="AV3" i="10"/>
  <c r="AZ3" i="10"/>
  <c r="AX4" i="10"/>
  <c r="AW5" i="10"/>
  <c r="AY6" i="10"/>
  <c r="BE6" i="10" s="1"/>
  <c r="AW3" i="10"/>
  <c r="AX3" i="10"/>
  <c r="AW4" i="10"/>
  <c r="AX5" i="10"/>
  <c r="AW6" i="10"/>
  <c r="AY3" i="10"/>
  <c r="BE3" i="10" s="1"/>
  <c r="AV5" i="10"/>
  <c r="AX6" i="10"/>
  <c r="AV4" i="10"/>
  <c r="AY5" i="10"/>
  <c r="BE5" i="10" s="1"/>
  <c r="AZ6" i="10"/>
  <c r="AY4" i="10"/>
  <c r="BE4" i="10" s="1"/>
  <c r="AZ5" i="10"/>
  <c r="AZ4" i="10"/>
  <c r="AV6" i="10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" i="4"/>
  <c r="AX7" i="10" l="1"/>
  <c r="BC4" i="10"/>
  <c r="BB3" i="10"/>
  <c r="BD3" i="10"/>
  <c r="BC3" i="10"/>
  <c r="BB5" i="10"/>
  <c r="BB4" i="10"/>
  <c r="BC6" i="10"/>
  <c r="AW7" i="10"/>
  <c r="BD4" i="10"/>
  <c r="BD5" i="10"/>
  <c r="BA5" i="10"/>
  <c r="BC5" i="10"/>
  <c r="BD6" i="10"/>
  <c r="BB6" i="10"/>
  <c r="AY7" i="10"/>
  <c r="BA4" i="10"/>
  <c r="BA6" i="10"/>
  <c r="AV7" i="10"/>
  <c r="AZ7" i="10"/>
  <c r="BA3" i="10"/>
  <c r="BA7" i="10" l="1"/>
</calcChain>
</file>

<file path=xl/sharedStrings.xml><?xml version="1.0" encoding="utf-8"?>
<sst xmlns="http://schemas.openxmlformats.org/spreadsheetml/2006/main" count="41714" uniqueCount="5236">
  <si>
    <t>City</t>
  </si>
  <si>
    <t>Region</t>
  </si>
  <si>
    <t>Mumbai</t>
  </si>
  <si>
    <t>West</t>
  </si>
  <si>
    <t>Pune</t>
  </si>
  <si>
    <t>Ahmedabad</t>
  </si>
  <si>
    <t>Surat</t>
  </si>
  <si>
    <t>Delhi</t>
  </si>
  <si>
    <t>North</t>
  </si>
  <si>
    <t>Jaipur</t>
  </si>
  <si>
    <t>Lucknow</t>
  </si>
  <si>
    <t>Kolkata</t>
  </si>
  <si>
    <t>East</t>
  </si>
  <si>
    <t>Bhubaneswar</t>
  </si>
  <si>
    <t>Chennai</t>
  </si>
  <si>
    <t>South</t>
  </si>
  <si>
    <t>Bengaluru</t>
  </si>
  <si>
    <t>Hyderabad</t>
  </si>
  <si>
    <t>Product_ID</t>
  </si>
  <si>
    <t>Category</t>
  </si>
  <si>
    <t>Product</t>
  </si>
  <si>
    <t>P001</t>
  </si>
  <si>
    <t>Electronics</t>
  </si>
  <si>
    <t>Laptop</t>
  </si>
  <si>
    <t>P002</t>
  </si>
  <si>
    <t>Smartphone</t>
  </si>
  <si>
    <t>P003</t>
  </si>
  <si>
    <t>Tablet</t>
  </si>
  <si>
    <t>P004</t>
  </si>
  <si>
    <t>Smartwatch</t>
  </si>
  <si>
    <t>P005</t>
  </si>
  <si>
    <t>Wireless Earbuds</t>
  </si>
  <si>
    <t>P006</t>
  </si>
  <si>
    <t>Bluetooth Speaker</t>
  </si>
  <si>
    <t>P007</t>
  </si>
  <si>
    <t>Monitor</t>
  </si>
  <si>
    <t>P008</t>
  </si>
  <si>
    <t>Keyboard</t>
  </si>
  <si>
    <t>P009</t>
  </si>
  <si>
    <t>Mouse</t>
  </si>
  <si>
    <t>P010</t>
  </si>
  <si>
    <t>Printer</t>
  </si>
  <si>
    <t>P011</t>
  </si>
  <si>
    <t>Furniture</t>
  </si>
  <si>
    <t>Office Chair</t>
  </si>
  <si>
    <t>P012</t>
  </si>
  <si>
    <t>Study Desk</t>
  </si>
  <si>
    <t>P013</t>
  </si>
  <si>
    <t>Bookshelf</t>
  </si>
  <si>
    <t>P014</t>
  </si>
  <si>
    <t>Coffee Table</t>
  </si>
  <si>
    <t>P015</t>
  </si>
  <si>
    <t>Sofa</t>
  </si>
  <si>
    <t>P016</t>
  </si>
  <si>
    <t>Dining Table</t>
  </si>
  <si>
    <t>P017</t>
  </si>
  <si>
    <t>Wardrobe</t>
  </si>
  <si>
    <t>P018</t>
  </si>
  <si>
    <t>TV Unit</t>
  </si>
  <si>
    <t>P019</t>
  </si>
  <si>
    <t>Bed Frame</t>
  </si>
  <si>
    <t>P020</t>
  </si>
  <si>
    <t>Shoe Rack</t>
  </si>
  <si>
    <t>P021</t>
  </si>
  <si>
    <t>Office Supplies</t>
  </si>
  <si>
    <t>Notebook</t>
  </si>
  <si>
    <t>P022</t>
  </si>
  <si>
    <t>Pen Set</t>
  </si>
  <si>
    <t>P023</t>
  </si>
  <si>
    <t>Marker Pack</t>
  </si>
  <si>
    <t>P024</t>
  </si>
  <si>
    <t>Stapler</t>
  </si>
  <si>
    <t>P025</t>
  </si>
  <si>
    <t>File Folder</t>
  </si>
  <si>
    <t>P026</t>
  </si>
  <si>
    <t>Desk Organizer</t>
  </si>
  <si>
    <t>P027</t>
  </si>
  <si>
    <t>Calculator</t>
  </si>
  <si>
    <t>P028</t>
  </si>
  <si>
    <t>Sticky Notes</t>
  </si>
  <si>
    <t>P029</t>
  </si>
  <si>
    <t>Paper Ream</t>
  </si>
  <si>
    <t>P030</t>
  </si>
  <si>
    <t>Whiteboard</t>
  </si>
  <si>
    <t>Salesperson_ID</t>
  </si>
  <si>
    <t>Salesperson_Name</t>
  </si>
  <si>
    <t>SP001</t>
  </si>
  <si>
    <t>Rahul Sharma</t>
  </si>
  <si>
    <t>SP002</t>
  </si>
  <si>
    <t>Priya Patel</t>
  </si>
  <si>
    <t>SP003</t>
  </si>
  <si>
    <t>Aman Verma</t>
  </si>
  <si>
    <t>SP004</t>
  </si>
  <si>
    <t>Neha Gupta</t>
  </si>
  <si>
    <t>SP005</t>
  </si>
  <si>
    <t>Arjun Mehta</t>
  </si>
  <si>
    <t>SP006</t>
  </si>
  <si>
    <t>Sneha Iyer</t>
  </si>
  <si>
    <t>SP007</t>
  </si>
  <si>
    <t>Karan Singh</t>
  </si>
  <si>
    <t>SP008</t>
  </si>
  <si>
    <t>Pooja Nair</t>
  </si>
  <si>
    <t>SP009</t>
  </si>
  <si>
    <t>Vivek Joshi</t>
  </si>
  <si>
    <t>SP010</t>
  </si>
  <si>
    <t>Anjali Desai</t>
  </si>
  <si>
    <t>Payment_Mode</t>
  </si>
  <si>
    <t>UPI</t>
  </si>
  <si>
    <t>Credit Card</t>
  </si>
  <si>
    <t>Debit Card</t>
  </si>
  <si>
    <t>Cash</t>
  </si>
  <si>
    <t>Net Banking</t>
  </si>
  <si>
    <t>Sales_Channel</t>
  </si>
  <si>
    <t>Online</t>
  </si>
  <si>
    <t>Offline</t>
  </si>
  <si>
    <t>Order_ID</t>
  </si>
  <si>
    <t>Order_Date</t>
  </si>
  <si>
    <t>Customer_ID</t>
  </si>
  <si>
    <t>Customer_Name</t>
  </si>
  <si>
    <t>Gender</t>
  </si>
  <si>
    <t>Age</t>
  </si>
  <si>
    <t>Product_Name</t>
  </si>
  <si>
    <t>Product_Role</t>
  </si>
  <si>
    <t>Unit_Price (₹)</t>
  </si>
  <si>
    <t>Profit_Margin (%)</t>
  </si>
  <si>
    <t>Cost_Price (₹)</t>
  </si>
  <si>
    <t>Demand_Level</t>
  </si>
  <si>
    <t>Seasonal_Boost</t>
  </si>
  <si>
    <t>Min_Order_Qty</t>
  </si>
  <si>
    <t>Max_Order_Qty</t>
  </si>
  <si>
    <t>Hero Product</t>
  </si>
  <si>
    <t>Low</t>
  </si>
  <si>
    <t>High</t>
  </si>
  <si>
    <t>Medium-High</t>
  </si>
  <si>
    <t>Lifestyle Product</t>
  </si>
  <si>
    <t>Medium</t>
  </si>
  <si>
    <t>Earbuds</t>
  </si>
  <si>
    <t>External Hard Drive</t>
  </si>
  <si>
    <t>Profit Stabilizer</t>
  </si>
  <si>
    <t>Workspace Traffic Builder</t>
  </si>
  <si>
    <t>Premium Storage</t>
  </si>
  <si>
    <t>Family Essentials</t>
  </si>
  <si>
    <t>Home Organization</t>
  </si>
  <si>
    <t>Daily Traffic Builder</t>
  </si>
  <si>
    <t>Very High</t>
  </si>
  <si>
    <t>Organization Essential</t>
  </si>
  <si>
    <t>Markers</t>
  </si>
  <si>
    <t>Study &amp; Office Essential</t>
  </si>
  <si>
    <t>Academic Essential</t>
  </si>
  <si>
    <t>Bundle_Group</t>
  </si>
  <si>
    <t>Tech Essentials</t>
  </si>
  <si>
    <t>Premium Product</t>
  </si>
  <si>
    <t>Workspace Essential</t>
  </si>
  <si>
    <t>Workspace Setup</t>
  </si>
  <si>
    <t>Office Essential</t>
  </si>
  <si>
    <t>Personal Tech</t>
  </si>
  <si>
    <t>Storage Essential</t>
  </si>
  <si>
    <t>Living Room</t>
  </si>
  <si>
    <t>Bedroom Storage</t>
  </si>
  <si>
    <t>Dining Room</t>
  </si>
  <si>
    <t>Study &amp; Storage</t>
  </si>
  <si>
    <t>Study Essentials</t>
  </si>
  <si>
    <t>Order_Type</t>
  </si>
  <si>
    <t>Percentage</t>
  </si>
  <si>
    <t>Products_per_Order</t>
  </si>
  <si>
    <t>Approx_Orders</t>
  </si>
  <si>
    <t>Single</t>
  </si>
  <si>
    <t>Bundle</t>
  </si>
  <si>
    <t>Mixed</t>
  </si>
  <si>
    <t>Month</t>
  </si>
  <si>
    <t>Weight</t>
  </si>
  <si>
    <t>Orders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</si>
  <si>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</si>
  <si>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</si>
  <si>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</si>
  <si>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</si>
  <si>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</si>
  <si>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</si>
  <si>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</si>
  <si>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</si>
  <si>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</si>
  <si>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</si>
  <si>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</si>
  <si>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Segment</t>
  </si>
  <si>
    <t>Customers</t>
  </si>
  <si>
    <t>One-time</t>
  </si>
  <si>
    <t>Occasional</t>
  </si>
  <si>
    <t>Loyal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</si>
  <si>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</si>
  <si>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</si>
  <si>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</si>
  <si>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</si>
  <si>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</si>
  <si>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</si>
  <si>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</si>
  <si>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</si>
  <si>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First_Name</t>
  </si>
  <si>
    <t>Aarav</t>
  </si>
  <si>
    <t>Male</t>
  </si>
  <si>
    <t>Vivaan</t>
  </si>
  <si>
    <t>Aditya</t>
  </si>
  <si>
    <t>Arjun</t>
  </si>
  <si>
    <t>Rohan</t>
  </si>
  <si>
    <t>Rahul</t>
  </si>
  <si>
    <t>Akash</t>
  </si>
  <si>
    <t>Siddharth</t>
  </si>
  <si>
    <t>Dhruv</t>
  </si>
  <si>
    <t>Yash</t>
  </si>
  <si>
    <t>Manav</t>
  </si>
  <si>
    <t>Aryan</t>
  </si>
  <si>
    <t>Kabir</t>
  </si>
  <si>
    <t>Krish</t>
  </si>
  <si>
    <t>Harsh</t>
  </si>
  <si>
    <t>Nikhil</t>
  </si>
  <si>
    <t>Varun</t>
  </si>
  <si>
    <t>Aniket</t>
  </si>
  <si>
    <t>Tanmay</t>
  </si>
  <si>
    <t>Priya</t>
  </si>
  <si>
    <t>Female</t>
  </si>
  <si>
    <t>Ananya</t>
  </si>
  <si>
    <t>Aditi</t>
  </si>
  <si>
    <t>Sneha</t>
  </si>
  <si>
    <t>Kavya</t>
  </si>
  <si>
    <t>Diya</t>
  </si>
  <si>
    <t>Meera</t>
  </si>
  <si>
    <t>Riya</t>
  </si>
  <si>
    <t>Pooja</t>
  </si>
  <si>
    <t>Neha</t>
  </si>
  <si>
    <t>Simran</t>
  </si>
  <si>
    <t>Nisha</t>
  </si>
  <si>
    <t>Isha</t>
  </si>
  <si>
    <t>Kritika</t>
  </si>
  <si>
    <t>Shruti</t>
  </si>
  <si>
    <t>Palak</t>
  </si>
  <si>
    <t>Muskan</t>
  </si>
  <si>
    <t>Sanjana</t>
  </si>
  <si>
    <t>Nikita</t>
  </si>
  <si>
    <t>Khushi</t>
  </si>
  <si>
    <t>Last_Name</t>
  </si>
  <si>
    <t>Patel</t>
  </si>
  <si>
    <t>Shah</t>
  </si>
  <si>
    <t>Sharma</t>
  </si>
  <si>
    <t>Singh</t>
  </si>
  <si>
    <t>Mehta</t>
  </si>
  <si>
    <t>Gupta</t>
  </si>
  <si>
    <t>Verma</t>
  </si>
  <si>
    <t>Joshi</t>
  </si>
  <si>
    <t>Desai</t>
  </si>
  <si>
    <t>Nair</t>
  </si>
  <si>
    <t>Iyer</t>
  </si>
  <si>
    <t>Kulkarni</t>
  </si>
  <si>
    <t>Mishra</t>
  </si>
  <si>
    <t>Choudhary</t>
  </si>
  <si>
    <t>Yadav</t>
  </si>
  <si>
    <t>Jain</t>
  </si>
  <si>
    <t>Kapoor</t>
  </si>
  <si>
    <t>Bhat</t>
  </si>
  <si>
    <t>Das</t>
  </si>
  <si>
    <t>Reddy</t>
  </si>
  <si>
    <t>Rao</t>
  </si>
  <si>
    <t>Ghosh</t>
  </si>
  <si>
    <t>Banerjee</t>
  </si>
  <si>
    <t>Sinha</t>
  </si>
  <si>
    <t>Tripathi</t>
  </si>
  <si>
    <t>Agarwal</t>
  </si>
  <si>
    <t>Malhotra</t>
  </si>
  <si>
    <t>Bhatt</t>
  </si>
  <si>
    <t>Trivedi</t>
  </si>
  <si>
    <t>Pandey</t>
  </si>
  <si>
    <t>Pawar</t>
  </si>
  <si>
    <t>Chauhan</t>
  </si>
  <si>
    <t>Solanki</t>
  </si>
  <si>
    <t>Parmar</t>
  </si>
  <si>
    <t>Saxena</t>
  </si>
  <si>
    <t>Tiwari</t>
  </si>
  <si>
    <t>Kaur</t>
  </si>
  <si>
    <t>Gill</t>
  </si>
  <si>
    <t>Fernandes</t>
  </si>
  <si>
    <t>D'Souza</t>
  </si>
  <si>
    <t>Thomas</t>
  </si>
  <si>
    <t>Menon</t>
  </si>
  <si>
    <t>Pillai</t>
  </si>
  <si>
    <t>Shetty</t>
  </si>
  <si>
    <t>Naidu</t>
  </si>
  <si>
    <t>Chatterjee</t>
  </si>
  <si>
    <t>Bose</t>
  </si>
  <si>
    <t>Bansal</t>
  </si>
  <si>
    <t>Goel</t>
  </si>
  <si>
    <t>Arora</t>
  </si>
  <si>
    <t>Indore</t>
  </si>
  <si>
    <t>Nagpur</t>
  </si>
  <si>
    <t>Customer_Type</t>
  </si>
  <si>
    <t>Age_Group</t>
  </si>
  <si>
    <t>Min</t>
  </si>
  <si>
    <t>Max</t>
  </si>
  <si>
    <t>18–24</t>
  </si>
  <si>
    <t>25–34</t>
  </si>
  <si>
    <t>35–44</t>
  </si>
  <si>
    <t>45–54</t>
  </si>
  <si>
    <t>55–65</t>
  </si>
  <si>
    <t>Kunal</t>
  </si>
  <si>
    <t>Ayaan</t>
  </si>
  <si>
    <t>Ishaan</t>
  </si>
  <si>
    <t>Atharv</t>
  </si>
  <si>
    <t>Dev</t>
  </si>
  <si>
    <t>Parth</t>
  </si>
  <si>
    <t>Shivam</t>
  </si>
  <si>
    <t>Pranav</t>
  </si>
  <si>
    <t>Aman</t>
  </si>
  <si>
    <t>Abhishek</t>
  </si>
  <si>
    <t>Saurabh</t>
  </si>
  <si>
    <t>Mohit</t>
  </si>
  <si>
    <t>Ayush</t>
  </si>
  <si>
    <t>Kartik</t>
  </si>
  <si>
    <t>Vivek</t>
  </si>
  <si>
    <t>Rohit</t>
  </si>
  <si>
    <t>Sumit</t>
  </si>
  <si>
    <t>Chirag</t>
  </si>
  <si>
    <t>Gaurav</t>
  </si>
  <si>
    <t>Deepak</t>
  </si>
  <si>
    <t>Mayank</t>
  </si>
  <si>
    <t>Adarsh</t>
  </si>
  <si>
    <t>Laksh</t>
  </si>
  <si>
    <t>Vihaan</t>
  </si>
  <si>
    <t>Om</t>
  </si>
  <si>
    <t>Rudra</t>
  </si>
  <si>
    <t>Neil</t>
  </si>
  <si>
    <t>Arnav</t>
  </si>
  <si>
    <t>Rishi</t>
  </si>
  <si>
    <t>Tushar</t>
  </si>
  <si>
    <t>Sahil</t>
  </si>
  <si>
    <t>Aishwarya</t>
  </si>
  <si>
    <t>Anjali</t>
  </si>
  <si>
    <t>Radhika</t>
  </si>
  <si>
    <t>Swati</t>
  </si>
  <si>
    <t>Tanya</t>
  </si>
  <si>
    <t>Bhavya</t>
  </si>
  <si>
    <t>Komal</t>
  </si>
  <si>
    <t>Sakshi</t>
  </si>
  <si>
    <t>Divya</t>
  </si>
  <si>
    <t>Shreya</t>
  </si>
  <si>
    <t>Prachi</t>
  </si>
  <si>
    <t>Mansi</t>
  </si>
  <si>
    <t>Nandini</t>
  </si>
  <si>
    <t>Ritika</t>
  </si>
  <si>
    <t>Vaishnavi</t>
  </si>
  <si>
    <t>Trisha</t>
  </si>
  <si>
    <t>Sonal</t>
  </si>
  <si>
    <t>Jyoti</t>
  </si>
  <si>
    <t>Harshita</t>
  </si>
  <si>
    <t>Payal</t>
  </si>
  <si>
    <t>Priti</t>
  </si>
  <si>
    <t>Charu</t>
  </si>
  <si>
    <t>Tanvi</t>
  </si>
  <si>
    <t>Ishita</t>
  </si>
  <si>
    <t>Aarya</t>
  </si>
  <si>
    <t>Rupal</t>
  </si>
  <si>
    <t>Heena</t>
  </si>
  <si>
    <t>Monika</t>
  </si>
  <si>
    <t>Saniya</t>
  </si>
  <si>
    <t>Niyati</t>
  </si>
  <si>
    <t>Prachi Choudhary</t>
  </si>
  <si>
    <t>Palak Pawar</t>
  </si>
  <si>
    <t>Anjali Bose</t>
  </si>
  <si>
    <t>Akash Kapoor</t>
  </si>
  <si>
    <t>Bhavya Kapoor</t>
  </si>
  <si>
    <t>Rudra Gupta</t>
  </si>
  <si>
    <t>Diya Choudhary</t>
  </si>
  <si>
    <t>Adarsh Verma</t>
  </si>
  <si>
    <t>Krish Gupta</t>
  </si>
  <si>
    <t>Isha Singh</t>
  </si>
  <si>
    <t>Swati Jain</t>
  </si>
  <si>
    <t>Trisha Jain</t>
  </si>
  <si>
    <t>Adarsh Malhotra</t>
  </si>
  <si>
    <t>Khushi Trivedi</t>
  </si>
  <si>
    <t>Manav Nair</t>
  </si>
  <si>
    <t>Kavya Rao</t>
  </si>
  <si>
    <t>Prachi Solanki</t>
  </si>
  <si>
    <t>Sahil Sinha</t>
  </si>
  <si>
    <t>Gaurav Choudhary</t>
  </si>
  <si>
    <t>Monika Shetty</t>
  </si>
  <si>
    <t>Heena Desai</t>
  </si>
  <si>
    <t>Ayaan Shetty</t>
  </si>
  <si>
    <t>Saurabh Sinha</t>
  </si>
  <si>
    <t>Payal Gill</t>
  </si>
  <si>
    <t>Shivam Joshi</t>
  </si>
  <si>
    <t>Rishi Reddy</t>
  </si>
  <si>
    <t>Vivek Shetty</t>
  </si>
  <si>
    <t>Rohan Trivedi</t>
  </si>
  <si>
    <t>Sneha Arora</t>
  </si>
  <si>
    <t>Siddharth Saxena</t>
  </si>
  <si>
    <t>Saurabh Malhotra</t>
  </si>
  <si>
    <t>Mayank Sinha</t>
  </si>
  <si>
    <t>Vivek Agarwal</t>
  </si>
  <si>
    <t>Pooja Kaur</t>
  </si>
  <si>
    <t>Kunal Goel</t>
  </si>
  <si>
    <t>Deepak Fernandes</t>
  </si>
  <si>
    <t>Gaurav Mehta</t>
  </si>
  <si>
    <t>Atharv Ghosh</t>
  </si>
  <si>
    <t>Prachi Pillai</t>
  </si>
  <si>
    <t>Gaurav Thomas</t>
  </si>
  <si>
    <t>Sakshi Menon</t>
  </si>
  <si>
    <t>Akash Solanki</t>
  </si>
  <si>
    <t>Sonal Mishra</t>
  </si>
  <si>
    <t>Kunal Mehta</t>
  </si>
  <si>
    <t>Gaurav Reddy</t>
  </si>
  <si>
    <t>Simran Mehta</t>
  </si>
  <si>
    <t>Aishwarya D'Souza</t>
  </si>
  <si>
    <t>Siddharth Goel</t>
  </si>
  <si>
    <t>Deepak Sinha</t>
  </si>
  <si>
    <t>Dhruv Saxena</t>
  </si>
  <si>
    <t>Monika Reddy</t>
  </si>
  <si>
    <t>Monika Kulkarni</t>
  </si>
  <si>
    <t>Sneha Kulkarni</t>
  </si>
  <si>
    <t>Ayush Bansal</t>
  </si>
  <si>
    <t>Deepak Jain</t>
  </si>
  <si>
    <t>Ishaan Banerjee</t>
  </si>
  <si>
    <t>Chirag Saxena</t>
  </si>
  <si>
    <t>Swati Goel</t>
  </si>
  <si>
    <t>Dhruv Sharma</t>
  </si>
  <si>
    <t>Sumit Joshi</t>
  </si>
  <si>
    <t>Pooja Shah</t>
  </si>
  <si>
    <t>Radhika Pillai</t>
  </si>
  <si>
    <t>Priti Menon</t>
  </si>
  <si>
    <t>Divya Choudhary</t>
  </si>
  <si>
    <t>Vaishnavi Yadav</t>
  </si>
  <si>
    <t>Ayaan Iyer</t>
  </si>
  <si>
    <t>Kritika Banerjee</t>
  </si>
  <si>
    <t>Payal Choudhary</t>
  </si>
  <si>
    <t>Shruti Thomas</t>
  </si>
  <si>
    <t>Nandini Rao</t>
  </si>
  <si>
    <t>Vivaan Saxena</t>
  </si>
  <si>
    <t>Mansi Chatterjee</t>
  </si>
  <si>
    <t>Pranav Agarwal</t>
  </si>
  <si>
    <t>Krish Fernandes</t>
  </si>
  <si>
    <t>Mohit Gupta</t>
  </si>
  <si>
    <t>Harshita Chatterjee</t>
  </si>
  <si>
    <t>Arjun Iyer</t>
  </si>
  <si>
    <t>Tanmay Naidu</t>
  </si>
  <si>
    <t>Shivam Desai</t>
  </si>
  <si>
    <t>Saniya Iyer</t>
  </si>
  <si>
    <t>Atharv Agarwal</t>
  </si>
  <si>
    <t>Sanjana Tiwari</t>
  </si>
  <si>
    <t>Anjali Ghosh</t>
  </si>
  <si>
    <t>Radhika Trivedi</t>
  </si>
  <si>
    <t>Ananya Malhotra</t>
  </si>
  <si>
    <t>Saniya Naidu</t>
  </si>
  <si>
    <t>Adarsh Nair</t>
  </si>
  <si>
    <t>Adarsh Bhat</t>
  </si>
  <si>
    <t>Varun Shah</t>
  </si>
  <si>
    <t>Anjali Menon</t>
  </si>
  <si>
    <t>Shivam Nair</t>
  </si>
  <si>
    <t>Mohit Bose</t>
  </si>
  <si>
    <t>Varun Menon</t>
  </si>
  <si>
    <t>Isha Saxena</t>
  </si>
  <si>
    <t>Ishaan Gill</t>
  </si>
  <si>
    <t>Shruti Chatterjee</t>
  </si>
  <si>
    <t>Dhruv Pillai</t>
  </si>
  <si>
    <t>Rudra Bose</t>
  </si>
  <si>
    <t>Komal Bhatt</t>
  </si>
  <si>
    <t>Rohit Naidu</t>
  </si>
  <si>
    <t>Khushi Bansal</t>
  </si>
  <si>
    <t>Sumit Trivedi</t>
  </si>
  <si>
    <t>Priya Mehta</t>
  </si>
  <si>
    <t>Vaishnavi Chatterjee</t>
  </si>
  <si>
    <t>Sneha Nair</t>
  </si>
  <si>
    <t>Aryan Fernandes</t>
  </si>
  <si>
    <t>Deepak Ghosh</t>
  </si>
  <si>
    <t>Manav Sharma</t>
  </si>
  <si>
    <t>Sanjana Kaur</t>
  </si>
  <si>
    <t>Om Naidu</t>
  </si>
  <si>
    <t>Tanmay Arora</t>
  </si>
  <si>
    <t>Rahul Joshi</t>
  </si>
  <si>
    <t>Mansi Thomas</t>
  </si>
  <si>
    <t>Sanjana Pillai</t>
  </si>
  <si>
    <t>Neha Shah</t>
  </si>
  <si>
    <t>Vivaan Shah</t>
  </si>
  <si>
    <t>Arjun Banerjee</t>
  </si>
  <si>
    <t>Neil Kulkarni</t>
  </si>
  <si>
    <t>Prachi Trivedi</t>
  </si>
  <si>
    <t>Sanjana Gill</t>
  </si>
  <si>
    <t>Rohan Sharma</t>
  </si>
  <si>
    <t>Varun Nair</t>
  </si>
  <si>
    <t>Tanvi Mehta</t>
  </si>
  <si>
    <t>Rohan Desai</t>
  </si>
  <si>
    <t>Om Agarwal</t>
  </si>
  <si>
    <t>Nikhil Pandey</t>
  </si>
  <si>
    <t>Meera Bansal</t>
  </si>
  <si>
    <t>Ishaan Shetty</t>
  </si>
  <si>
    <t>Gaurav Parmar</t>
  </si>
  <si>
    <t>Aishwarya Pillai</t>
  </si>
  <si>
    <t>Atharv Thomas</t>
  </si>
  <si>
    <t>Adarsh Ghosh</t>
  </si>
  <si>
    <t>Heena Iyer</t>
  </si>
  <si>
    <t>Radhika Kulkarni</t>
  </si>
  <si>
    <t>Abhishek Pandey</t>
  </si>
  <si>
    <t>Aditya Arora</t>
  </si>
  <si>
    <t>Diya Sinha</t>
  </si>
  <si>
    <t>Tushar Kapoor</t>
  </si>
  <si>
    <t>Tanvi Sinha</t>
  </si>
  <si>
    <t>Siddharth Desai</t>
  </si>
  <si>
    <t>Ishita Mishra</t>
  </si>
  <si>
    <t>Palak Trivedi</t>
  </si>
  <si>
    <t>Anjali Tiwari</t>
  </si>
  <si>
    <t>Pooja Banerjee</t>
  </si>
  <si>
    <t>Nandini Kaur</t>
  </si>
  <si>
    <t>Varun Choudhary</t>
  </si>
  <si>
    <t>Nisha Sinha</t>
  </si>
  <si>
    <t>Niyati Bose</t>
  </si>
  <si>
    <t>Kunal Menon</t>
  </si>
  <si>
    <t>Arnav Arora</t>
  </si>
  <si>
    <t>Meera Mishra</t>
  </si>
  <si>
    <t>Akash Singh</t>
  </si>
  <si>
    <t>Bhavya Nair</t>
  </si>
  <si>
    <t>Shruti Malhotra</t>
  </si>
  <si>
    <t>Simran Gill</t>
  </si>
  <si>
    <t>Varun Mehta</t>
  </si>
  <si>
    <t>Harshita Rao</t>
  </si>
  <si>
    <t>Nikita Bose</t>
  </si>
  <si>
    <t>Aishwarya Goel</t>
  </si>
  <si>
    <t>Chirag Singh</t>
  </si>
  <si>
    <t>Komal Naidu</t>
  </si>
  <si>
    <t>Yash Pillai</t>
  </si>
  <si>
    <t>Diya Pandey</t>
  </si>
  <si>
    <t>Chirag Bhat</t>
  </si>
  <si>
    <t>Krish Reddy</t>
  </si>
  <si>
    <t>Atharv Bhatt</t>
  </si>
  <si>
    <t>Vaishnavi Sinha</t>
  </si>
  <si>
    <t>Tanya Tripathi</t>
  </si>
  <si>
    <t>Bhavya Verma</t>
  </si>
  <si>
    <t>Ritika Pandey</t>
  </si>
  <si>
    <t>Sumit Solanki</t>
  </si>
  <si>
    <t>Harsh Gupta</t>
  </si>
  <si>
    <t>Pooja Kapoor</t>
  </si>
  <si>
    <t>Deepak Bhatt</t>
  </si>
  <si>
    <t>Shivam Tiwari</t>
  </si>
  <si>
    <t>Mayank Gupta</t>
  </si>
  <si>
    <t>Abhishek Arora</t>
  </si>
  <si>
    <t>Vivek Parmar</t>
  </si>
  <si>
    <t>Trisha Choudhary</t>
  </si>
  <si>
    <t>Nisha Bhat</t>
  </si>
  <si>
    <t>Kartik Shah</t>
  </si>
  <si>
    <t>Vivek Reddy</t>
  </si>
  <si>
    <t>Krish Bhatt</t>
  </si>
  <si>
    <t>Dev Rao</t>
  </si>
  <si>
    <t>Divya Banerjee</t>
  </si>
  <si>
    <t>Trisha Patel</t>
  </si>
  <si>
    <t>Parth Arora</t>
  </si>
  <si>
    <t>Charu Singh</t>
  </si>
  <si>
    <t>Monika Iyer</t>
  </si>
  <si>
    <t>Aman Bose</t>
  </si>
  <si>
    <t>Dhruv Naidu</t>
  </si>
  <si>
    <t>Kritika Reddy</t>
  </si>
  <si>
    <t>Aditya Bansal</t>
  </si>
  <si>
    <t>Deepak Gill</t>
  </si>
  <si>
    <t>Niyati Menon</t>
  </si>
  <si>
    <t>Saurabh Bhatt</t>
  </si>
  <si>
    <t>Abhishek Menon</t>
  </si>
  <si>
    <t>Om Menon</t>
  </si>
  <si>
    <t>Arjun Singh</t>
  </si>
  <si>
    <t>Siddharth Chatterjee</t>
  </si>
  <si>
    <t>Priya Choudhary</t>
  </si>
  <si>
    <t>Nikita Mishra</t>
  </si>
  <si>
    <t>Palak Shetty</t>
  </si>
  <si>
    <t>Chirag Chatterjee</t>
  </si>
  <si>
    <t>Aditya Agarwal</t>
  </si>
  <si>
    <t>Harshita Tripathi</t>
  </si>
  <si>
    <t>Ananya Bansal</t>
  </si>
  <si>
    <t>Nisha Chatterjee</t>
  </si>
  <si>
    <t>Priti Thomas</t>
  </si>
  <si>
    <t>Rahul Menon</t>
  </si>
  <si>
    <t>Monika Chauhan</t>
  </si>
  <si>
    <t>Tushar Parmar</t>
  </si>
  <si>
    <t>Kunal Trivedi</t>
  </si>
  <si>
    <t>Monika Pawar</t>
  </si>
  <si>
    <t>Chirag Verma</t>
  </si>
  <si>
    <t>Divya Gupta</t>
  </si>
  <si>
    <t>Akash Jain</t>
  </si>
  <si>
    <t>Ishita Bhatt</t>
  </si>
  <si>
    <t>Rohan D'Souza</t>
  </si>
  <si>
    <t>Abhishek Solanki</t>
  </si>
  <si>
    <t>Manav Kulkarni</t>
  </si>
  <si>
    <t>Chirag Jain</t>
  </si>
  <si>
    <t>Anjali Pawar</t>
  </si>
  <si>
    <t>Harshita Mehta</t>
  </si>
  <si>
    <t>Sakshi Pawar</t>
  </si>
  <si>
    <t>Tanya Iyer</t>
  </si>
  <si>
    <t>Mansi Bhatt</t>
  </si>
  <si>
    <t>Aniket Solanki</t>
  </si>
  <si>
    <t>Krish Tripathi</t>
  </si>
  <si>
    <t>Kritika Trivedi</t>
  </si>
  <si>
    <t>Kavya Joshi</t>
  </si>
  <si>
    <t>Akash Menon</t>
  </si>
  <si>
    <t>Sanjana Das</t>
  </si>
  <si>
    <t>Neha Jain</t>
  </si>
  <si>
    <t>Sanjana Trivedi</t>
  </si>
  <si>
    <t>Vivaan Mishra</t>
  </si>
  <si>
    <t>Aishwarya Gupta</t>
  </si>
  <si>
    <t>Diya Parmar</t>
  </si>
  <si>
    <t>Swati Chatterjee</t>
  </si>
  <si>
    <t>Ritika Solanki</t>
  </si>
  <si>
    <t>Kunal Joshi</t>
  </si>
  <si>
    <t>Parth Bose</t>
  </si>
  <si>
    <t>Aditya Desai</t>
  </si>
  <si>
    <t>Trisha Kaur</t>
  </si>
  <si>
    <t>Arnav Mehta</t>
  </si>
  <si>
    <t>Aditi Gill</t>
  </si>
  <si>
    <t>Tushar Rao</t>
  </si>
  <si>
    <t>Vivek Ghosh</t>
  </si>
  <si>
    <t>Aniket Arora</t>
  </si>
  <si>
    <t>Ayaan Gupta</t>
  </si>
  <si>
    <t>Radhika Goel</t>
  </si>
  <si>
    <t>Dhruv Shetty</t>
  </si>
  <si>
    <t>Kartik Reddy</t>
  </si>
  <si>
    <t>Vaishnavi Nair</t>
  </si>
  <si>
    <t>Ayush Shah</t>
  </si>
  <si>
    <t>Priti Bansal</t>
  </si>
  <si>
    <t>Rohit Kulkarni</t>
  </si>
  <si>
    <t>Vaishnavi Malhotra</t>
  </si>
  <si>
    <t>Sanjana Goel</t>
  </si>
  <si>
    <t>Ananya Choudhary</t>
  </si>
  <si>
    <t>Aditya Kaur</t>
  </si>
  <si>
    <t>Shreya Tiwari</t>
  </si>
  <si>
    <t>Ayaan Pillai</t>
  </si>
  <si>
    <t>Rohit Solanki</t>
  </si>
  <si>
    <t>Muskan Nair</t>
  </si>
  <si>
    <t>Yash Gupta</t>
  </si>
  <si>
    <t>Monika Banerjee</t>
  </si>
  <si>
    <t>Mayank Fernandes</t>
  </si>
  <si>
    <t>Aarya Gupta</t>
  </si>
  <si>
    <t>Pooja Desai</t>
  </si>
  <si>
    <t>Manav Singh</t>
  </si>
  <si>
    <t>Manav Rao</t>
  </si>
  <si>
    <t>Trisha Sinha</t>
  </si>
  <si>
    <t>Radhika Verma</t>
  </si>
  <si>
    <t>Kabir Desai</t>
  </si>
  <si>
    <t>Ishaan Tripathi</t>
  </si>
  <si>
    <t>Vaishnavi Mehta</t>
  </si>
  <si>
    <t>Aarya Trivedi</t>
  </si>
  <si>
    <t>Prachi Shah</t>
  </si>
  <si>
    <t>Khushi Rao</t>
  </si>
  <si>
    <t>Mohit Bhat</t>
  </si>
  <si>
    <t>Ayush Agarwal</t>
  </si>
  <si>
    <t>Swati Kapoor</t>
  </si>
  <si>
    <t>Sonal Bansal</t>
  </si>
  <si>
    <t>Vivek Kulkarni</t>
  </si>
  <si>
    <t>Simran Joshi</t>
  </si>
  <si>
    <t>Kunal Kaur</t>
  </si>
  <si>
    <t>Tanya Saxena</t>
  </si>
  <si>
    <t>Vaishnavi Kapoor</t>
  </si>
  <si>
    <t>Rudra Thomas</t>
  </si>
  <si>
    <t>Nikita Kapoor</t>
  </si>
  <si>
    <t>Heena Sinha</t>
  </si>
  <si>
    <t>Sonal Mehta</t>
  </si>
  <si>
    <t>Saurabh Singh</t>
  </si>
  <si>
    <t>Ritika Bhatt</t>
  </si>
  <si>
    <t>Neil Choudhary</t>
  </si>
  <si>
    <t>Arnav Pawar</t>
  </si>
  <si>
    <t>Riya Patel</t>
  </si>
  <si>
    <t>Komal Chauhan</t>
  </si>
  <si>
    <t>Chirag Chauhan</t>
  </si>
  <si>
    <t>Parth Parmar</t>
  </si>
  <si>
    <t>Akash Yadav</t>
  </si>
  <si>
    <t>Ishita Bansal</t>
  </si>
  <si>
    <t>Bhavya Saxena</t>
  </si>
  <si>
    <t>Harsh Bhatt</t>
  </si>
  <si>
    <t>Pranav Kapoor</t>
  </si>
  <si>
    <t>Nandini Fernandes</t>
  </si>
  <si>
    <t>Saurabh Verma</t>
  </si>
  <si>
    <t>Ishaan Verma</t>
  </si>
  <si>
    <t>Diya Banerjee</t>
  </si>
  <si>
    <t>Charu Kapoor</t>
  </si>
  <si>
    <t>Harsh Shah</t>
  </si>
  <si>
    <t>Ayush Shetty</t>
  </si>
  <si>
    <t>Muskan Banerjee</t>
  </si>
  <si>
    <t>Sumit Menon</t>
  </si>
  <si>
    <t>Palak Solanki</t>
  </si>
  <si>
    <t>Rishi D'Souza</t>
  </si>
  <si>
    <t>Yash Chauhan</t>
  </si>
  <si>
    <t>Nandini D'Souza</t>
  </si>
  <si>
    <t>Aniket Parmar</t>
  </si>
  <si>
    <t>Priya Pawar</t>
  </si>
  <si>
    <t>Chirag Naidu</t>
  </si>
  <si>
    <t>Adarsh Menon</t>
  </si>
  <si>
    <t>Sonal Naidu</t>
  </si>
  <si>
    <t>Tanmay Bhatt</t>
  </si>
  <si>
    <t>Varun Solanki</t>
  </si>
  <si>
    <t>Vaishnavi Banerjee</t>
  </si>
  <si>
    <t>Ayaan Verma</t>
  </si>
  <si>
    <t>Anjali Singh</t>
  </si>
  <si>
    <t>Simran Goel</t>
  </si>
  <si>
    <t>Palak Desai</t>
  </si>
  <si>
    <t>Jyoti Gupta</t>
  </si>
  <si>
    <t>Pooja Menon</t>
  </si>
  <si>
    <t>Tanvi Kapoor</t>
  </si>
  <si>
    <t>Aniket Mishra</t>
  </si>
  <si>
    <t>Vivek Kaur</t>
  </si>
  <si>
    <t>Kavya Chauhan</t>
  </si>
  <si>
    <t>Adarsh Tiwari</t>
  </si>
  <si>
    <t>Vaishnavi Verma</t>
  </si>
  <si>
    <t>Radhika Sinha</t>
  </si>
  <si>
    <t>Nikhil Solanki</t>
  </si>
  <si>
    <t>Aman Kapoor</t>
  </si>
  <si>
    <t>Nikhil Fernandes</t>
  </si>
  <si>
    <t>Neha Kaur</t>
  </si>
  <si>
    <t>Ishita Reddy</t>
  </si>
  <si>
    <t>Varun Malhotra</t>
  </si>
  <si>
    <t>Kabir Solanki</t>
  </si>
  <si>
    <t>Abhishek Verma</t>
  </si>
  <si>
    <t>Priti Iyer</t>
  </si>
  <si>
    <t>Palak Saxena</t>
  </si>
  <si>
    <t>Monika Bansal</t>
  </si>
  <si>
    <t>Meera Solanki</t>
  </si>
  <si>
    <t>Shreya Yadav</t>
  </si>
  <si>
    <t>Tushar Pawar</t>
  </si>
  <si>
    <t>Mayank Desai</t>
  </si>
  <si>
    <t>Arjun Gill</t>
  </si>
  <si>
    <t>Akash Reddy</t>
  </si>
  <si>
    <t>Sneha Bhat</t>
  </si>
  <si>
    <t>Atharv Gill</t>
  </si>
  <si>
    <t>Ishaan Malhotra</t>
  </si>
  <si>
    <t>Rohan Joshi</t>
  </si>
  <si>
    <t>Mansi Fernandes</t>
  </si>
  <si>
    <t>Palak Ghosh</t>
  </si>
  <si>
    <t>Mayank Joshi</t>
  </si>
  <si>
    <t>Aman Chatterjee</t>
  </si>
  <si>
    <t>Aryan Sinha</t>
  </si>
  <si>
    <t>Harshita Fernandes</t>
  </si>
  <si>
    <t>Ayaan Joshi</t>
  </si>
  <si>
    <t>Divya Sharma</t>
  </si>
  <si>
    <t>Ayush Parmar</t>
  </si>
  <si>
    <t>Aryan Reddy</t>
  </si>
  <si>
    <t>Arnav Pandey</t>
  </si>
  <si>
    <t>Sanjana Naidu</t>
  </si>
  <si>
    <t>Nandini Sharma</t>
  </si>
  <si>
    <t>Gaurav Solanki</t>
  </si>
  <si>
    <t>Tanvi Trivedi</t>
  </si>
  <si>
    <t>Abhishek Rao</t>
  </si>
  <si>
    <t>Adarsh Solanki</t>
  </si>
  <si>
    <t>Sahil Bose</t>
  </si>
  <si>
    <t>Priti Ghosh</t>
  </si>
  <si>
    <t>Sakshi Trivedi</t>
  </si>
  <si>
    <t>Vaishnavi Pawar</t>
  </si>
  <si>
    <t>Tanmay Bansal</t>
  </si>
  <si>
    <t>Kabir Pandey</t>
  </si>
  <si>
    <t>Adarsh Desai</t>
  </si>
  <si>
    <t>Krish Trivedi</t>
  </si>
  <si>
    <t>Kritika Mishra</t>
  </si>
  <si>
    <t>Priya Malhotra</t>
  </si>
  <si>
    <t>Nikhil Menon</t>
  </si>
  <si>
    <t>Jyoti D'Souza</t>
  </si>
  <si>
    <t>Rahul Singh</t>
  </si>
  <si>
    <t>Chirag Gill</t>
  </si>
  <si>
    <t>Simran Parmar</t>
  </si>
  <si>
    <t>Kavya Tripathi</t>
  </si>
  <si>
    <t>Rohit Bhat</t>
  </si>
  <si>
    <t>Aryan Menon</t>
  </si>
  <si>
    <t>Heena Goel</t>
  </si>
  <si>
    <t>Anjali Bhatt</t>
  </si>
  <si>
    <t>Ayush Trivedi</t>
  </si>
  <si>
    <t>Ritika Pawar</t>
  </si>
  <si>
    <t>Krish Kapoor</t>
  </si>
  <si>
    <t>Pooja Naidu</t>
  </si>
  <si>
    <t>Saurabh Pillai</t>
  </si>
  <si>
    <t>Nisha Yadav</t>
  </si>
  <si>
    <t>Tanya Patel</t>
  </si>
  <si>
    <t>Kavya Thomas</t>
  </si>
  <si>
    <t>Om Tripathi</t>
  </si>
  <si>
    <t>Ishaan Reddy</t>
  </si>
  <si>
    <t>Anjali Tripathi</t>
  </si>
  <si>
    <t>Simran Shetty</t>
  </si>
  <si>
    <t>Pooja Arora</t>
  </si>
  <si>
    <t>Krish Sinha</t>
  </si>
  <si>
    <t>Rudra Agarwal</t>
  </si>
  <si>
    <t>Rupal Mehta</t>
  </si>
  <si>
    <t>Kritika Pandey</t>
  </si>
  <si>
    <t>Harsh Choudhary</t>
  </si>
  <si>
    <t>Priti Pillai</t>
  </si>
  <si>
    <t>Charu Pawar</t>
  </si>
  <si>
    <t>Neha Choudhary</t>
  </si>
  <si>
    <t>Siddharth Kaur</t>
  </si>
  <si>
    <t>Tanya Nair</t>
  </si>
  <si>
    <t>Rishi Ghosh</t>
  </si>
  <si>
    <t>Muskan Saxena</t>
  </si>
  <si>
    <t>Pooja Kulkarni</t>
  </si>
  <si>
    <t>Rohit Tripathi</t>
  </si>
  <si>
    <t>Aarya Rao</t>
  </si>
  <si>
    <t>Manav Bhatt</t>
  </si>
  <si>
    <t>Simran Kapoor</t>
  </si>
  <si>
    <t>Heena Shetty</t>
  </si>
  <si>
    <t>Rohit Malhotra</t>
  </si>
  <si>
    <t>Rishi Joshi</t>
  </si>
  <si>
    <t>Dev Kapoor</t>
  </si>
  <si>
    <t>Atharv Sharma</t>
  </si>
  <si>
    <t>Riya Solanki</t>
  </si>
  <si>
    <t>Mohit Pawar</t>
  </si>
  <si>
    <t>Heena Joshi</t>
  </si>
  <si>
    <t>Heena Bansal</t>
  </si>
  <si>
    <t>Charu Yadav</t>
  </si>
  <si>
    <t>Nisha Mishra</t>
  </si>
  <si>
    <t>Siddharth Singh</t>
  </si>
  <si>
    <t>Neha Arora</t>
  </si>
  <si>
    <t>Riya Bhatt</t>
  </si>
  <si>
    <t>Anjali Patel</t>
  </si>
  <si>
    <t>Aarav Shah</t>
  </si>
  <si>
    <t>Ritika Kapoor</t>
  </si>
  <si>
    <t>Kavya D'Souza</t>
  </si>
  <si>
    <t>Riya Fernandes</t>
  </si>
  <si>
    <t>Shreya Nair</t>
  </si>
  <si>
    <t>Niyati Fernandes</t>
  </si>
  <si>
    <t>Aarav Nair</t>
  </si>
  <si>
    <t>Aman Banerjee</t>
  </si>
  <si>
    <t>Atharv Goel</t>
  </si>
  <si>
    <t>Sumit Patel</t>
  </si>
  <si>
    <t>Prachi Bhatt</t>
  </si>
  <si>
    <t>Anjali Nair</t>
  </si>
  <si>
    <t>Radhika Malhotra</t>
  </si>
  <si>
    <t>Neha Solanki</t>
  </si>
  <si>
    <t>Ishita Kaur</t>
  </si>
  <si>
    <t>Harsh Bose</t>
  </si>
  <si>
    <t>Vivaan Rao</t>
  </si>
  <si>
    <t>Laksh Fernandes</t>
  </si>
  <si>
    <t>Anjali Sharma</t>
  </si>
  <si>
    <t>Rishi Solanki</t>
  </si>
  <si>
    <t>Vivaan Mehta</t>
  </si>
  <si>
    <t>Ishaan Thomas</t>
  </si>
  <si>
    <t>Rahul Solanki</t>
  </si>
  <si>
    <t>Kabir Mishra</t>
  </si>
  <si>
    <t>Aarya Ghosh</t>
  </si>
  <si>
    <t>Tanya Kaur</t>
  </si>
  <si>
    <t>Ananya Kaur</t>
  </si>
  <si>
    <t>Laksh Chatterjee</t>
  </si>
  <si>
    <t>Harshita Pawar</t>
  </si>
  <si>
    <t>Pooja Parmar</t>
  </si>
  <si>
    <t>Pranav Nair</t>
  </si>
  <si>
    <t>Charu Bhatt</t>
  </si>
  <si>
    <t>Nisha Iyer</t>
  </si>
  <si>
    <t>Atharv Malhotra</t>
  </si>
  <si>
    <t>Komal Arora</t>
  </si>
  <si>
    <t>Priti Rao</t>
  </si>
  <si>
    <t>Radhika Kapoor</t>
  </si>
  <si>
    <t>Priti D'Souza</t>
  </si>
  <si>
    <t>Dhruv Pawar</t>
  </si>
  <si>
    <t>Nandini Tripathi</t>
  </si>
  <si>
    <t>Arnav Bhat</t>
  </si>
  <si>
    <t>Nikita Shetty</t>
  </si>
  <si>
    <t>Simran Singh</t>
  </si>
  <si>
    <t>Adarsh Patel</t>
  </si>
  <si>
    <t>Payal Kaur</t>
  </si>
  <si>
    <t>Dhruv Solanki</t>
  </si>
  <si>
    <t>Rohit Rao</t>
  </si>
  <si>
    <t>Aniket Goel</t>
  </si>
  <si>
    <t>Aarav Kaur</t>
  </si>
  <si>
    <t>Rohit Das</t>
  </si>
  <si>
    <t>Monika Gill</t>
  </si>
  <si>
    <t>Tanya Sharma</t>
  </si>
  <si>
    <t>Isha Tiwari</t>
  </si>
  <si>
    <t>Sahil Bhatt</t>
  </si>
  <si>
    <t>Atharv Pandey</t>
  </si>
  <si>
    <t>Swati Nair</t>
  </si>
  <si>
    <t>Sneha Kapoor</t>
  </si>
  <si>
    <t>Rahul Gill</t>
  </si>
  <si>
    <t>Aishwarya Iyer</t>
  </si>
  <si>
    <t>Bhavya Tiwari</t>
  </si>
  <si>
    <t>Shruti Ghosh</t>
  </si>
  <si>
    <t>Arnav Rao</t>
  </si>
  <si>
    <t>Komal Kaur</t>
  </si>
  <si>
    <t>Saniya Bhat</t>
  </si>
  <si>
    <t>Mansi Bhat</t>
  </si>
  <si>
    <t>Ayush Desai</t>
  </si>
  <si>
    <t>Sakshi Chauhan</t>
  </si>
  <si>
    <t>Sakshi Singh</t>
  </si>
  <si>
    <t>Siddharth Mehta</t>
  </si>
  <si>
    <t>Ishaan Tiwari</t>
  </si>
  <si>
    <t>Sahil Thomas</t>
  </si>
  <si>
    <t>Aarav Solanki</t>
  </si>
  <si>
    <t>Dhruv Mehta</t>
  </si>
  <si>
    <t>Harshita Shah</t>
  </si>
  <si>
    <t>Anjali Iyer</t>
  </si>
  <si>
    <t>Kartik Bhat</t>
  </si>
  <si>
    <t>Gaurav Nair</t>
  </si>
  <si>
    <t>Sonal Patel</t>
  </si>
  <si>
    <t>Ayush Bose</t>
  </si>
  <si>
    <t>Sneha Thomas</t>
  </si>
  <si>
    <t>Prachi Reddy</t>
  </si>
  <si>
    <t>Saniya Chauhan</t>
  </si>
  <si>
    <t>Parth Bansal</t>
  </si>
  <si>
    <t>Vihaan Joshi</t>
  </si>
  <si>
    <t>Radhika Jain</t>
  </si>
  <si>
    <t>Palak D'Souza</t>
  </si>
  <si>
    <t>Saniya Banerjee</t>
  </si>
  <si>
    <t>Shivam Bhat</t>
  </si>
  <si>
    <t>Priti Banerjee</t>
  </si>
  <si>
    <t>Sumit Nair</t>
  </si>
  <si>
    <t>Aditya Pandey</t>
  </si>
  <si>
    <t>Rohit Gupta</t>
  </si>
  <si>
    <t>Atharv Parmar</t>
  </si>
  <si>
    <t>Aditi Das</t>
  </si>
  <si>
    <t>Muskan Thomas</t>
  </si>
  <si>
    <t>Arjun Bose</t>
  </si>
  <si>
    <t>Aishwarya Thomas</t>
  </si>
  <si>
    <t>Saniya Rao</t>
  </si>
  <si>
    <t>Sumit Mehta</t>
  </si>
  <si>
    <t>Pooja Goel</t>
  </si>
  <si>
    <t>Rishi Rao</t>
  </si>
  <si>
    <t>Sakshi Rao</t>
  </si>
  <si>
    <t>Priya Verma</t>
  </si>
  <si>
    <t>Aniket Sinha</t>
  </si>
  <si>
    <t>Diya Yadav</t>
  </si>
  <si>
    <t>Tanvi Thomas</t>
  </si>
  <si>
    <t>Tanvi Tripathi</t>
  </si>
  <si>
    <t>Ayush Fernandes</t>
  </si>
  <si>
    <t>Mayank Pandey</t>
  </si>
  <si>
    <t>Tanvi Bose</t>
  </si>
  <si>
    <t>Ishita Bhat</t>
  </si>
  <si>
    <t>Krish Solanki</t>
  </si>
  <si>
    <t>Nikita Rao</t>
  </si>
  <si>
    <t>Saurabh Gupta</t>
  </si>
  <si>
    <t>Priti Chauhan</t>
  </si>
  <si>
    <t>Charu Gill</t>
  </si>
  <si>
    <t>Riya Das</t>
  </si>
  <si>
    <t>Saniya Pandey</t>
  </si>
  <si>
    <t>Harshita Kapoor</t>
  </si>
  <si>
    <t>Aditya Pillai</t>
  </si>
  <si>
    <t>Arnav Trivedi</t>
  </si>
  <si>
    <t>Heena Bhat</t>
  </si>
  <si>
    <t>Tushar Thomas</t>
  </si>
  <si>
    <t>Ishita Desai</t>
  </si>
  <si>
    <t>Diya Bhat</t>
  </si>
  <si>
    <t>Meera Pillai</t>
  </si>
  <si>
    <t>Laksh Malhotra</t>
  </si>
  <si>
    <t>Ritika Chauhan</t>
  </si>
  <si>
    <t>Aryan Gill</t>
  </si>
  <si>
    <t>Mansi Menon</t>
  </si>
  <si>
    <t>Diya Bhatt</t>
  </si>
  <si>
    <t>Akash Goel</t>
  </si>
  <si>
    <t>Dhruv Mishra</t>
  </si>
  <si>
    <t>Monika Joshi</t>
  </si>
  <si>
    <t>Priya Pillai</t>
  </si>
  <si>
    <t>Sumit Tiwari</t>
  </si>
  <si>
    <t>Rahul Tripathi</t>
  </si>
  <si>
    <t>Rahul Shah</t>
  </si>
  <si>
    <t>Rishi Mehta</t>
  </si>
  <si>
    <t>Aditya Saxena</t>
  </si>
  <si>
    <t>Payal Ghosh</t>
  </si>
  <si>
    <t>Abhishek Joshi</t>
  </si>
  <si>
    <t>Radhika Agarwal</t>
  </si>
  <si>
    <t>Varun Shetty</t>
  </si>
  <si>
    <t>Kunal D'Souza</t>
  </si>
  <si>
    <t>Ishita Kapoor</t>
  </si>
  <si>
    <t>Pranav Chauhan</t>
  </si>
  <si>
    <t>Mohit Goel</t>
  </si>
  <si>
    <t>Gaurav Ghosh</t>
  </si>
  <si>
    <t>Rohit Banerjee</t>
  </si>
  <si>
    <t>Khushi Nair</t>
  </si>
  <si>
    <t>Chirag Trivedi</t>
  </si>
  <si>
    <t>Muskan Singh</t>
  </si>
  <si>
    <t>Prachi Kapoor</t>
  </si>
  <si>
    <t>Komal Nair</t>
  </si>
  <si>
    <t>Simran Gupta</t>
  </si>
  <si>
    <t>Ananya Fernandes</t>
  </si>
  <si>
    <t>Atharv Menon</t>
  </si>
  <si>
    <t>Tanvi Singh</t>
  </si>
  <si>
    <t>Pranav Bansal</t>
  </si>
  <si>
    <t>Abhishek Kapoor</t>
  </si>
  <si>
    <t>Rahul Saxena</t>
  </si>
  <si>
    <t>Aniket Fernandes</t>
  </si>
  <si>
    <t>Aryan Patel</t>
  </si>
  <si>
    <t>Tanya Shetty</t>
  </si>
  <si>
    <t>Palak Jain</t>
  </si>
  <si>
    <t>Rudra Pandey</t>
  </si>
  <si>
    <t>Palak Agarwal</t>
  </si>
  <si>
    <t>Dhruv Banerjee</t>
  </si>
  <si>
    <t>Priya Bansal</t>
  </si>
  <si>
    <t>Arnav Tripathi</t>
  </si>
  <si>
    <t>Neil D'Souza</t>
  </si>
  <si>
    <t>Dhruv Sinha</t>
  </si>
  <si>
    <t>Aarav Mishra</t>
  </si>
  <si>
    <t>Akash Thomas</t>
  </si>
  <si>
    <t>Swati Sharma</t>
  </si>
  <si>
    <t>Simran Arora</t>
  </si>
  <si>
    <t>Om Mishra</t>
  </si>
  <si>
    <t>Muskan Sharma</t>
  </si>
  <si>
    <t>Rohit Menon</t>
  </si>
  <si>
    <t>Akash Verma</t>
  </si>
  <si>
    <t>Harshita Choudhary</t>
  </si>
  <si>
    <t>Ananya Saxena</t>
  </si>
  <si>
    <t>Rahul Reddy</t>
  </si>
  <si>
    <t>Jyoti Agarwal</t>
  </si>
  <si>
    <t>Akash Gill</t>
  </si>
  <si>
    <t>Parth Mehta</t>
  </si>
  <si>
    <t>Aditya Nair</t>
  </si>
  <si>
    <t>Yash Sharma</t>
  </si>
  <si>
    <t>Bhavya Kulkarni</t>
  </si>
  <si>
    <t>Diya Shetty</t>
  </si>
  <si>
    <t>Shruti Bose</t>
  </si>
  <si>
    <t>Vivek Das</t>
  </si>
  <si>
    <t>Vihaan Sharma</t>
  </si>
  <si>
    <t>Akash Fernandes</t>
  </si>
  <si>
    <t>Mayank Iyer</t>
  </si>
  <si>
    <t>Tushar Choudhary</t>
  </si>
  <si>
    <t>Harsh Trivedi</t>
  </si>
  <si>
    <t>Siddharth Arora</t>
  </si>
  <si>
    <t>Meera Menon</t>
  </si>
  <si>
    <t>Akash Malhotra</t>
  </si>
  <si>
    <t>Rupal Gill</t>
  </si>
  <si>
    <t>Sneha Bhatt</t>
  </si>
  <si>
    <t>Pranav Gill</t>
  </si>
  <si>
    <t>Laksh Singh</t>
  </si>
  <si>
    <t>Kabir Gupta</t>
  </si>
  <si>
    <t>Trisha Tiwari</t>
  </si>
  <si>
    <t>Radhika Chatterjee</t>
  </si>
  <si>
    <t>Muskan Shetty</t>
  </si>
  <si>
    <t>Pooja Jain</t>
  </si>
  <si>
    <t>Nisha Shah</t>
  </si>
  <si>
    <t>Rudra Kaur</t>
  </si>
  <si>
    <t>Nikita Iyer</t>
  </si>
  <si>
    <t>Krish Sharma</t>
  </si>
  <si>
    <t>Nandini Arora</t>
  </si>
  <si>
    <t>Vihaan Mehta</t>
  </si>
  <si>
    <t>Ritika Reddy</t>
  </si>
  <si>
    <t>Saniya Arora</t>
  </si>
  <si>
    <t>Riya Jain</t>
  </si>
  <si>
    <t>Parth Singh</t>
  </si>
  <si>
    <t>Harsh Nair</t>
  </si>
  <si>
    <t>Nisha Solanki</t>
  </si>
  <si>
    <t>Dev Choudhary</t>
  </si>
  <si>
    <t>Rohan Malhotra</t>
  </si>
  <si>
    <t>Dhruv Agarwal</t>
  </si>
  <si>
    <t>Ayush Sinha</t>
  </si>
  <si>
    <t>Tanmay Menon</t>
  </si>
  <si>
    <t>Aarav Menon</t>
  </si>
  <si>
    <t>Vihaan Patel</t>
  </si>
  <si>
    <t>Aditi Patel</t>
  </si>
  <si>
    <t>Heena Menon</t>
  </si>
  <si>
    <t>Ayaan Tripathi</t>
  </si>
  <si>
    <t>Riya Goel</t>
  </si>
  <si>
    <t>Prachi Nair</t>
  </si>
  <si>
    <t>Tanmay Bhat</t>
  </si>
  <si>
    <t>Niyati Trivedi</t>
  </si>
  <si>
    <t>Saniya Das</t>
  </si>
  <si>
    <t>Vihaan Jain</t>
  </si>
  <si>
    <t>Pooja Ghosh</t>
  </si>
  <si>
    <t>Kritika Tiwari</t>
  </si>
  <si>
    <t>Neil Desai</t>
  </si>
  <si>
    <t>Dhruv Bose</t>
  </si>
  <si>
    <t>Laksh Solanki</t>
  </si>
  <si>
    <t>Deepak Bansal</t>
  </si>
  <si>
    <t>Jyoti Malhotra</t>
  </si>
  <si>
    <t>Kartik Bhatt</t>
  </si>
  <si>
    <t>Pranav Desai</t>
  </si>
  <si>
    <t>Swati Pandey</t>
  </si>
  <si>
    <t>Nikhil Mishra</t>
  </si>
  <si>
    <t>Aman Rao</t>
  </si>
  <si>
    <t>Mohit Pillai</t>
  </si>
  <si>
    <t>Priya Chatterjee</t>
  </si>
  <si>
    <t>Shreya Rao</t>
  </si>
  <si>
    <t>Saniya Chatterjee</t>
  </si>
  <si>
    <t>Jyoti Pandey</t>
  </si>
  <si>
    <t>Ishaan Naidu</t>
  </si>
  <si>
    <t>Kabir Gill</t>
  </si>
  <si>
    <t>Payal Rao</t>
  </si>
  <si>
    <t>Tanya Gill</t>
  </si>
  <si>
    <t>Khushi Goel</t>
  </si>
  <si>
    <t>Rahul Verma</t>
  </si>
  <si>
    <t>Siddharth Malhotra</t>
  </si>
  <si>
    <t>Arnav Malhotra</t>
  </si>
  <si>
    <t>Heena Pawar</t>
  </si>
  <si>
    <t>Khushi Solanki</t>
  </si>
  <si>
    <t>Vaishnavi Arora</t>
  </si>
  <si>
    <t>Aniket Desai</t>
  </si>
  <si>
    <t>Manav Parmar</t>
  </si>
  <si>
    <t>Aarav Rao</t>
  </si>
  <si>
    <t>Tushar Bhat</t>
  </si>
  <si>
    <t>Nandini Chauhan</t>
  </si>
  <si>
    <t>Komal Bhat</t>
  </si>
  <si>
    <t>Ishaan Desai</t>
  </si>
  <si>
    <t>Payal Parmar</t>
  </si>
  <si>
    <t>Khushi Desai</t>
  </si>
  <si>
    <t>Aditi Pandey</t>
  </si>
  <si>
    <t>Ritika Iyer</t>
  </si>
  <si>
    <t>Trisha Gill</t>
  </si>
  <si>
    <t>Shruti Pillai</t>
  </si>
  <si>
    <t>Trisha Iyer</t>
  </si>
  <si>
    <t>Rupal Sharma</t>
  </si>
  <si>
    <t>Aarya Agarwal</t>
  </si>
  <si>
    <t>Ritika Das</t>
  </si>
  <si>
    <t>Akash Bose</t>
  </si>
  <si>
    <t>Trisha Das</t>
  </si>
  <si>
    <t>Kabir Sinha</t>
  </si>
  <si>
    <t>Bhavya Das</t>
  </si>
  <si>
    <t>Meera Rao</t>
  </si>
  <si>
    <t>Kritika Agarwal</t>
  </si>
  <si>
    <t>Ananya Sinha</t>
  </si>
  <si>
    <t>Sumit Bansal</t>
  </si>
  <si>
    <t>Kartik Arora</t>
  </si>
  <si>
    <t>Meera Chauhan</t>
  </si>
  <si>
    <t>Sanjana Parmar</t>
  </si>
  <si>
    <t>Vivaan Choudhary</t>
  </si>
  <si>
    <t>Ritika Jain</t>
  </si>
  <si>
    <t>Neha Das</t>
  </si>
  <si>
    <t>Chirag Iyer</t>
  </si>
  <si>
    <t>Saniya Sharma</t>
  </si>
  <si>
    <t>Saurabh Trivedi</t>
  </si>
  <si>
    <t>Charu Parmar</t>
  </si>
  <si>
    <t>Nikita Singh</t>
  </si>
  <si>
    <t>Kartik Chatterjee</t>
  </si>
  <si>
    <t>Diya Gupta</t>
  </si>
  <si>
    <t>Sonal Pandey</t>
  </si>
  <si>
    <t>Shreya Tripathi</t>
  </si>
  <si>
    <t>Tanvi Shetty</t>
  </si>
  <si>
    <t>Palak Tiwari</t>
  </si>
  <si>
    <t>Sneha Pawar</t>
  </si>
  <si>
    <t>Ishaan Kapoor</t>
  </si>
  <si>
    <t>Nandini Iyer</t>
  </si>
  <si>
    <t>Kabir Patel</t>
  </si>
  <si>
    <t>Tanya Bose</t>
  </si>
  <si>
    <t>Ayush Jain</t>
  </si>
  <si>
    <t>Aditi Goel</t>
  </si>
  <si>
    <t>Vivaan Agarwal</t>
  </si>
  <si>
    <t>Payal Fernandes</t>
  </si>
  <si>
    <t>Sakshi Joshi</t>
  </si>
  <si>
    <t>Dev Bhatt</t>
  </si>
  <si>
    <t>Monika Thomas</t>
  </si>
  <si>
    <t>Aarya Saxena</t>
  </si>
  <si>
    <t>Om Singh</t>
  </si>
  <si>
    <t>Khushi Tiwari</t>
  </si>
  <si>
    <t>Kabir Shah</t>
  </si>
  <si>
    <t>Ishita Tiwari</t>
  </si>
  <si>
    <t>Sahil Agarwal</t>
  </si>
  <si>
    <t>Arnav Shah</t>
  </si>
  <si>
    <t>Isha Solanki</t>
  </si>
  <si>
    <t>Divya Bansal</t>
  </si>
  <si>
    <t>Ishita Pillai</t>
  </si>
  <si>
    <t>Abhishek Trivedi</t>
  </si>
  <si>
    <t>Tanya Kapoor</t>
  </si>
  <si>
    <t>Ishita Solanki</t>
  </si>
  <si>
    <t>Charu Solanki</t>
  </si>
  <si>
    <t>Kunal Nair</t>
  </si>
  <si>
    <t>Arjun Fernandes</t>
  </si>
  <si>
    <t>Pooja Iyer</t>
  </si>
  <si>
    <t>Neha Thomas</t>
  </si>
  <si>
    <t>Aarav Parmar</t>
  </si>
  <si>
    <t>Sanjana Mehta</t>
  </si>
  <si>
    <t>Om Shetty</t>
  </si>
  <si>
    <t>Yash Solanki</t>
  </si>
  <si>
    <t>Mansi Saxena</t>
  </si>
  <si>
    <t>Nikita Saxena</t>
  </si>
  <si>
    <t>Sonal Trivedi</t>
  </si>
  <si>
    <t>Laksh Desai</t>
  </si>
  <si>
    <t>Harshita Kulkarni</t>
  </si>
  <si>
    <t>Ayaan Ghosh</t>
  </si>
  <si>
    <t>Rahul Thomas</t>
  </si>
  <si>
    <t>Komal Fernandes</t>
  </si>
  <si>
    <t>Mohit Bansal</t>
  </si>
  <si>
    <t>Mansi Pawar</t>
  </si>
  <si>
    <t>Aryan Parmar</t>
  </si>
  <si>
    <t>Radhika Reddy</t>
  </si>
  <si>
    <t>Nisha Ghosh</t>
  </si>
  <si>
    <t>Arjun Pillai</t>
  </si>
  <si>
    <t>Kabir Tripathi</t>
  </si>
  <si>
    <t>Nandini Sinha</t>
  </si>
  <si>
    <t>Divya Naidu</t>
  </si>
  <si>
    <t>Adarsh Iyer</t>
  </si>
  <si>
    <t>Aishwarya Nair</t>
  </si>
  <si>
    <t>Rohan Menon</t>
  </si>
  <si>
    <t>Kartik Rao</t>
  </si>
  <si>
    <t>Rahul Chauhan</t>
  </si>
  <si>
    <t>Shruti Pawar</t>
  </si>
  <si>
    <t>Mayank Das</t>
  </si>
  <si>
    <t>Manav Tiwari</t>
  </si>
  <si>
    <t>Vihaan Gupta</t>
  </si>
  <si>
    <t>Sanjana Bansal</t>
  </si>
  <si>
    <t>Nikita Chatterjee</t>
  </si>
  <si>
    <t>Saurabh Desai</t>
  </si>
  <si>
    <t>Siddharth Yadav</t>
  </si>
  <si>
    <t>Krish Desai</t>
  </si>
  <si>
    <t>Shruti Saxena</t>
  </si>
  <si>
    <t>Aarav Pillai</t>
  </si>
  <si>
    <t>Mohit Desai</t>
  </si>
  <si>
    <t>Dhruv Malhotra</t>
  </si>
  <si>
    <t>Pooja Chauhan</t>
  </si>
  <si>
    <t>Aishwarya Agarwal</t>
  </si>
  <si>
    <t>Atharv Bansal</t>
  </si>
  <si>
    <t>Arnav Bhatt</t>
  </si>
  <si>
    <t>Shruti Mehta</t>
  </si>
  <si>
    <t>Akash Tiwari</t>
  </si>
  <si>
    <t>Nikita Mehta</t>
  </si>
  <si>
    <t>Aditya Banerjee</t>
  </si>
  <si>
    <t>Khushi Tripathi</t>
  </si>
  <si>
    <t>Nikita Banerjee</t>
  </si>
  <si>
    <t>Kritika Goel</t>
  </si>
  <si>
    <t>Niyati Malhotra</t>
  </si>
  <si>
    <t>Swati Tripathi</t>
  </si>
  <si>
    <t>S001</t>
  </si>
  <si>
    <t>Aarav Patel</t>
  </si>
  <si>
    <t>S002</t>
  </si>
  <si>
    <t>Priya Shah</t>
  </si>
  <si>
    <t>S003</t>
  </si>
  <si>
    <t>S004</t>
  </si>
  <si>
    <t>Sneha Mehta</t>
  </si>
  <si>
    <t>S005</t>
  </si>
  <si>
    <t>Vivek Gupta</t>
  </si>
  <si>
    <t>S006</t>
  </si>
  <si>
    <t>Ananya Joshi</t>
  </si>
  <si>
    <t>S007</t>
  </si>
  <si>
    <t>Rohit Desai</t>
  </si>
  <si>
    <t>S008</t>
  </si>
  <si>
    <t>Kavya Iyer</t>
  </si>
  <si>
    <t>S009</t>
  </si>
  <si>
    <t>Aditya Singh</t>
  </si>
  <si>
    <t>S010</t>
  </si>
  <si>
    <t>Neha Verma</t>
  </si>
  <si>
    <t>Team</t>
  </si>
  <si>
    <t>Alpha</t>
  </si>
  <si>
    <t>Beta</t>
  </si>
  <si>
    <t>Gamma</t>
  </si>
  <si>
    <t>Delta</t>
  </si>
  <si>
    <t>Omega</t>
  </si>
  <si>
    <t xml:space="preserve">Gender </t>
  </si>
  <si>
    <t>Quantity</t>
  </si>
  <si>
    <t>Unit_Price</t>
  </si>
  <si>
    <t>Cost_Price</t>
  </si>
  <si>
    <t>Product_Category</t>
  </si>
  <si>
    <t>Discount%</t>
  </si>
  <si>
    <t>Revenue</t>
  </si>
  <si>
    <t>Total_Cost</t>
  </si>
  <si>
    <t>Profit</t>
  </si>
  <si>
    <t>Season</t>
  </si>
  <si>
    <t>Back to School</t>
  </si>
  <si>
    <t>Regular</t>
  </si>
  <si>
    <t>Festival</t>
  </si>
  <si>
    <t>Key</t>
  </si>
  <si>
    <t>Min_Discount</t>
  </si>
  <si>
    <t>Max_Discount</t>
  </si>
  <si>
    <t>Regular-Electronics</t>
  </si>
  <si>
    <t>Regular-Furniture</t>
  </si>
  <si>
    <t>Regular-Office Supplies</t>
  </si>
  <si>
    <t>Festival-Electronics</t>
  </si>
  <si>
    <t>Festival-Furniture</t>
  </si>
  <si>
    <t>Festival-Office Supplies</t>
  </si>
  <si>
    <t>Back to School-Electronics</t>
  </si>
  <si>
    <t>Back to School-Furniture</t>
  </si>
  <si>
    <t>Back to School-Office Supplies</t>
  </si>
  <si>
    <t>ORD00001</t>
  </si>
  <si>
    <t>C0135</t>
  </si>
  <si>
    <t>In-Store</t>
  </si>
  <si>
    <t>ORD00002</t>
  </si>
  <si>
    <t>C0182</t>
  </si>
  <si>
    <t>Corporate</t>
  </si>
  <si>
    <t>ORD00003</t>
  </si>
  <si>
    <t>C0694</t>
  </si>
  <si>
    <t>ORD00004</t>
  </si>
  <si>
    <t>C0733</t>
  </si>
  <si>
    <t>ORD00005</t>
  </si>
  <si>
    <t>C0526</t>
  </si>
  <si>
    <t>ORD00006</t>
  </si>
  <si>
    <t>C0770</t>
  </si>
  <si>
    <t>ORD00007</t>
  </si>
  <si>
    <t>C0856</t>
  </si>
  <si>
    <t>ORD00008</t>
  </si>
  <si>
    <t>C0272</t>
  </si>
  <si>
    <t>ORD00009</t>
  </si>
  <si>
    <t>C0040</t>
  </si>
  <si>
    <t>ORD00010</t>
  </si>
  <si>
    <t>C0640</t>
  </si>
  <si>
    <t>ORD00011</t>
  </si>
  <si>
    <t>ORD00012</t>
  </si>
  <si>
    <t>ORD00013</t>
  </si>
  <si>
    <t>C0171</t>
  </si>
  <si>
    <t>ORD00014</t>
  </si>
  <si>
    <t>C0187</t>
  </si>
  <si>
    <t>ORD00015</t>
  </si>
  <si>
    <t>C0546</t>
  </si>
  <si>
    <t>ORD00016</t>
  </si>
  <si>
    <t>C0360</t>
  </si>
  <si>
    <t>ORD00017</t>
  </si>
  <si>
    <t>C0592</t>
  </si>
  <si>
    <t>ORD00018</t>
  </si>
  <si>
    <t>C0092</t>
  </si>
  <si>
    <t>ORD00019</t>
  </si>
  <si>
    <t>C0426</t>
  </si>
  <si>
    <t>ORD00020</t>
  </si>
  <si>
    <t>C0308</t>
  </si>
  <si>
    <t>ORD00021</t>
  </si>
  <si>
    <t>C0344</t>
  </si>
  <si>
    <t>ORD00022</t>
  </si>
  <si>
    <t>C0035</t>
  </si>
  <si>
    <t>ORD00023</t>
  </si>
  <si>
    <t>C0806</t>
  </si>
  <si>
    <t>ORD00024</t>
  </si>
  <si>
    <t>C0570</t>
  </si>
  <si>
    <t>ORD00025</t>
  </si>
  <si>
    <t>C0802</t>
  </si>
  <si>
    <t>ORD00026</t>
  </si>
  <si>
    <t>C0045</t>
  </si>
  <si>
    <t>ORD00027</t>
  </si>
  <si>
    <t>C0401</t>
  </si>
  <si>
    <t>ORD00028</t>
  </si>
  <si>
    <t>C0417</t>
  </si>
  <si>
    <t>ORD00029</t>
  </si>
  <si>
    <t>ORD00030</t>
  </si>
  <si>
    <t>C0056</t>
  </si>
  <si>
    <t>ORD00031</t>
  </si>
  <si>
    <t>C0851</t>
  </si>
  <si>
    <t>ORD00032</t>
  </si>
  <si>
    <t>C0248</t>
  </si>
  <si>
    <t>ORD00033</t>
  </si>
  <si>
    <t>C0750</t>
  </si>
  <si>
    <t>ORD00034</t>
  </si>
  <si>
    <t>C0853</t>
  </si>
  <si>
    <t>ORD00035</t>
  </si>
  <si>
    <t>C0626</t>
  </si>
  <si>
    <t>ORD00036</t>
  </si>
  <si>
    <t>C0428</t>
  </si>
  <si>
    <t>ORD00037</t>
  </si>
  <si>
    <t>C0545</t>
  </si>
  <si>
    <t>ORD00038</t>
  </si>
  <si>
    <t>C0302</t>
  </si>
  <si>
    <t>ORD00039</t>
  </si>
  <si>
    <t>C0476</t>
  </si>
  <si>
    <t>ORD00040</t>
  </si>
  <si>
    <t>C0392</t>
  </si>
  <si>
    <t>ORD00041</t>
  </si>
  <si>
    <t>C0378</t>
  </si>
  <si>
    <t>ORD00042</t>
  </si>
  <si>
    <t>C0635</t>
  </si>
  <si>
    <t>ORD00043</t>
  </si>
  <si>
    <t>C0209</t>
  </si>
  <si>
    <t>ORD00044</t>
  </si>
  <si>
    <t>ORD00045</t>
  </si>
  <si>
    <t>C0807</t>
  </si>
  <si>
    <t>ORD00046</t>
  </si>
  <si>
    <t>C0727</t>
  </si>
  <si>
    <t>ORD00047</t>
  </si>
  <si>
    <t>C0163</t>
  </si>
  <si>
    <t>ORD00048</t>
  </si>
  <si>
    <t>C0888</t>
  </si>
  <si>
    <t>ORD00049</t>
  </si>
  <si>
    <t>ORD00050</t>
  </si>
  <si>
    <t>ORD00051</t>
  </si>
  <si>
    <t>C0027</t>
  </si>
  <si>
    <t>ORD00052</t>
  </si>
  <si>
    <t>C0560</t>
  </si>
  <si>
    <t>ORD00053</t>
  </si>
  <si>
    <t>C0874</t>
  </si>
  <si>
    <t>ORD00054</t>
  </si>
  <si>
    <t>C0655</t>
  </si>
  <si>
    <t>ORD00055</t>
  </si>
  <si>
    <t>C0799</t>
  </si>
  <si>
    <t>ORD00056</t>
  </si>
  <si>
    <t>C0377</t>
  </si>
  <si>
    <t>ORD00057</t>
  </si>
  <si>
    <t>C0516</t>
  </si>
  <si>
    <t>ORD00058</t>
  </si>
  <si>
    <t>C0551</t>
  </si>
  <si>
    <t>ORD00059</t>
  </si>
  <si>
    <t>C0520</t>
  </si>
  <si>
    <t>ORD00060</t>
  </si>
  <si>
    <t>C0609</t>
  </si>
  <si>
    <t>ORD00061</t>
  </si>
  <si>
    <t>C0837</t>
  </si>
  <si>
    <t>ORD00062</t>
  </si>
  <si>
    <t>C0808</t>
  </si>
  <si>
    <t>ORD00063</t>
  </si>
  <si>
    <t>ORD00064</t>
  </si>
  <si>
    <t>C0022</t>
  </si>
  <si>
    <t>ORD00065</t>
  </si>
  <si>
    <t>C0249</t>
  </si>
  <si>
    <t>ORD00066</t>
  </si>
  <si>
    <t>C0325</t>
  </si>
  <si>
    <t>ORD00067</t>
  </si>
  <si>
    <t>C0884</t>
  </si>
  <si>
    <t>ORD00068</t>
  </si>
  <si>
    <t>C0858</t>
  </si>
  <si>
    <t>ORD00069</t>
  </si>
  <si>
    <t>C0681</t>
  </si>
  <si>
    <t>ORD00070</t>
  </si>
  <si>
    <t>C0661</t>
  </si>
  <si>
    <t>ORD00071</t>
  </si>
  <si>
    <t>C0585</t>
  </si>
  <si>
    <t>ORD00072</t>
  </si>
  <si>
    <t>ORD00073</t>
  </si>
  <si>
    <t>C0667</t>
  </si>
  <si>
    <t>ORD00074</t>
  </si>
  <si>
    <t>C0042</t>
  </si>
  <si>
    <t>ORD00075</t>
  </si>
  <si>
    <t>C0304</t>
  </si>
  <si>
    <t>ORD00076</t>
  </si>
  <si>
    <t>ORD00077</t>
  </si>
  <si>
    <t>C0362</t>
  </si>
  <si>
    <t>ORD00078</t>
  </si>
  <si>
    <t>C0409</t>
  </si>
  <si>
    <t>ORD00079</t>
  </si>
  <si>
    <t>C0680</t>
  </si>
  <si>
    <t>ORD00080</t>
  </si>
  <si>
    <t>C0852</t>
  </si>
  <si>
    <t>ORD00081</t>
  </si>
  <si>
    <t>C0334</t>
  </si>
  <si>
    <t>ORD00082</t>
  </si>
  <si>
    <t>C0575</t>
  </si>
  <si>
    <t>ORD00083</t>
  </si>
  <si>
    <t>C0665</t>
  </si>
  <si>
    <t>ORD00084</t>
  </si>
  <si>
    <t>C0061</t>
  </si>
  <si>
    <t>ORD00085</t>
  </si>
  <si>
    <t>ORD00086</t>
  </si>
  <si>
    <t>C0446</t>
  </si>
  <si>
    <t>ORD00087</t>
  </si>
  <si>
    <t>C0660</t>
  </si>
  <si>
    <t>ORD00088</t>
  </si>
  <si>
    <t>C0470</t>
  </si>
  <si>
    <t>ORD00089</t>
  </si>
  <si>
    <t>C0787</t>
  </si>
  <si>
    <t>ORD00090</t>
  </si>
  <si>
    <t>C0792</t>
  </si>
  <si>
    <t>ORD00091</t>
  </si>
  <si>
    <t>C0631</t>
  </si>
  <si>
    <t>ORD00092</t>
  </si>
  <si>
    <t>C0437</t>
  </si>
  <si>
    <t>ORD00093</t>
  </si>
  <si>
    <t>C0711</t>
  </si>
  <si>
    <t>ORD00094</t>
  </si>
  <si>
    <t>C0583</t>
  </si>
  <si>
    <t>ORD00095</t>
  </si>
  <si>
    <t>C0352</t>
  </si>
  <si>
    <t>ORD00096</t>
  </si>
  <si>
    <t>C0399</t>
  </si>
  <si>
    <t>ORD00097</t>
  </si>
  <si>
    <t>C0194</t>
  </si>
  <si>
    <t>ORD00098</t>
  </si>
  <si>
    <t>C0261</t>
  </si>
  <si>
    <t>ORD00099</t>
  </si>
  <si>
    <t>C0105</t>
  </si>
  <si>
    <t>ORD00100</t>
  </si>
  <si>
    <t>ORD00101</t>
  </si>
  <si>
    <t>C0847</t>
  </si>
  <si>
    <t>ORD00102</t>
  </si>
  <si>
    <t>C0481</t>
  </si>
  <si>
    <t>ORD00103</t>
  </si>
  <si>
    <t>C0647</t>
  </si>
  <si>
    <t>ORD00104</t>
  </si>
  <si>
    <t>C0547</t>
  </si>
  <si>
    <t>ORD00105</t>
  </si>
  <si>
    <t>C0737</t>
  </si>
  <si>
    <t>ORD00106</t>
  </si>
  <si>
    <t>C0438</t>
  </si>
  <si>
    <t>ORD00107</t>
  </si>
  <si>
    <t>C0054</t>
  </si>
  <si>
    <t>ORD00108</t>
  </si>
  <si>
    <t>C0274</t>
  </si>
  <si>
    <t>ORD00109</t>
  </si>
  <si>
    <t>C0310</t>
  </si>
  <si>
    <t>ORD00110</t>
  </si>
  <si>
    <t>C0719</t>
  </si>
  <si>
    <t>ORD00111</t>
  </si>
  <si>
    <t>C0698</t>
  </si>
  <si>
    <t>ORD00112</t>
  </si>
  <si>
    <t>C0714</t>
  </si>
  <si>
    <t>ORD00113</t>
  </si>
  <si>
    <t>C0715</t>
  </si>
  <si>
    <t>ORD00114</t>
  </si>
  <si>
    <t>C0162</t>
  </si>
  <si>
    <t>ORD00115</t>
  </si>
  <si>
    <t>C0562</t>
  </si>
  <si>
    <t>ORD00116</t>
  </si>
  <si>
    <t>C0341</t>
  </si>
  <si>
    <t>ORD00117</t>
  </si>
  <si>
    <t>C0468</t>
  </si>
  <si>
    <t>ORD00118</t>
  </si>
  <si>
    <t>C0356</t>
  </si>
  <si>
    <t>ORD00119</t>
  </si>
  <si>
    <t>C0433</t>
  </si>
  <si>
    <t>ORD00120</t>
  </si>
  <si>
    <t>C0004</t>
  </si>
  <si>
    <t>ORD00121</t>
  </si>
  <si>
    <t>ORD00122</t>
  </si>
  <si>
    <t>C0328</t>
  </si>
  <si>
    <t>ORD00123</t>
  </si>
  <si>
    <t>C0773</t>
  </si>
  <si>
    <t>ORD00124</t>
  </si>
  <si>
    <t>C0550</t>
  </si>
  <si>
    <t>ORD00125</t>
  </si>
  <si>
    <t>C0205</t>
  </si>
  <si>
    <t>ORD00126</t>
  </si>
  <si>
    <t>C0290</t>
  </si>
  <si>
    <t>ORD00127</t>
  </si>
  <si>
    <t>ORD00128</t>
  </si>
  <si>
    <t>C0193</t>
  </si>
  <si>
    <t>ORD00129</t>
  </si>
  <si>
    <t>ORD00130</t>
  </si>
  <si>
    <t>C0174</t>
  </si>
  <si>
    <t>ORD00131</t>
  </si>
  <si>
    <t>ORD00132</t>
  </si>
  <si>
    <t>C0596</t>
  </si>
  <si>
    <t>ORD00133</t>
  </si>
  <si>
    <t>C0254</t>
  </si>
  <si>
    <t>ORD00134</t>
  </si>
  <si>
    <t>C0675</t>
  </si>
  <si>
    <t>ORD00135</t>
  </si>
  <si>
    <t>C0775</t>
  </si>
  <si>
    <t>ORD00136</t>
  </si>
  <si>
    <t>C0134</t>
  </si>
  <si>
    <t>ORD00137</t>
  </si>
  <si>
    <t>C0266</t>
  </si>
  <si>
    <t>ORD00138</t>
  </si>
  <si>
    <t>C0756</t>
  </si>
  <si>
    <t>ORD00139</t>
  </si>
  <si>
    <t>ORD00140</t>
  </si>
  <si>
    <t>C0299</t>
  </si>
  <si>
    <t>ORD00141</t>
  </si>
  <si>
    <t>C0870</t>
  </si>
  <si>
    <t>ORD00142</t>
  </si>
  <si>
    <t>C0296</t>
  </si>
  <si>
    <t>ORD00143</t>
  </si>
  <si>
    <t>C0063</t>
  </si>
  <si>
    <t>ORD00144</t>
  </si>
  <si>
    <t>C0137</t>
  </si>
  <si>
    <t>ORD00145</t>
  </si>
  <si>
    <t>C0338</t>
  </si>
  <si>
    <t>ORD00146</t>
  </si>
  <si>
    <t>ORD00147</t>
  </si>
  <si>
    <t>C0632</t>
  </si>
  <si>
    <t>ORD00148</t>
  </si>
  <si>
    <t>C0039</t>
  </si>
  <si>
    <t>ORD00149</t>
  </si>
  <si>
    <t>C0347</t>
  </si>
  <si>
    <t>ORD00150</t>
  </si>
  <si>
    <t>C0621</t>
  </si>
  <si>
    <t>ORD00151</t>
  </si>
  <si>
    <t>C0097</t>
  </si>
  <si>
    <t>ORD00152</t>
  </si>
  <si>
    <t>C0558</t>
  </si>
  <si>
    <t>ORD00153</t>
  </si>
  <si>
    <t>C0014</t>
  </si>
  <si>
    <t>ORD00154</t>
  </si>
  <si>
    <t>C0597</t>
  </si>
  <si>
    <t>ORD00155</t>
  </si>
  <si>
    <t>ORD00156</t>
  </si>
  <si>
    <t>C0031</t>
  </si>
  <si>
    <t>ORD00157</t>
  </si>
  <si>
    <t>C0743</t>
  </si>
  <si>
    <t>ORD00158</t>
  </si>
  <si>
    <t>ORD00159</t>
  </si>
  <si>
    <t>C0458</t>
  </si>
  <si>
    <t>ORD00160</t>
  </si>
  <si>
    <t>C0643</t>
  </si>
  <si>
    <t>ORD00161</t>
  </si>
  <si>
    <t>C0588</t>
  </si>
  <si>
    <t>ORD00162</t>
  </si>
  <si>
    <t>ORD00163</t>
  </si>
  <si>
    <t>C0489</t>
  </si>
  <si>
    <t>ORD00164</t>
  </si>
  <si>
    <t>C0223</t>
  </si>
  <si>
    <t>ORD00165</t>
  </si>
  <si>
    <t>C0636</t>
  </si>
  <si>
    <t>ORD00166</t>
  </si>
  <si>
    <t>C0553</t>
  </si>
  <si>
    <t>ORD00167</t>
  </si>
  <si>
    <t>C0692</t>
  </si>
  <si>
    <t>ORD00168</t>
  </si>
  <si>
    <t>C0381</t>
  </si>
  <si>
    <t>ORD00169</t>
  </si>
  <si>
    <t>C0659</t>
  </si>
  <si>
    <t>ORD00170</t>
  </si>
  <si>
    <t>C0522</t>
  </si>
  <si>
    <t>ORD00171</t>
  </si>
  <si>
    <t>C0375</t>
  </si>
  <si>
    <t>ORD00172</t>
  </si>
  <si>
    <t>C0682</t>
  </si>
  <si>
    <t>ORD00173</t>
  </si>
  <si>
    <t>ORD00174</t>
  </si>
  <si>
    <t>C0132</t>
  </si>
  <si>
    <t>ORD00175</t>
  </si>
  <si>
    <t>C0233</t>
  </si>
  <si>
    <t>ORD00176</t>
  </si>
  <si>
    <t>ORD00177</t>
  </si>
  <si>
    <t>C0115</t>
  </si>
  <si>
    <t>ORD00178</t>
  </si>
  <si>
    <t>C0693</t>
  </si>
  <si>
    <t>ORD00179</t>
  </si>
  <si>
    <t>ORD00180</t>
  </si>
  <si>
    <t>C0483</t>
  </si>
  <si>
    <t>ORD00181</t>
  </si>
  <si>
    <t>C0480</t>
  </si>
  <si>
    <t>ORD00182</t>
  </si>
  <si>
    <t>ORD00183</t>
  </si>
  <si>
    <t>C0168</t>
  </si>
  <si>
    <t>ORD00184</t>
  </si>
  <si>
    <t>ORD00185</t>
  </si>
  <si>
    <t>C0204</t>
  </si>
  <si>
    <t>ORD00186</t>
  </si>
  <si>
    <t>C0543</t>
  </si>
  <si>
    <t>ORD00187</t>
  </si>
  <si>
    <t>C0605</t>
  </si>
  <si>
    <t>ORD00188</t>
  </si>
  <si>
    <t>C0812</t>
  </si>
  <si>
    <t>ORD00189</t>
  </si>
  <si>
    <t>ORD00190</t>
  </si>
  <si>
    <t>C0772</t>
  </si>
  <si>
    <t>ORD00191</t>
  </si>
  <si>
    <t>C0385</t>
  </si>
  <si>
    <t>ORD00192</t>
  </si>
  <si>
    <t>C0651</t>
  </si>
  <si>
    <t>ORD00193</t>
  </si>
  <si>
    <t>C0015</t>
  </si>
  <si>
    <t>ORD00194</t>
  </si>
  <si>
    <t>C0742</t>
  </si>
  <si>
    <t>ORD00195</t>
  </si>
  <si>
    <t>C0524</t>
  </si>
  <si>
    <t>ORD00196</t>
  </si>
  <si>
    <t>C0349</t>
  </si>
  <si>
    <t>ORD00197</t>
  </si>
  <si>
    <t>C0513</t>
  </si>
  <si>
    <t>ORD00198</t>
  </si>
  <si>
    <t>ORD00199</t>
  </si>
  <si>
    <t>C0225</t>
  </si>
  <si>
    <t>ORD00200</t>
  </si>
  <si>
    <t>ORD00201</t>
  </si>
  <si>
    <t>C0044</t>
  </si>
  <si>
    <t>ORD00202</t>
  </si>
  <si>
    <t>C0774</t>
  </si>
  <si>
    <t>ORD00203</t>
  </si>
  <si>
    <t>C0374</t>
  </si>
  <si>
    <t>ORD00204</t>
  </si>
  <si>
    <t>C0262</t>
  </si>
  <si>
    <t>ORD00205</t>
  </si>
  <si>
    <t>ORD00206</t>
  </si>
  <si>
    <t>C0578</t>
  </si>
  <si>
    <t>ORD00207</t>
  </si>
  <si>
    <t>C0721</t>
  </si>
  <si>
    <t>ORD00208</t>
  </si>
  <si>
    <t>C0235</t>
  </si>
  <si>
    <t>ORD00209</t>
  </si>
  <si>
    <t>ORD00210</t>
  </si>
  <si>
    <t>C0629</t>
  </si>
  <si>
    <t>ORD00211</t>
  </si>
  <si>
    <t>ORD00212</t>
  </si>
  <si>
    <t>ORD00213</t>
  </si>
  <si>
    <t>ORD00214</t>
  </si>
  <si>
    <t>C0796</t>
  </si>
  <si>
    <t>ORD00215</t>
  </si>
  <si>
    <t>C0821</t>
  </si>
  <si>
    <t>ORD00216</t>
  </si>
  <si>
    <t>C0865</t>
  </si>
  <si>
    <t>ORD00217</t>
  </si>
  <si>
    <t>C0763</t>
  </si>
  <si>
    <t>ORD00218</t>
  </si>
  <si>
    <t>C0133</t>
  </si>
  <si>
    <t>ORD00219</t>
  </si>
  <si>
    <t>C0117</t>
  </si>
  <si>
    <t>ORD00220</t>
  </si>
  <si>
    <t>C0555</t>
  </si>
  <si>
    <t>ORD00221</t>
  </si>
  <si>
    <t>C0363</t>
  </si>
  <si>
    <t>ORD00222</t>
  </si>
  <si>
    <t>C0572</t>
  </si>
  <si>
    <t>ORD00223</t>
  </si>
  <si>
    <t>ORD00224</t>
  </si>
  <si>
    <t>C0509</t>
  </si>
  <si>
    <t>ORD00225</t>
  </si>
  <si>
    <t>C0848</t>
  </si>
  <si>
    <t>ORD00226</t>
  </si>
  <si>
    <t>C0601</t>
  </si>
  <si>
    <t>ORD00227</t>
  </si>
  <si>
    <t>C0587</t>
  </si>
  <si>
    <t>ORD00228</t>
  </si>
  <si>
    <t>C0563</t>
  </si>
  <si>
    <t>ORD00229</t>
  </si>
  <si>
    <t>C0725</t>
  </si>
  <si>
    <t>ORD00230</t>
  </si>
  <si>
    <t>C0645</t>
  </si>
  <si>
    <t>ORD00231</t>
  </si>
  <si>
    <t>C0746</t>
  </si>
  <si>
    <t>ORD00232</t>
  </si>
  <si>
    <t>C0704</t>
  </si>
  <si>
    <t>ORD00233</t>
  </si>
  <si>
    <t>C0656</t>
  </si>
  <si>
    <t>ORD00234</t>
  </si>
  <si>
    <t>ORD00235</t>
  </si>
  <si>
    <t>C0634</t>
  </si>
  <si>
    <t>ORD00236</t>
  </si>
  <si>
    <t>C0051</t>
  </si>
  <si>
    <t>ORD00237</t>
  </si>
  <si>
    <t>C0668</t>
  </si>
  <si>
    <t>ORD00238</t>
  </si>
  <si>
    <t>ORD00239</t>
  </si>
  <si>
    <t>ORD00240</t>
  </si>
  <si>
    <t>C0410</t>
  </si>
  <si>
    <t>ORD00241</t>
  </si>
  <si>
    <t>C0676</t>
  </si>
  <si>
    <t>ORD00242</t>
  </si>
  <si>
    <t>C0662</t>
  </si>
  <si>
    <t>ORD00243</t>
  </si>
  <si>
    <t>C0752</t>
  </si>
  <si>
    <t>ORD00244</t>
  </si>
  <si>
    <t>C0276</t>
  </si>
  <si>
    <t>ORD00245</t>
  </si>
  <si>
    <t>ORD00246</t>
  </si>
  <si>
    <t>C0255</t>
  </si>
  <si>
    <t>ORD00247</t>
  </si>
  <si>
    <t>C0116</t>
  </si>
  <si>
    <t>ORD00248</t>
  </si>
  <si>
    <t>C0780</t>
  </si>
  <si>
    <t>ORD00249</t>
  </si>
  <si>
    <t>C0159</t>
  </si>
  <si>
    <t>ORD00250</t>
  </si>
  <si>
    <t>C0744</t>
  </si>
  <si>
    <t>ORD00251</t>
  </si>
  <si>
    <t>C0192</t>
  </si>
  <si>
    <t>ORD00252</t>
  </si>
  <si>
    <t>ORD00253</t>
  </si>
  <si>
    <t>ORD00254</t>
  </si>
  <si>
    <t>ORD00255</t>
  </si>
  <si>
    <t>C0247</t>
  </si>
  <si>
    <t>ORD00256</t>
  </si>
  <si>
    <t>C0301</t>
  </si>
  <si>
    <t>ORD00257</t>
  </si>
  <si>
    <t>ORD00258</t>
  </si>
  <si>
    <t>ORD00259</t>
  </si>
  <si>
    <t>C0671</t>
  </si>
  <si>
    <t>ORD00260</t>
  </si>
  <si>
    <t>C0013</t>
  </si>
  <si>
    <t>ORD00261</t>
  </si>
  <si>
    <t>C0335</t>
  </si>
  <si>
    <t>ORD00262</t>
  </si>
  <si>
    <t>ORD00263</t>
  </si>
  <si>
    <t>C0127</t>
  </si>
  <si>
    <t>ORD00264</t>
  </si>
  <si>
    <t>ORD00265</t>
  </si>
  <si>
    <t>ORD00266</t>
  </si>
  <si>
    <t>C0527</t>
  </si>
  <si>
    <t>ORD00267</t>
  </si>
  <si>
    <t>ORD00268</t>
  </si>
  <si>
    <t>C0364</t>
  </si>
  <si>
    <t>ORD00269</t>
  </si>
  <si>
    <t>C0166</t>
  </si>
  <si>
    <t>ORD00270</t>
  </si>
  <si>
    <t>C0333</t>
  </si>
  <si>
    <t>ORD00271</t>
  </si>
  <si>
    <t>C0113</t>
  </si>
  <si>
    <t>ORD00272</t>
  </si>
  <si>
    <t>ORD00273</t>
  </si>
  <si>
    <t>C0153</t>
  </si>
  <si>
    <t>ORD00274</t>
  </si>
  <si>
    <t>C0724</t>
  </si>
  <si>
    <t>ORD00275</t>
  </si>
  <si>
    <t>C0486</t>
  </si>
  <si>
    <t>ORD00276</t>
  </si>
  <si>
    <t>ORD00277</t>
  </si>
  <si>
    <t>ORD00278</t>
  </si>
  <si>
    <t>C0452</t>
  </si>
  <si>
    <t>ORD00279</t>
  </si>
  <si>
    <t>C0855</t>
  </si>
  <si>
    <t>ORD00280</t>
  </si>
  <si>
    <t>C0574</t>
  </si>
  <si>
    <t>ORD00281</t>
  </si>
  <si>
    <t>ORD00282</t>
  </si>
  <si>
    <t>C0144</t>
  </si>
  <si>
    <t>ORD00283</t>
  </si>
  <si>
    <t>C0055</t>
  </si>
  <si>
    <t>ORD00284</t>
  </si>
  <si>
    <t>C0143</t>
  </si>
  <si>
    <t>ORD00285</t>
  </si>
  <si>
    <t>C0243</t>
  </si>
  <si>
    <t>ORD00286</t>
  </si>
  <si>
    <t>C0642</t>
  </si>
  <si>
    <t>ORD00287</t>
  </si>
  <si>
    <t>C0029</t>
  </si>
  <si>
    <t>ORD00288</t>
  </si>
  <si>
    <t>C0745</t>
  </si>
  <si>
    <t>ORD00289</t>
  </si>
  <si>
    <t>C0345</t>
  </si>
  <si>
    <t>ORD00290</t>
  </si>
  <si>
    <t>C0794</t>
  </si>
  <si>
    <t>ORD00291</t>
  </si>
  <si>
    <t>C0840</t>
  </si>
  <si>
    <t>ORD00292</t>
  </si>
  <si>
    <t>C0732</t>
  </si>
  <si>
    <t>ORD00293</t>
  </si>
  <si>
    <t>ORD00294</t>
  </si>
  <si>
    <t>C0603</t>
  </si>
  <si>
    <t>ORD00295</t>
  </si>
  <si>
    <t>C0082</t>
  </si>
  <si>
    <t>ORD00296</t>
  </si>
  <si>
    <t>C0322</t>
  </si>
  <si>
    <t>ORD00297</t>
  </si>
  <si>
    <t>C0493</t>
  </si>
  <si>
    <t>ORD00298</t>
  </si>
  <si>
    <t>C0892</t>
  </si>
  <si>
    <t>ORD00299</t>
  </si>
  <si>
    <t>ORD00300</t>
  </si>
  <si>
    <t>ORD00301</t>
  </si>
  <si>
    <t>C0535</t>
  </si>
  <si>
    <t>ORD00302</t>
  </si>
  <si>
    <t>C0484</t>
  </si>
  <si>
    <t>ORD00303</t>
  </si>
  <si>
    <t>C0321</t>
  </si>
  <si>
    <t>ORD00304</t>
  </si>
  <si>
    <t>ORD00305</t>
  </si>
  <si>
    <t>C0525</t>
  </si>
  <si>
    <t>ORD00306</t>
  </si>
  <si>
    <t>C0598</t>
  </si>
  <si>
    <t>ORD00307</t>
  </si>
  <si>
    <t>ORD00308</t>
  </si>
  <si>
    <t>C0718</t>
  </si>
  <si>
    <t>ORD00309</t>
  </si>
  <si>
    <t>C0315</t>
  </si>
  <si>
    <t>ORD00310</t>
  </si>
  <si>
    <t>C0422</t>
  </si>
  <si>
    <t>ORD00311</t>
  </si>
  <si>
    <t>C0612</t>
  </si>
  <si>
    <t>ORD00312</t>
  </si>
  <si>
    <t>C0059</t>
  </si>
  <si>
    <t>ORD00313</t>
  </si>
  <si>
    <t>ORD00314</t>
  </si>
  <si>
    <t>C0538</t>
  </si>
  <si>
    <t>ORD00315</t>
  </si>
  <si>
    <t>ORD00316</t>
  </si>
  <si>
    <t>C0883</t>
  </si>
  <si>
    <t>ORD00317</t>
  </si>
  <si>
    <t>ORD00318</t>
  </si>
  <si>
    <t>ORD00319</t>
  </si>
  <si>
    <t>C0786</t>
  </si>
  <si>
    <t>ORD00320</t>
  </si>
  <si>
    <t>C0488</t>
  </si>
  <si>
    <t>ORD00321</t>
  </si>
  <si>
    <t>C0036</t>
  </si>
  <si>
    <t>ORD00322</t>
  </si>
  <si>
    <t>C0306</t>
  </si>
  <si>
    <t>ORD00323</t>
  </si>
  <si>
    <t>ORD00324</t>
  </si>
  <si>
    <t>C0336</t>
  </si>
  <si>
    <t>ORD00325</t>
  </si>
  <si>
    <t>ORD00326</t>
  </si>
  <si>
    <t>C0739</t>
  </si>
  <si>
    <t>ORD00327</t>
  </si>
  <si>
    <t>C0090</t>
  </si>
  <si>
    <t>ORD00328</t>
  </si>
  <si>
    <t>C0277</t>
  </si>
  <si>
    <t>ORD00329</t>
  </si>
  <si>
    <t>C0836</t>
  </si>
  <si>
    <t>ORD00330</t>
  </si>
  <si>
    <t>C0653</t>
  </si>
  <si>
    <t>ORD00331</t>
  </si>
  <si>
    <t>ORD00332</t>
  </si>
  <si>
    <t>C0160</t>
  </si>
  <si>
    <t>ORD00333</t>
  </si>
  <si>
    <t>C0234</t>
  </si>
  <si>
    <t>ORD00334</t>
  </si>
  <si>
    <t>C0584</t>
  </si>
  <si>
    <t>ORD00335</t>
  </si>
  <si>
    <t>C0080</t>
  </si>
  <si>
    <t>ORD00336</t>
  </si>
  <si>
    <t>ORD00337</t>
  </si>
  <si>
    <t>ORD00338</t>
  </si>
  <si>
    <t>ORD00339</t>
  </si>
  <si>
    <t>C0444</t>
  </si>
  <si>
    <t>ORD00340</t>
  </si>
  <si>
    <t>C0893</t>
  </si>
  <si>
    <t>ORD00341</t>
  </si>
  <si>
    <t>ORD00342</t>
  </si>
  <si>
    <t>C0857</t>
  </si>
  <si>
    <t>ORD00343</t>
  </si>
  <si>
    <t>C0507</t>
  </si>
  <si>
    <t>ORD00344</t>
  </si>
  <si>
    <t>ORD00345</t>
  </si>
  <si>
    <t>ORD00346</t>
  </si>
  <si>
    <t>C0838</t>
  </si>
  <si>
    <t>ORD00347</t>
  </si>
  <si>
    <t>C0490</t>
  </si>
  <si>
    <t>ORD00348</t>
  </si>
  <si>
    <t>C0291</t>
  </si>
  <si>
    <t>ORD00349</t>
  </si>
  <si>
    <t>ORD00350</t>
  </si>
  <si>
    <t>C0324</t>
  </si>
  <si>
    <t>ORD00351</t>
  </si>
  <si>
    <t>ORD00352</t>
  </si>
  <si>
    <t>ORD00353</t>
  </si>
  <si>
    <t>C0602</t>
  </si>
  <si>
    <t>ORD00354</t>
  </si>
  <si>
    <t>C0896</t>
  </si>
  <si>
    <t>ORD00355</t>
  </si>
  <si>
    <t>ORD00356</t>
  </si>
  <si>
    <t>C0454</t>
  </si>
  <si>
    <t>ORD00357</t>
  </si>
  <si>
    <t>ORD00358</t>
  </si>
  <si>
    <t>ORD00359</t>
  </si>
  <si>
    <t>C0738</t>
  </si>
  <si>
    <t>ORD00360</t>
  </si>
  <si>
    <t>C0841</t>
  </si>
  <si>
    <t>ORD00361</t>
  </si>
  <si>
    <t>ORD00362</t>
  </si>
  <si>
    <t>C0121</t>
  </si>
  <si>
    <t>ORD00363</t>
  </si>
  <si>
    <t>ORD00364</t>
  </si>
  <si>
    <t>ORD00365</t>
  </si>
  <si>
    <t>C0050</t>
  </si>
  <si>
    <t>ORD00366</t>
  </si>
  <si>
    <t>C0231</t>
  </si>
  <si>
    <t>ORD00367</t>
  </si>
  <si>
    <t>ORD00368</t>
  </si>
  <si>
    <t>ORD00369</t>
  </si>
  <si>
    <t>C0869</t>
  </si>
  <si>
    <t>ORD00370</t>
  </si>
  <si>
    <t>ORD00371</t>
  </si>
  <si>
    <t>C0825</t>
  </si>
  <si>
    <t>ORD00372</t>
  </si>
  <si>
    <t>C0456</t>
  </si>
  <si>
    <t>ORD00373</t>
  </si>
  <si>
    <t>C0074</t>
  </si>
  <si>
    <t>ORD00374</t>
  </si>
  <si>
    <t>ORD00375</t>
  </si>
  <si>
    <t>ORD00376</t>
  </si>
  <si>
    <t>C0327</t>
  </si>
  <si>
    <t>ORD00377</t>
  </si>
  <si>
    <t>C0156</t>
  </si>
  <si>
    <t>ORD00378</t>
  </si>
  <si>
    <t>C0164</t>
  </si>
  <si>
    <t>ORD00379</t>
  </si>
  <si>
    <t>ORD00380</t>
  </si>
  <si>
    <t>ORD00381</t>
  </si>
  <si>
    <t>ORD00382</t>
  </si>
  <si>
    <t>C0067</t>
  </si>
  <si>
    <t>ORD00383</t>
  </si>
  <si>
    <t>C0420</t>
  </si>
  <si>
    <t>ORD00384</t>
  </si>
  <si>
    <t>C0717</t>
  </si>
  <si>
    <t>ORD00385</t>
  </si>
  <si>
    <t>C0577</t>
  </si>
  <si>
    <t>ORD00386</t>
  </si>
  <si>
    <t>ORD00387</t>
  </si>
  <si>
    <t>C0894</t>
  </si>
  <si>
    <t>ORD00388</t>
  </si>
  <si>
    <t>ORD00389</t>
  </si>
  <si>
    <t>C0441</t>
  </si>
  <si>
    <t>ORD00390</t>
  </si>
  <si>
    <t>C0201</t>
  </si>
  <si>
    <t>ORD00391</t>
  </si>
  <si>
    <t>ORD00392</t>
  </si>
  <si>
    <t>ORD00393</t>
  </si>
  <si>
    <t>C0581</t>
  </si>
  <si>
    <t>ORD00394</t>
  </si>
  <si>
    <t>C0613</t>
  </si>
  <si>
    <t>ORD00395</t>
  </si>
  <si>
    <t>C0459</t>
  </si>
  <si>
    <t>ORD00396</t>
  </si>
  <si>
    <t>C0485</t>
  </si>
  <si>
    <t>ORD00397</t>
  </si>
  <si>
    <t>ORD00398</t>
  </si>
  <si>
    <t>C0329</t>
  </si>
  <si>
    <t>ORD00399</t>
  </si>
  <si>
    <t>ORD00400</t>
  </si>
  <si>
    <t>ORD00401</t>
  </si>
  <si>
    <t>ORD00402</t>
  </si>
  <si>
    <t>C0411</t>
  </si>
  <si>
    <t>ORD00403</t>
  </si>
  <si>
    <t>C0165</t>
  </si>
  <si>
    <t>ORD00404</t>
  </si>
  <si>
    <t>C0066</t>
  </si>
  <si>
    <t>ORD00405</t>
  </si>
  <si>
    <t>C0106</t>
  </si>
  <si>
    <t>ORD00406</t>
  </si>
  <si>
    <t>C0593</t>
  </si>
  <si>
    <t>ORD00407</t>
  </si>
  <si>
    <t>ORD00408</t>
  </si>
  <si>
    <t>C0049</t>
  </si>
  <si>
    <t>ORD00409</t>
  </si>
  <si>
    <t>ORD00410</t>
  </si>
  <si>
    <t>ORD00411</t>
  </si>
  <si>
    <t>ORD00412</t>
  </si>
  <si>
    <t>C0034</t>
  </si>
  <si>
    <t>ORD00413</t>
  </si>
  <si>
    <t>C0710</t>
  </si>
  <si>
    <t>ORD00414</t>
  </si>
  <si>
    <t>C0072</t>
  </si>
  <si>
    <t>ORD00415</t>
  </si>
  <si>
    <t>C0070</t>
  </si>
  <si>
    <t>ORD00416</t>
  </si>
  <si>
    <t>C0708</t>
  </si>
  <si>
    <t>ORD00417</t>
  </si>
  <si>
    <t>C0833</t>
  </si>
  <si>
    <t>ORD00418</t>
  </si>
  <si>
    <t>ORD00419</t>
  </si>
  <si>
    <t>ORD00420</t>
  </si>
  <si>
    <t>ORD00421</t>
  </si>
  <si>
    <t>C0238</t>
  </si>
  <si>
    <t>ORD00422</t>
  </si>
  <si>
    <t>C0353</t>
  </si>
  <si>
    <t>ORD00423</t>
  </si>
  <si>
    <t>ORD00424</t>
  </si>
  <si>
    <t>C0518</t>
  </si>
  <si>
    <t>ORD00425</t>
  </si>
  <si>
    <t>C0110</t>
  </si>
  <si>
    <t>ORD00426</t>
  </si>
  <si>
    <t>C0408</t>
  </si>
  <si>
    <t>ORD00427</t>
  </si>
  <si>
    <t>C0479</t>
  </si>
  <si>
    <t>ORD00428</t>
  </si>
  <si>
    <t>C0199</t>
  </si>
  <si>
    <t>ORD00429</t>
  </si>
  <si>
    <t>C0242</t>
  </si>
  <si>
    <t>ORD00430</t>
  </si>
  <si>
    <t>C0778</t>
  </si>
  <si>
    <t>ORD00431</t>
  </si>
  <si>
    <t>C0895</t>
  </si>
  <si>
    <t>ORD00432</t>
  </si>
  <si>
    <t>C0582</t>
  </si>
  <si>
    <t>ORD00433</t>
  </si>
  <si>
    <t>C0537</t>
  </si>
  <si>
    <t>ORD00434</t>
  </si>
  <si>
    <t>C0177</t>
  </si>
  <si>
    <t>ORD00435</t>
  </si>
  <si>
    <t>C0142</t>
  </si>
  <si>
    <t>ORD00436</t>
  </si>
  <si>
    <t>C0716</t>
  </si>
  <si>
    <t>ORD00437</t>
  </si>
  <si>
    <t>C0062</t>
  </si>
  <si>
    <t>ORD00438</t>
  </si>
  <si>
    <t>C0287</t>
  </si>
  <si>
    <t>ORD00439</t>
  </si>
  <si>
    <t>C0824</t>
  </si>
  <si>
    <t>ORD00440</t>
  </si>
  <si>
    <t>ORD00441</t>
  </si>
  <si>
    <t>ORD00442</t>
  </si>
  <si>
    <t>C0630</t>
  </si>
  <si>
    <t>ORD00443</t>
  </si>
  <si>
    <t>C0009</t>
  </si>
  <si>
    <t>ORD00444</t>
  </si>
  <si>
    <t>C0842</t>
  </si>
  <si>
    <t>ORD00445</t>
  </si>
  <si>
    <t>C0003</t>
  </si>
  <si>
    <t>ORD00446</t>
  </si>
  <si>
    <t>ORD00447</t>
  </si>
  <si>
    <t>C0087</t>
  </si>
  <si>
    <t>ORD00448</t>
  </si>
  <si>
    <t>C0762</t>
  </si>
  <si>
    <t>ORD00449</t>
  </si>
  <si>
    <t>C0879</t>
  </si>
  <si>
    <t>ORD00450</t>
  </si>
  <si>
    <t>C0372</t>
  </si>
  <si>
    <t>ORD00451</t>
  </si>
  <si>
    <t>C0151</t>
  </si>
  <si>
    <t>ORD00452</t>
  </si>
  <si>
    <t>ORD00453</t>
  </si>
  <si>
    <t>ORD00454</t>
  </si>
  <si>
    <t>C0439</t>
  </si>
  <si>
    <t>ORD00455</t>
  </si>
  <si>
    <t>C0076</t>
  </si>
  <si>
    <t>ORD00456</t>
  </si>
  <si>
    <t>C0504</t>
  </si>
  <si>
    <t>ORD00457</t>
  </si>
  <si>
    <t>ORD00458</t>
  </si>
  <si>
    <t>ORD00459</t>
  </si>
  <si>
    <t>ORD00460</t>
  </si>
  <si>
    <t>C0877</t>
  </si>
  <si>
    <t>ORD00461</t>
  </si>
  <si>
    <t>ORD00462</t>
  </si>
  <si>
    <t>C0781</t>
  </si>
  <si>
    <t>ORD00463</t>
  </si>
  <si>
    <t>ORD00464</t>
  </si>
  <si>
    <t>ORD00465</t>
  </si>
  <si>
    <t>C0186</t>
  </si>
  <si>
    <t>ORD00466</t>
  </si>
  <si>
    <t>ORD00467</t>
  </si>
  <si>
    <t>ORD00468</t>
  </si>
  <si>
    <t>C0086</t>
  </si>
  <si>
    <t>ORD00469</t>
  </si>
  <si>
    <t>C0533</t>
  </si>
  <si>
    <t>ORD00470</t>
  </si>
  <si>
    <t>ORD00471</t>
  </si>
  <si>
    <t>C0191</t>
  </si>
  <si>
    <t>ORD00472</t>
  </si>
  <si>
    <t>C0432</t>
  </si>
  <si>
    <t>ORD00473</t>
  </si>
  <si>
    <t>ORD00474</t>
  </si>
  <si>
    <t>C0548</t>
  </si>
  <si>
    <t>ORD00475</t>
  </si>
  <si>
    <t>ORD00476</t>
  </si>
  <si>
    <t>C0259</t>
  </si>
  <si>
    <t>ORD00477</t>
  </si>
  <si>
    <t>ORD00478</t>
  </si>
  <si>
    <t>C0358</t>
  </si>
  <si>
    <t>ORD00479</t>
  </si>
  <si>
    <t>C0878</t>
  </si>
  <si>
    <t>ORD00480</t>
  </si>
  <si>
    <t>C0271</t>
  </si>
  <si>
    <t>ORD00481</t>
  </si>
  <si>
    <t>C0240</t>
  </si>
  <si>
    <t>ORD00482</t>
  </si>
  <si>
    <t>C0339</t>
  </si>
  <si>
    <t>ORD00483</t>
  </si>
  <si>
    <t>C0207</t>
  </si>
  <si>
    <t>ORD00484</t>
  </si>
  <si>
    <t>ORD00485</t>
  </si>
  <si>
    <t>ORD00486</t>
  </si>
  <si>
    <t>ORD00487</t>
  </si>
  <si>
    <t>C0065</t>
  </si>
  <si>
    <t>ORD00488</t>
  </si>
  <si>
    <t>ORD00489</t>
  </si>
  <si>
    <t>C0689</t>
  </si>
  <si>
    <t>ORD00490</t>
  </si>
  <si>
    <t>C0830</t>
  </si>
  <si>
    <t>ORD00491</t>
  </si>
  <si>
    <t>C0155</t>
  </si>
  <si>
    <t>ORD00492</t>
  </si>
  <si>
    <t>C0114</t>
  </si>
  <si>
    <t>ORD00493</t>
  </si>
  <si>
    <t>C0002</t>
  </si>
  <si>
    <t>ORD00494</t>
  </si>
  <si>
    <t>C0176</t>
  </si>
  <si>
    <t>ORD00495</t>
  </si>
  <si>
    <t>ORD00496</t>
  </si>
  <si>
    <t>C0447</t>
  </si>
  <si>
    <t>ORD00497</t>
  </si>
  <si>
    <t>ORD00498</t>
  </si>
  <si>
    <t>C0699</t>
  </si>
  <si>
    <t>ORD00499</t>
  </si>
  <si>
    <t>C0617</t>
  </si>
  <si>
    <t>ORD00500</t>
  </si>
  <si>
    <t>ORD00501</t>
  </si>
  <si>
    <t>C0801</t>
  </si>
  <si>
    <t>ORD00502</t>
  </si>
  <si>
    <t>ORD00503</t>
  </si>
  <si>
    <t>C0674</t>
  </si>
  <si>
    <t>ORD00504</t>
  </si>
  <si>
    <t>C0064</t>
  </si>
  <si>
    <t>ORD00505</t>
  </si>
  <si>
    <t>ORD00506</t>
  </si>
  <si>
    <t>C0008</t>
  </si>
  <si>
    <t>ORD00507</t>
  </si>
  <si>
    <t>C0366</t>
  </si>
  <si>
    <t>ORD00508</t>
  </si>
  <si>
    <t>C0179</t>
  </si>
  <si>
    <t>ORD00509</t>
  </si>
  <si>
    <t>C0075</t>
  </si>
  <si>
    <t>ORD00510</t>
  </si>
  <si>
    <t>ORD00511</t>
  </si>
  <si>
    <t>C0278</t>
  </si>
  <si>
    <t>ORD00512</t>
  </si>
  <si>
    <t>ORD00513</t>
  </si>
  <si>
    <t>C0523</t>
  </si>
  <si>
    <t>ORD00514</t>
  </si>
  <si>
    <t>ORD00515</t>
  </si>
  <si>
    <t>ORD00516</t>
  </si>
  <si>
    <t>C0416</t>
  </si>
  <si>
    <t>ORD00517</t>
  </si>
  <si>
    <t>C0559</t>
  </si>
  <si>
    <t>ORD00518</t>
  </si>
  <si>
    <t>C0690</t>
  </si>
  <si>
    <t>ORD00519</t>
  </si>
  <si>
    <t>ORD00520</t>
  </si>
  <si>
    <t>C0514</t>
  </si>
  <si>
    <t>ORD00521</t>
  </si>
  <si>
    <t>C0487</t>
  </si>
  <si>
    <t>ORD00522</t>
  </si>
  <si>
    <t>C0728</t>
  </si>
  <si>
    <t>ORD00523</t>
  </si>
  <si>
    <t>C0125</t>
  </si>
  <si>
    <t>ORD00524</t>
  </si>
  <si>
    <t>C0253</t>
  </si>
  <si>
    <t>ORD00525</t>
  </si>
  <si>
    <t>ORD00526</t>
  </si>
  <si>
    <t>C0018</t>
  </si>
  <si>
    <t>ORD00527</t>
  </si>
  <si>
    <t>C0023</t>
  </si>
  <si>
    <t>ORD00528</t>
  </si>
  <si>
    <t>C0211</t>
  </si>
  <si>
    <t>ORD00529</t>
  </si>
  <si>
    <t>C0218</t>
  </si>
  <si>
    <t>ORD00530</t>
  </si>
  <si>
    <t>C0731</t>
  </si>
  <si>
    <t>ORD00531</t>
  </si>
  <si>
    <t>C0761</t>
  </si>
  <si>
    <t>ORD00532</t>
  </si>
  <si>
    <t>C0616</t>
  </si>
  <si>
    <t>ORD00533</t>
  </si>
  <si>
    <t>ORD00534</t>
  </si>
  <si>
    <t>C0085</t>
  </si>
  <si>
    <t>ORD00535</t>
  </si>
  <si>
    <t>C0696</t>
  </si>
  <si>
    <t>ORD00536</t>
  </si>
  <si>
    <t>ORD00537</t>
  </si>
  <si>
    <t>ORD00538</t>
  </si>
  <si>
    <t>ORD00539</t>
  </si>
  <si>
    <t>ORD00540</t>
  </si>
  <si>
    <t>C0800</t>
  </si>
  <si>
    <t>ORD00541</t>
  </si>
  <si>
    <t>C0628</t>
  </si>
  <si>
    <t>ORD00542</t>
  </si>
  <si>
    <t>C0779</t>
  </si>
  <si>
    <t>ORD00543</t>
  </si>
  <si>
    <t>ORD00544</t>
  </si>
  <si>
    <t>ORD00545</t>
  </si>
  <si>
    <t>ORD00546</t>
  </si>
  <si>
    <t>C0148</t>
  </si>
  <si>
    <t>ORD00547</t>
  </si>
  <si>
    <t>C0469</t>
  </si>
  <si>
    <t>ORD00548</t>
  </si>
  <si>
    <t>C0862</t>
  </si>
  <si>
    <t>ORD00549</t>
  </si>
  <si>
    <t>ORD00550</t>
  </si>
  <si>
    <t>C0053</t>
  </si>
  <si>
    <t>ORD00551</t>
  </si>
  <si>
    <t>C0706</t>
  </si>
  <si>
    <t>ORD00552</t>
  </si>
  <si>
    <t>C0508</t>
  </si>
  <si>
    <t>ORD00553</t>
  </si>
  <si>
    <t>ORD00554</t>
  </si>
  <si>
    <t>ORD00555</t>
  </si>
  <si>
    <t>C0462</t>
  </si>
  <si>
    <t>ORD00556</t>
  </si>
  <si>
    <t>C0032</t>
  </si>
  <si>
    <t>ORD00557</t>
  </si>
  <si>
    <t>C0140</t>
  </si>
  <si>
    <t>ORD00558</t>
  </si>
  <si>
    <t>C0540</t>
  </si>
  <si>
    <t>ORD00559</t>
  </si>
  <si>
    <t>ORD00560</t>
  </si>
  <si>
    <t>C0861</t>
  </si>
  <si>
    <t>ORD00561</t>
  </si>
  <si>
    <t>C0465</t>
  </si>
  <si>
    <t>ORD00562</t>
  </si>
  <si>
    <t>C0536</t>
  </si>
  <si>
    <t>ORD00563</t>
  </si>
  <si>
    <t>ORD00564</t>
  </si>
  <si>
    <t>ORD00565</t>
  </si>
  <si>
    <t>C0649</t>
  </si>
  <si>
    <t>ORD00566</t>
  </si>
  <si>
    <t>C0817</t>
  </si>
  <si>
    <t>ORD00567</t>
  </si>
  <si>
    <t>ORD00568</t>
  </si>
  <si>
    <t>C0451</t>
  </si>
  <si>
    <t>ORD00569</t>
  </si>
  <si>
    <t>C0213</t>
  </si>
  <si>
    <t>ORD00570</t>
  </si>
  <si>
    <t>ORD00571</t>
  </si>
  <si>
    <t>C0129</t>
  </si>
  <si>
    <t>ORD00572</t>
  </si>
  <si>
    <t>ORD00573</t>
  </si>
  <si>
    <t>C0785</t>
  </si>
  <si>
    <t>ORD00574</t>
  </si>
  <si>
    <t>C0886</t>
  </si>
  <si>
    <t>ORD00575</t>
  </si>
  <si>
    <t>ORD00576</t>
  </si>
  <si>
    <t>C0384</t>
  </si>
  <si>
    <t>ORD00577</t>
  </si>
  <si>
    <t>ORD00578</t>
  </si>
  <si>
    <t>C0544</t>
  </si>
  <si>
    <t>ORD00579</t>
  </si>
  <si>
    <t>C0749</t>
  </si>
  <si>
    <t>ORD00580</t>
  </si>
  <si>
    <t>C0391</t>
  </si>
  <si>
    <t>ORD00581</t>
  </si>
  <si>
    <t>C0095</t>
  </si>
  <si>
    <t>ORD00582</t>
  </si>
  <si>
    <t>ORD00583</t>
  </si>
  <si>
    <t>ORD00584</t>
  </si>
  <si>
    <t>ORD00585</t>
  </si>
  <si>
    <t>C0455</t>
  </si>
  <si>
    <t>ORD00586</t>
  </si>
  <si>
    <t>C0131</t>
  </si>
  <si>
    <t>ORD00587</t>
  </si>
  <si>
    <t>C0453</t>
  </si>
  <si>
    <t>ORD00588</t>
  </si>
  <si>
    <t>C0542</t>
  </si>
  <si>
    <t>ORD00589</t>
  </si>
  <si>
    <t>ORD00590</t>
  </si>
  <si>
    <t>C0556</t>
  </si>
  <si>
    <t>ORD00591</t>
  </si>
  <si>
    <t>ORD00592</t>
  </si>
  <si>
    <t>ORD00593</t>
  </si>
  <si>
    <t>C0011</t>
  </si>
  <si>
    <t>ORD00594</t>
  </si>
  <si>
    <t>ORD00595</t>
  </si>
  <si>
    <t>ORD00596</t>
  </si>
  <si>
    <t>ORD00597</t>
  </si>
  <si>
    <t>C0108</t>
  </si>
  <si>
    <t>ORD00598</t>
  </si>
  <si>
    <t>C0849</t>
  </si>
  <si>
    <t>ORD00599</t>
  </si>
  <si>
    <t>ORD00600</t>
  </si>
  <si>
    <t>C0765</t>
  </si>
  <si>
    <t>ORD00601</t>
  </si>
  <si>
    <t>ORD00602</t>
  </si>
  <si>
    <t>C0221</t>
  </si>
  <si>
    <t>ORD00603</t>
  </si>
  <si>
    <t>ORD00604</t>
  </si>
  <si>
    <t>ORD00605</t>
  </si>
  <si>
    <t>ORD00606</t>
  </si>
  <si>
    <t>ORD00607</t>
  </si>
  <si>
    <t>C0098</t>
  </si>
  <si>
    <t>ORD00608</t>
  </si>
  <si>
    <t>ORD00609</t>
  </si>
  <si>
    <t>C0866</t>
  </si>
  <si>
    <t>ORD00610</t>
  </si>
  <si>
    <t>C0312</t>
  </si>
  <si>
    <t>ORD00611</t>
  </si>
  <si>
    <t>ORD00612</t>
  </si>
  <si>
    <t>ORD00613</t>
  </si>
  <si>
    <t>C0607</t>
  </si>
  <si>
    <t>ORD00614</t>
  </si>
  <si>
    <t>ORD00615</t>
  </si>
  <si>
    <t>ORD00616</t>
  </si>
  <si>
    <t>C0245</t>
  </si>
  <si>
    <t>ORD00617</t>
  </si>
  <si>
    <t>ORD00618</t>
  </si>
  <si>
    <t>ORD00619</t>
  </si>
  <si>
    <t>C0019</t>
  </si>
  <si>
    <t>ORD00620</t>
  </si>
  <si>
    <t>C0169</t>
  </si>
  <si>
    <t>ORD00621</t>
  </si>
  <si>
    <t>C0624</t>
  </si>
  <si>
    <t>ORD00622</t>
  </si>
  <si>
    <t>ORD00623</t>
  </si>
  <si>
    <t>ORD00624</t>
  </si>
  <si>
    <t>ORD00625</t>
  </si>
  <si>
    <t>C0442</t>
  </si>
  <si>
    <t>ORD00626</t>
  </si>
  <si>
    <t>ORD00627</t>
  </si>
  <si>
    <t>ORD00628</t>
  </si>
  <si>
    <t>ORD00629</t>
  </si>
  <si>
    <t>C0850</t>
  </si>
  <si>
    <t>ORD00630</t>
  </si>
  <si>
    <t>C0823</t>
  </si>
  <si>
    <t>ORD00631</t>
  </si>
  <si>
    <t>ORD00632</t>
  </si>
  <si>
    <t>C0288</t>
  </si>
  <si>
    <t>ORD00633</t>
  </si>
  <si>
    <t>C0281</t>
  </si>
  <si>
    <t>ORD00634</t>
  </si>
  <si>
    <t>ORD00635</t>
  </si>
  <si>
    <t>ORD00636</t>
  </si>
  <si>
    <t>C0604</t>
  </si>
  <si>
    <t>ORD00637</t>
  </si>
  <si>
    <t>ORD00638</t>
  </si>
  <si>
    <t>ORD00639</t>
  </si>
  <si>
    <t>C0457</t>
  </si>
  <si>
    <t>ORD00640</t>
  </si>
  <si>
    <t>ORD00641</t>
  </si>
  <si>
    <t>ORD00642</t>
  </si>
  <si>
    <t>ORD00643</t>
  </si>
  <si>
    <t>C0573</t>
  </si>
  <si>
    <t>ORD00644</t>
  </si>
  <si>
    <t>ORD00645</t>
  </si>
  <si>
    <t>ORD00646</t>
  </si>
  <si>
    <t>ORD00647</t>
  </si>
  <si>
    <t>C0872</t>
  </si>
  <si>
    <t>ORD00648</t>
  </si>
  <si>
    <t>C0273</t>
  </si>
  <si>
    <t>ORD00649</t>
  </si>
  <si>
    <t>ORD00650</t>
  </si>
  <si>
    <t>ORD00651</t>
  </si>
  <si>
    <t>ORD00652</t>
  </si>
  <si>
    <t>ORD00653</t>
  </si>
  <si>
    <t>ORD00654</t>
  </si>
  <si>
    <t>C0703</t>
  </si>
  <si>
    <t>ORD00655</t>
  </si>
  <si>
    <t>ORD00656</t>
  </si>
  <si>
    <t>C0069</t>
  </si>
  <si>
    <t>ORD00657</t>
  </si>
  <si>
    <t>ORD00658</t>
  </si>
  <si>
    <t>C0190</t>
  </si>
  <si>
    <t>ORD00659</t>
  </si>
  <si>
    <t>ORD00660</t>
  </si>
  <si>
    <t>C0672</t>
  </si>
  <si>
    <t>ORD00661</t>
  </si>
  <si>
    <t>ORD00662</t>
  </si>
  <si>
    <t>ORD00663</t>
  </si>
  <si>
    <t>C0720</t>
  </si>
  <si>
    <t>ORD00664</t>
  </si>
  <si>
    <t>C0331</t>
  </si>
  <si>
    <t>ORD00665</t>
  </si>
  <si>
    <t>C0590</t>
  </si>
  <si>
    <t>ORD00666</t>
  </si>
  <si>
    <t>C0589</t>
  </si>
  <si>
    <t>ORD00667</t>
  </si>
  <si>
    <t>C0229</t>
  </si>
  <si>
    <t>ORD00668</t>
  </si>
  <si>
    <t>C0405</t>
  </si>
  <si>
    <t>ORD00669</t>
  </si>
  <si>
    <t>ORD00670</t>
  </si>
  <si>
    <t>ORD00671</t>
  </si>
  <si>
    <t>C0863</t>
  </si>
  <si>
    <t>ORD00672</t>
  </si>
  <si>
    <t>C0330</t>
  </si>
  <si>
    <t>ORD00673</t>
  </si>
  <si>
    <t>ORD00674</t>
  </si>
  <si>
    <t>C0599</t>
  </si>
  <si>
    <t>ORD00675</t>
  </si>
  <si>
    <t>C0663</t>
  </si>
  <si>
    <t>ORD00676</t>
  </si>
  <si>
    <t>C0316</t>
  </si>
  <si>
    <t>ORD00677</t>
  </si>
  <si>
    <t>C0309</t>
  </si>
  <si>
    <t>ORD00678</t>
  </si>
  <si>
    <t>C0670</t>
  </si>
  <si>
    <t>ORD00679</t>
  </si>
  <si>
    <t>C0041</t>
  </si>
  <si>
    <t>ORD00680</t>
  </si>
  <si>
    <t>ORD00681</t>
  </si>
  <si>
    <t>ORD00682</t>
  </si>
  <si>
    <t>ORD00683</t>
  </si>
  <si>
    <t>C0340</t>
  </si>
  <si>
    <t>ORD00684</t>
  </si>
  <si>
    <t>ORD00685</t>
  </si>
  <si>
    <t>ORD00686</t>
  </si>
  <si>
    <t>C0845</t>
  </si>
  <si>
    <t>ORD00687</t>
  </si>
  <si>
    <t>ORD00688</t>
  </si>
  <si>
    <t>ORD00689</t>
  </si>
  <si>
    <t>ORD00690</t>
  </si>
  <si>
    <t>ORD00691</t>
  </si>
  <si>
    <t>C0212</t>
  </si>
  <si>
    <t>ORD00692</t>
  </si>
  <si>
    <t>C0068</t>
  </si>
  <si>
    <t>ORD00693</t>
  </si>
  <si>
    <t>C0776</t>
  </si>
  <si>
    <t>ORD00694</t>
  </si>
  <si>
    <t>C0805</t>
  </si>
  <si>
    <t>ORD00695</t>
  </si>
  <si>
    <t>ORD00696</t>
  </si>
  <si>
    <t>C0521</t>
  </si>
  <si>
    <t>ORD00697</t>
  </si>
  <si>
    <t>C0178</t>
  </si>
  <si>
    <t>ORD00698</t>
  </si>
  <si>
    <t>ORD00699</t>
  </si>
  <si>
    <t>ORD00700</t>
  </si>
  <si>
    <t>C0687</t>
  </si>
  <si>
    <t>ORD00701</t>
  </si>
  <si>
    <t>ORD00702</t>
  </si>
  <si>
    <t>ORD00703</t>
  </si>
  <si>
    <t>ORD00704</t>
  </si>
  <si>
    <t>C0434</t>
  </si>
  <si>
    <t>ORD00705</t>
  </si>
  <si>
    <t>C0357</t>
  </si>
  <si>
    <t>ORD00706</t>
  </si>
  <si>
    <t>C0198</t>
  </si>
  <si>
    <t>ORD00707</t>
  </si>
  <si>
    <t>ORD00708</t>
  </si>
  <si>
    <t>ORD00709</t>
  </si>
  <si>
    <t>C0390</t>
  </si>
  <si>
    <t>ORD00710</t>
  </si>
  <si>
    <t>ORD00711</t>
  </si>
  <si>
    <t>C0007</t>
  </si>
  <si>
    <t>ORD00712</t>
  </si>
  <si>
    <t>ORD00713</t>
  </si>
  <si>
    <t>ORD00714</t>
  </si>
  <si>
    <t>ORD00715</t>
  </si>
  <si>
    <t>C0529</t>
  </si>
  <si>
    <t>ORD00716</t>
  </si>
  <si>
    <t>ORD00717</t>
  </si>
  <si>
    <t>ORD00718</t>
  </si>
  <si>
    <t>ORD00719</t>
  </si>
  <si>
    <t>C0119</t>
  </si>
  <si>
    <t>ORD00720</t>
  </si>
  <si>
    <t>ORD00721</t>
  </si>
  <si>
    <t>ORD00722</t>
  </si>
  <si>
    <t>ORD00723</t>
  </si>
  <si>
    <t>ORD00724</t>
  </si>
  <si>
    <t>ORD00725</t>
  </si>
  <si>
    <t>C0664</t>
  </si>
  <si>
    <t>ORD00726</t>
  </si>
  <si>
    <t>ORD00727</t>
  </si>
  <si>
    <t>C0073</t>
  </si>
  <si>
    <t>ORD00728</t>
  </si>
  <si>
    <t>ORD00729</t>
  </si>
  <si>
    <t>C0303</t>
  </si>
  <si>
    <t>ORD00730</t>
  </si>
  <si>
    <t>ORD00731</t>
  </si>
  <si>
    <t>ORD00732</t>
  </si>
  <si>
    <t>ORD00733</t>
  </si>
  <si>
    <t>C0820</t>
  </si>
  <si>
    <t>ORD00734</t>
  </si>
  <si>
    <t>ORD00735</t>
  </si>
  <si>
    <t>ORD00736</t>
  </si>
  <si>
    <t>C0782</t>
  </si>
  <si>
    <t>ORD00737</t>
  </si>
  <si>
    <t>ORD00738</t>
  </si>
  <si>
    <t>C0383</t>
  </si>
  <si>
    <t>ORD00739</t>
  </si>
  <si>
    <t>ORD00740</t>
  </si>
  <si>
    <t>ORD00741</t>
  </si>
  <si>
    <t>ORD00742</t>
  </si>
  <si>
    <t>C0099</t>
  </si>
  <si>
    <t>ORD00743</t>
  </si>
  <si>
    <t>C0695</t>
  </si>
  <si>
    <t>ORD00744</t>
  </si>
  <si>
    <t>ORD00745</t>
  </si>
  <si>
    <t>C0298</t>
  </si>
  <si>
    <t>ORD00746</t>
  </si>
  <si>
    <t>ORD00747</t>
  </si>
  <si>
    <t>C0203</t>
  </si>
  <si>
    <t>ORD00748</t>
  </si>
  <si>
    <t>ORD00749</t>
  </si>
  <si>
    <t>ORD00750</t>
  </si>
  <si>
    <t>ORD00751</t>
  </si>
  <si>
    <t>ORD00752</t>
  </si>
  <si>
    <t>C0393</t>
  </si>
  <si>
    <t>ORD00753</t>
  </si>
  <si>
    <t>ORD00754</t>
  </si>
  <si>
    <t>C0701</t>
  </si>
  <si>
    <t>ORD00755</t>
  </si>
  <si>
    <t>ORD00756</t>
  </si>
  <si>
    <t>ORD00757</t>
  </si>
  <si>
    <t>ORD00758</t>
  </si>
  <si>
    <t>ORD00759</t>
  </si>
  <si>
    <t>C0370</t>
  </si>
  <si>
    <t>ORD00760</t>
  </si>
  <si>
    <t>C0492</t>
  </si>
  <si>
    <t>ORD00761</t>
  </si>
  <si>
    <t>ORD00762</t>
  </si>
  <si>
    <t>ORD00763</t>
  </si>
  <si>
    <t>ORD00764</t>
  </si>
  <si>
    <t>C0122</t>
  </si>
  <si>
    <t>ORD00765</t>
  </si>
  <si>
    <t>ORD00766</t>
  </si>
  <si>
    <t>ORD00767</t>
  </si>
  <si>
    <t>ORD00768</t>
  </si>
  <si>
    <t>ORD00769</t>
  </si>
  <si>
    <t>C0881</t>
  </si>
  <si>
    <t>ORD00770</t>
  </si>
  <si>
    <t>ORD00771</t>
  </si>
  <si>
    <t>ORD00772</t>
  </si>
  <si>
    <t>C0185</t>
  </si>
  <si>
    <t>ORD00773</t>
  </si>
  <si>
    <t>C0196</t>
  </si>
  <si>
    <t>ORD00774</t>
  </si>
  <si>
    <t>C0354</t>
  </si>
  <si>
    <t>ORD00775</t>
  </si>
  <si>
    <t>C0564</t>
  </si>
  <si>
    <t>ORD00776</t>
  </si>
  <si>
    <t>C0268</t>
  </si>
  <si>
    <t>ORD00777</t>
  </si>
  <si>
    <t>ORD00778</t>
  </si>
  <si>
    <t>ORD00779</t>
  </si>
  <si>
    <t>ORD00780</t>
  </si>
  <si>
    <t>C0736</t>
  </si>
  <si>
    <t>ORD00781</t>
  </si>
  <si>
    <t>C0058</t>
  </si>
  <si>
    <t>ORD00782</t>
  </si>
  <si>
    <t>C0094</t>
  </si>
  <si>
    <t>ORD00783</t>
  </si>
  <si>
    <t>C0625</t>
  </si>
  <si>
    <t>ORD00784</t>
  </si>
  <si>
    <t>C0759</t>
  </si>
  <si>
    <t>ORD00785</t>
  </si>
  <si>
    <t>ORD00786</t>
  </si>
  <si>
    <t>C0386</t>
  </si>
  <si>
    <t>ORD00787</t>
  </si>
  <si>
    <t>ORD00788</t>
  </si>
  <si>
    <t>C0183</t>
  </si>
  <si>
    <t>ORD00789</t>
  </si>
  <si>
    <t>ORD00790</t>
  </si>
  <si>
    <t>C0614</t>
  </si>
  <si>
    <t>ORD00791</t>
  </si>
  <si>
    <t>ORD00792</t>
  </si>
  <si>
    <t>ORD00793</t>
  </si>
  <si>
    <t>ORD00794</t>
  </si>
  <si>
    <t>C0403</t>
  </si>
  <si>
    <t>ORD00795</t>
  </si>
  <si>
    <t>ORD00796</t>
  </si>
  <si>
    <t>ORD00797</t>
  </si>
  <si>
    <t>C0474</t>
  </si>
  <si>
    <t>ORD00798</t>
  </si>
  <si>
    <t>C0208</t>
  </si>
  <si>
    <t>ORD00799</t>
  </si>
  <si>
    <t>C0021</t>
  </si>
  <si>
    <t>ORD00800</t>
  </si>
  <si>
    <t>ORD00801</t>
  </si>
  <si>
    <t>ORD00802</t>
  </si>
  <si>
    <t>ORD00803</t>
  </si>
  <si>
    <t>C0282</t>
  </si>
  <si>
    <t>ORD00804</t>
  </si>
  <si>
    <t>ORD00805</t>
  </si>
  <si>
    <t>ORD00806</t>
  </si>
  <si>
    <t>C0111</t>
  </si>
  <si>
    <t>ORD00807</t>
  </si>
  <si>
    <t>ORD00808</t>
  </si>
  <si>
    <t>C0887</t>
  </si>
  <si>
    <t>ORD00809</t>
  </si>
  <si>
    <t>ORD00810</t>
  </si>
  <si>
    <t>ORD00811</t>
  </si>
  <si>
    <t>ORD00812</t>
  </si>
  <si>
    <t>C0104</t>
  </si>
  <si>
    <t>ORD00813</t>
  </si>
  <si>
    <t>ORD00814</t>
  </si>
  <si>
    <t>C0646</t>
  </si>
  <si>
    <t>ORD00815</t>
  </si>
  <si>
    <t>ORD00816</t>
  </si>
  <si>
    <t>ORD00817</t>
  </si>
  <si>
    <t>ORD00818</t>
  </si>
  <si>
    <t>ORD00819</t>
  </si>
  <si>
    <t>ORD00820</t>
  </si>
  <si>
    <t>ORD00821</t>
  </si>
  <si>
    <t>C0260</t>
  </si>
  <si>
    <t>ORD00822</t>
  </si>
  <si>
    <t>C0760</t>
  </si>
  <si>
    <t>ORD00823</t>
  </si>
  <si>
    <t>ORD00824</t>
  </si>
  <si>
    <t>C0093</t>
  </si>
  <si>
    <t>ORD00825</t>
  </si>
  <si>
    <t>ORD00826</t>
  </si>
  <si>
    <t>ORD00827</t>
  </si>
  <si>
    <t>ORD00828</t>
  </si>
  <si>
    <t>ORD00829</t>
  </si>
  <si>
    <t>ORD00830</t>
  </si>
  <si>
    <t>C0758</t>
  </si>
  <si>
    <t>ORD00831</t>
  </si>
  <si>
    <t>C0149</t>
  </si>
  <si>
    <t>ORD00832</t>
  </si>
  <si>
    <t>C0323</t>
  </si>
  <si>
    <t>ORD00833</t>
  </si>
  <si>
    <t>ORD00834</t>
  </si>
  <si>
    <t>ORD00835</t>
  </si>
  <si>
    <t>C0421</t>
  </si>
  <si>
    <t>ORD00836</t>
  </si>
  <si>
    <t>C0826</t>
  </si>
  <si>
    <t>ORD00837</t>
  </si>
  <si>
    <t>ORD00838</t>
  </si>
  <si>
    <t>C0184</t>
  </si>
  <si>
    <t>ORD00839</t>
  </si>
  <si>
    <t>C0200</t>
  </si>
  <si>
    <t>ORD00840</t>
  </si>
  <si>
    <t>ORD00841</t>
  </si>
  <si>
    <t>C0822</t>
  </si>
  <si>
    <t>ORD00842</t>
  </si>
  <si>
    <t>C0638</t>
  </si>
  <si>
    <t>ORD00843</t>
  </si>
  <si>
    <t>ORD00844</t>
  </si>
  <si>
    <t>C0078</t>
  </si>
  <si>
    <t>ORD00845</t>
  </si>
  <si>
    <t>ORD00846</t>
  </si>
  <si>
    <t>ORD00847</t>
  </si>
  <si>
    <t>C0060</t>
  </si>
  <si>
    <t>ORD00848</t>
  </si>
  <si>
    <t>ORD00849</t>
  </si>
  <si>
    <t>C0382</t>
  </si>
  <si>
    <t>ORD00850</t>
  </si>
  <si>
    <t>ORD00851</t>
  </si>
  <si>
    <t>ORD00852</t>
  </si>
  <si>
    <t>C0615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</si>
  <si>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</si>
  <si>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</si>
  <si>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</si>
  <si>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</si>
  <si>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</si>
  <si>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</si>
  <si>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</si>
  <si>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</si>
  <si>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C0791</t>
  </si>
  <si>
    <t>ORD00861</t>
  </si>
  <si>
    <t>ORD00862</t>
  </si>
  <si>
    <t>ORD00863</t>
  </si>
  <si>
    <t>ORD00864</t>
  </si>
  <si>
    <t>ORD00865</t>
  </si>
  <si>
    <t>C0568</t>
  </si>
  <si>
    <t>ORD00866</t>
  </si>
  <si>
    <t>C0835</t>
  </si>
  <si>
    <t>ORD00867</t>
  </si>
  <si>
    <t>C0197</t>
  </si>
  <si>
    <t>ORD00868</t>
  </si>
  <si>
    <t>ORD00869</t>
  </si>
  <si>
    <t>C0436</t>
  </si>
  <si>
    <t>ORD00870</t>
  </si>
  <si>
    <t>ORD00871</t>
  </si>
  <si>
    <t>ORD00872</t>
  </si>
  <si>
    <t>C0406</t>
  </si>
  <si>
    <t>ORD00873</t>
  </si>
  <si>
    <t>C0102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</si>
  <si>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</si>
  <si>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</si>
  <si>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</si>
  <si>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</si>
  <si>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</si>
  <si>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</si>
  <si>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</si>
  <si>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</si>
  <si>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C0648</t>
  </si>
  <si>
    <t>ORD00882</t>
  </si>
  <si>
    <t>ORD00883</t>
  </si>
  <si>
    <t>ORD00884</t>
  </si>
  <si>
    <t>C0755</t>
  </si>
  <si>
    <t>ORD00885</t>
  </si>
  <si>
    <t>ORD00886</t>
  </si>
  <si>
    <t>ORD00887</t>
  </si>
  <si>
    <t>ORD00888</t>
  </si>
  <si>
    <t>ORD00889</t>
  </si>
  <si>
    <t>ORD00890</t>
  </si>
  <si>
    <t>ORD00891</t>
  </si>
  <si>
    <t>C0477</t>
  </si>
  <si>
    <t>ORD00892</t>
  </si>
  <si>
    <t>C0130</t>
  </si>
  <si>
    <t>ORD00893</t>
  </si>
  <si>
    <t>ORD00894</t>
  </si>
  <si>
    <t>C0005</t>
  </si>
  <si>
    <t>ORD00895</t>
  </si>
  <si>
    <t>ORD00896</t>
  </si>
  <si>
    <t>ORD00897</t>
  </si>
  <si>
    <t>C0591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</si>
  <si>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</si>
  <si>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</si>
  <si>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</si>
  <si>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</si>
  <si>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</si>
  <si>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</si>
  <si>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</si>
  <si>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</si>
  <si>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</si>
  <si>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</si>
  <si>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</si>
  <si>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</si>
  <si>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</si>
  <si>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C0445</t>
  </si>
  <si>
    <t>ORD00911</t>
  </si>
  <si>
    <t>C0503</t>
  </si>
  <si>
    <t>ORD00912</t>
  </si>
  <si>
    <t>ORD00913</t>
  </si>
  <si>
    <t>C0471</t>
  </si>
  <si>
    <t>ORD00914</t>
  </si>
  <si>
    <t>ORD00915</t>
  </si>
  <si>
    <t>C0652</t>
  </si>
  <si>
    <t>ORD00916</t>
  </si>
  <si>
    <t>C0109</t>
  </si>
  <si>
    <t>ORD00917</t>
  </si>
  <si>
    <t>ORD00918</t>
  </si>
  <si>
    <t>ORD00919</t>
  </si>
  <si>
    <t>C0472</t>
  </si>
  <si>
    <t>ORD00920</t>
  </si>
  <si>
    <t>C0713</t>
  </si>
  <si>
    <t>ORD00921</t>
  </si>
  <si>
    <t>ORD00922</t>
  </si>
  <si>
    <t>ORD00923</t>
  </si>
  <si>
    <t>C0864</t>
  </si>
  <si>
    <t>ORD00924</t>
  </si>
  <si>
    <t>C0450</t>
  </si>
  <si>
    <t>ORD00925</t>
  </si>
  <si>
    <t>ORD00926</t>
  </si>
  <si>
    <t>ORD00927</t>
  </si>
  <si>
    <t>ORD00928</t>
  </si>
  <si>
    <t>ORD00929</t>
  </si>
  <si>
    <t>C0478</t>
  </si>
  <si>
    <t>ORD00930</t>
  </si>
  <si>
    <t>C0263</t>
  </si>
  <si>
    <t>ORD00931</t>
  </si>
  <si>
    <t>ORD00932</t>
  </si>
  <si>
    <t>ORD00933</t>
  </si>
  <si>
    <t>ORD00934</t>
  </si>
  <si>
    <t>C0494</t>
  </si>
  <si>
    <t>ORD00935</t>
  </si>
  <si>
    <t>C0269</t>
  </si>
  <si>
    <t>ORD00936</t>
  </si>
  <si>
    <t>ORD00937</t>
  </si>
  <si>
    <t>ORD00938</t>
  </si>
  <si>
    <t>ORD00939</t>
  </si>
  <si>
    <t>ORD00940</t>
  </si>
  <si>
    <t>ORD00941</t>
  </si>
  <si>
    <t>ORD00942</t>
  </si>
  <si>
    <t>C0726</t>
  </si>
  <si>
    <t>ORD00943</t>
  </si>
  <si>
    <t>ORD00944</t>
  </si>
  <si>
    <t>ORD00945</t>
  </si>
  <si>
    <t>ORD00946</t>
  </si>
  <si>
    <t>ORD00947</t>
  </si>
  <si>
    <t>ORD00948</t>
  </si>
  <si>
    <t>ORD00949</t>
  </si>
  <si>
    <t>C0126</t>
  </si>
  <si>
    <t>ORD00950</t>
  </si>
  <si>
    <t>C0319</t>
  </si>
  <si>
    <t>ORD00951</t>
  </si>
  <si>
    <t>C0052</t>
  </si>
  <si>
    <t>ORD00952</t>
  </si>
  <si>
    <t>ORD00953</t>
  </si>
  <si>
    <t>ORD00954</t>
  </si>
  <si>
    <t>C0751</t>
  </si>
  <si>
    <t>ORD00955</t>
  </si>
  <si>
    <t>ORD00956</t>
  </si>
  <si>
    <t>ORD00957</t>
  </si>
  <si>
    <t>C0398</t>
  </si>
  <si>
    <t>ORD00958</t>
  </si>
  <si>
    <t>C0491</t>
  </si>
  <si>
    <t>ORD00959</t>
  </si>
  <si>
    <t>ORD00960</t>
  </si>
  <si>
    <t>ORD00961</t>
  </si>
  <si>
    <t>C0294</t>
  </si>
  <si>
    <t>ORD00962</t>
  </si>
  <si>
    <t>ORD00963</t>
  </si>
  <si>
    <t>C0139</t>
  </si>
  <si>
    <t>ORD00964</t>
  </si>
  <si>
    <t>ORD00965</t>
  </si>
  <si>
    <t>C0394</t>
  </si>
  <si>
    <t>ORD00966</t>
  </si>
  <si>
    <t>ORD00967</t>
  </si>
  <si>
    <t>ORD00968</t>
  </si>
  <si>
    <t>ORD00969</t>
  </si>
  <si>
    <t>ORD00970</t>
  </si>
  <si>
    <t>ORD00971</t>
  </si>
  <si>
    <t>C0120</t>
  </si>
  <si>
    <t>ORD00972</t>
  </si>
  <si>
    <t>C0790</t>
  </si>
  <si>
    <t>ORD00973</t>
  </si>
  <si>
    <t>ORD00974</t>
  </si>
  <si>
    <t>C0136</t>
  </si>
  <si>
    <t>ORD00975</t>
  </si>
  <si>
    <t>C0753</t>
  </si>
  <si>
    <t>ORD00976</t>
  </si>
  <si>
    <t>ORD00977</t>
  </si>
  <si>
    <t>C0828</t>
  </si>
  <si>
    <t>ORD00978</t>
  </si>
  <si>
    <t>C0815</t>
  </si>
  <si>
    <t>ORD00979</t>
  </si>
  <si>
    <t>ORD00980</t>
  </si>
  <si>
    <t>ORD00981</t>
  </si>
  <si>
    <t>ORD00982</t>
  </si>
  <si>
    <t>ORD00983</t>
  </si>
  <si>
    <t>C0475</t>
  </si>
  <si>
    <t>ORD00984</t>
  </si>
  <si>
    <t>ORD00985</t>
  </si>
  <si>
    <t>ORD00986</t>
  </si>
  <si>
    <t>ORD00987</t>
  </si>
  <si>
    <t>C0425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</si>
  <si>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</si>
  <si>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</si>
  <si>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</si>
  <si>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</si>
  <si>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</si>
  <si>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</si>
  <si>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</si>
  <si>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</si>
  <si>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</si>
  <si>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</si>
  <si>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</si>
  <si>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C0467</t>
  </si>
  <si>
    <t>ORD00999</t>
  </si>
  <si>
    <t>C0463</t>
  </si>
  <si>
    <t>ORD01000</t>
  </si>
  <si>
    <t>C0532</t>
  </si>
  <si>
    <t>ORD01001</t>
  </si>
  <si>
    <t>C0741</t>
  </si>
  <si>
    <t>ORD01002</t>
  </si>
  <si>
    <t>ORD01003</t>
  </si>
  <si>
    <t>ORD01004</t>
  </si>
  <si>
    <t>C0038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</si>
  <si>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</si>
  <si>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</si>
  <si>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</si>
  <si>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</si>
  <si>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</si>
  <si>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</si>
  <si>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</si>
  <si>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</si>
  <si>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</si>
  <si>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C0678</t>
  </si>
  <si>
    <t>ORD01014</t>
  </si>
  <si>
    <t>ORD01015</t>
  </si>
  <si>
    <t>C0300</t>
  </si>
  <si>
    <t>ORD01016</t>
  </si>
  <si>
    <t>ORD01017</t>
  </si>
  <si>
    <t>ORD01018</t>
  </si>
  <si>
    <t>C0413</t>
  </si>
  <si>
    <t>ORD01019</t>
  </si>
  <si>
    <t>C0419</t>
  </si>
  <si>
    <t>ORD01020</t>
  </si>
  <si>
    <t>C0554</t>
  </si>
  <si>
    <t>ORD01021</t>
  </si>
  <si>
    <t>ORD01022</t>
  </si>
  <si>
    <t>ORD01023</t>
  </si>
  <si>
    <t>ORD01024</t>
  </si>
  <si>
    <t>ORD01025</t>
  </si>
  <si>
    <t>ORD01026</t>
  </si>
  <si>
    <t>C0658</t>
  </si>
  <si>
    <t>ORD01027</t>
  </si>
  <si>
    <t>ORD01028</t>
  </si>
  <si>
    <t>C0337</t>
  </si>
  <si>
    <t>ORD01029</t>
  </si>
  <si>
    <t>ORD01030</t>
  </si>
  <si>
    <t>C0244</t>
  </si>
  <si>
    <t>ORD01031</t>
  </si>
  <si>
    <t>C0167</t>
  </si>
  <si>
    <t>ORD01032</t>
  </si>
  <si>
    <t>ORD01033</t>
  </si>
  <si>
    <t>C0818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</si>
  <si>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</si>
  <si>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</si>
  <si>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</si>
  <si>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</si>
  <si>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</si>
  <si>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</si>
  <si>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</si>
  <si>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</si>
  <si>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C0784</t>
  </si>
  <si>
    <t>ORD01042</t>
  </si>
  <si>
    <t>ORD01043</t>
  </si>
  <si>
    <t>C0188</t>
  </si>
  <si>
    <t>ORD01044</t>
  </si>
  <si>
    <t>C0429</t>
  </si>
  <si>
    <t>ORD01045</t>
  </si>
  <si>
    <t>ORD01046</t>
  </si>
  <si>
    <t>C0679</t>
  </si>
  <si>
    <t>ORD01047</t>
  </si>
  <si>
    <t>ORD01048</t>
  </si>
  <si>
    <t>ORD01049</t>
  </si>
  <si>
    <t>C0017</t>
  </si>
  <si>
    <t>ORD01050</t>
  </si>
  <si>
    <t>ORD01051</t>
  </si>
  <si>
    <t>C0112</t>
  </si>
  <si>
    <t>ORD01052</t>
  </si>
  <si>
    <t>ORD01053</t>
  </si>
  <si>
    <t>ORD01054</t>
  </si>
  <si>
    <t>C0473</t>
  </si>
  <si>
    <t>ORD01055</t>
  </si>
  <si>
    <t>ORD01056</t>
  </si>
  <si>
    <t>ORD01057</t>
  </si>
  <si>
    <t>ORD01058</t>
  </si>
  <si>
    <t>C0889</t>
  </si>
  <si>
    <t>ORD01059</t>
  </si>
  <si>
    <t>ORD01060</t>
  </si>
  <si>
    <t>ORD01061</t>
  </si>
  <si>
    <t>ORD01062</t>
  </si>
  <si>
    <t>ORD01063</t>
  </si>
  <si>
    <t>ORD01064</t>
  </si>
  <si>
    <t>ORD01065</t>
  </si>
  <si>
    <t>C0101</t>
  </si>
  <si>
    <t>ORD01066</t>
  </si>
  <si>
    <t>C0284</t>
  </si>
  <si>
    <t>ORD01067</t>
  </si>
  <si>
    <t>C0595</t>
  </si>
  <si>
    <t>ORD01068</t>
  </si>
  <si>
    <t>ORD01069</t>
  </si>
  <si>
    <t>C0361</t>
  </si>
  <si>
    <t>ORD01070</t>
  </si>
  <si>
    <t>C0501</t>
  </si>
  <si>
    <t>ORD01071</t>
  </si>
  <si>
    <t>C0891</t>
  </si>
  <si>
    <t>ORD01072</t>
  </si>
  <si>
    <t>C0700</t>
  </si>
  <si>
    <t>ORD01073</t>
  </si>
  <si>
    <t>ORD01074</t>
  </si>
  <si>
    <t>ORD01075</t>
  </si>
  <si>
    <t>ORD01076</t>
  </si>
  <si>
    <t>ORD01077</t>
  </si>
  <si>
    <t>C0295</t>
  </si>
  <si>
    <t>ORD01078</t>
  </si>
  <si>
    <t>C0512</t>
  </si>
  <si>
    <t>ORD01079</t>
  </si>
  <si>
    <t>ORD01080</t>
  </si>
  <si>
    <t>ORD01081</t>
  </si>
  <si>
    <t>ORD01082</t>
  </si>
  <si>
    <t>ORD01083</t>
  </si>
  <si>
    <t>ORD01084</t>
  </si>
  <si>
    <t>ORD01085</t>
  </si>
  <si>
    <t>C0239</t>
  </si>
  <si>
    <t>ORD01086</t>
  </si>
  <si>
    <t>ORD01087</t>
  </si>
  <si>
    <t>ORD01088</t>
  </si>
  <si>
    <t>ORD01089</t>
  </si>
  <si>
    <t>ORD01090</t>
  </si>
  <si>
    <t>C0395</t>
  </si>
  <si>
    <t>ORD01091</t>
  </si>
  <si>
    <t>ORD01092</t>
  </si>
  <si>
    <t>ORD01093</t>
  </si>
  <si>
    <t>ORD01094</t>
  </si>
  <si>
    <t>C0227</t>
  </si>
  <si>
    <t>ORD01095</t>
  </si>
  <si>
    <t>C0346</t>
  </si>
  <si>
    <t>ORD01096</t>
  </si>
  <si>
    <t>ORD01097</t>
  </si>
  <si>
    <t>ORD01098</t>
  </si>
  <si>
    <t>ORD01099</t>
  </si>
  <si>
    <t>C0181</t>
  </si>
  <si>
    <t>ORD01100</t>
  </si>
  <si>
    <t>C0622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</si>
  <si>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</si>
  <si>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</si>
  <si>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</si>
  <si>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</si>
  <si>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</si>
  <si>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</si>
  <si>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</si>
  <si>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</si>
  <si>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</si>
  <si>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</si>
  <si>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</si>
  <si>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C0220</t>
  </si>
  <si>
    <t>ORD01112</t>
  </si>
  <si>
    <t>ORD01113</t>
  </si>
  <si>
    <t>ORD01114</t>
  </si>
  <si>
    <t>ORD01115</t>
  </si>
  <si>
    <t>ORD01116</t>
  </si>
  <si>
    <t>ORD01117</t>
  </si>
  <si>
    <t>ORD01118</t>
  </si>
  <si>
    <t>C0440</t>
  </si>
  <si>
    <t>ORD01119</t>
  </si>
  <si>
    <t>C0769</t>
  </si>
  <si>
    <t>ORD01120</t>
  </si>
  <si>
    <t>ORD01121</t>
  </si>
  <si>
    <t>ORD01122</t>
  </si>
  <si>
    <t>C0530</t>
  </si>
  <si>
    <t>ORD01123</t>
  </si>
  <si>
    <t>ORD01124</t>
  </si>
  <si>
    <t>ORD01125</t>
  </si>
  <si>
    <t>C0684</t>
  </si>
  <si>
    <t>ORD01126</t>
  </si>
  <si>
    <t>ORD01127</t>
  </si>
  <si>
    <t>ORD01128</t>
  </si>
  <si>
    <t>ORD01129</t>
  </si>
  <si>
    <t>C0033</t>
  </si>
  <si>
    <t>ORD01130</t>
  </si>
  <si>
    <t>ORD01131</t>
  </si>
  <si>
    <t>C0314</t>
  </si>
  <si>
    <t>ORD01132</t>
  </si>
  <si>
    <t>ORD01133</t>
  </si>
  <si>
    <t>C0561</t>
  </si>
  <si>
    <t>ORD01134</t>
  </si>
  <si>
    <t>C0567</t>
  </si>
  <si>
    <t>ORD01135</t>
  </si>
  <si>
    <t>ORD01136</t>
  </si>
  <si>
    <t>ORD01137</t>
  </si>
  <si>
    <t>C0100</t>
  </si>
  <si>
    <t>ORD01138</t>
  </si>
  <si>
    <t>ORD01139</t>
  </si>
  <si>
    <t>ORD01140</t>
  </si>
  <si>
    <t>ORD01141</t>
  </si>
  <si>
    <t>ORD01142</t>
  </si>
  <si>
    <t>ORD01143</t>
  </si>
  <si>
    <t>C0867</t>
  </si>
  <si>
    <t>ORD01144</t>
  </si>
  <si>
    <t>ORD01145</t>
  </si>
  <si>
    <t>ORD01146</t>
  </si>
  <si>
    <t>ORD01147</t>
  </si>
  <si>
    <t>ORD01148</t>
  </si>
  <si>
    <t>ORD01149</t>
  </si>
  <si>
    <t>ORD01150</t>
  </si>
  <si>
    <t>C0712</t>
  </si>
  <si>
    <t>ORD01151</t>
  </si>
  <si>
    <t>C0499</t>
  </si>
  <si>
    <t>ORD01152</t>
  </si>
  <si>
    <t>C0326</t>
  </si>
  <si>
    <t>ORD01153</t>
  </si>
  <si>
    <t>ORD01154</t>
  </si>
  <si>
    <t>ORD01155</t>
  </si>
  <si>
    <t>C0505</t>
  </si>
  <si>
    <t>ORD01156</t>
  </si>
  <si>
    <t>ORD01157</t>
  </si>
  <si>
    <t>C0898</t>
  </si>
  <si>
    <t>ORD01158</t>
  </si>
  <si>
    <t>C0576</t>
  </si>
  <si>
    <t>ORD01159</t>
  </si>
  <si>
    <t>ORD01160</t>
  </si>
  <si>
    <t>ORD01161</t>
  </si>
  <si>
    <t>C0418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</si>
  <si>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</si>
  <si>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</si>
  <si>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</si>
  <si>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</si>
  <si>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</si>
  <si>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</si>
  <si>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</si>
  <si>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</si>
  <si>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</si>
  <si>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</si>
  <si>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C0359</t>
  </si>
  <si>
    <t>ORD01172</t>
  </si>
  <si>
    <t>ORD01173</t>
  </si>
  <si>
    <t>ORD01174</t>
  </si>
  <si>
    <t>C0088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</si>
  <si>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</si>
  <si>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</si>
  <si>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</si>
  <si>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</si>
  <si>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</si>
  <si>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</si>
  <si>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</si>
  <si>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</si>
  <si>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</si>
  <si>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C0280</t>
  </si>
  <si>
    <t>ORD01184</t>
  </si>
  <si>
    <t>ORD01185</t>
  </si>
  <si>
    <t>ORD01186</t>
  </si>
  <si>
    <t>C0252</t>
  </si>
  <si>
    <t>ORD01187</t>
  </si>
  <si>
    <t>ORD01188</t>
  </si>
  <si>
    <t>ORD01189</t>
  </si>
  <si>
    <t>ORD01190</t>
  </si>
  <si>
    <t>C0460</t>
  </si>
  <si>
    <t>ORD01191</t>
  </si>
  <si>
    <t>ORD01192</t>
  </si>
  <si>
    <t>ORD01193</t>
  </si>
  <si>
    <t>ORD01194</t>
  </si>
  <si>
    <t>C0400</t>
  </si>
  <si>
    <t>ORD01195</t>
  </si>
  <si>
    <t>ORD01196</t>
  </si>
  <si>
    <t>ORD01197</t>
  </si>
  <si>
    <t>C0373</t>
  </si>
  <si>
    <t>ORD01198</t>
  </si>
  <si>
    <t>C0461</t>
  </si>
  <si>
    <t>ORD01199</t>
  </si>
  <si>
    <t>ORD01200</t>
  </si>
  <si>
    <t>ORD01201</t>
  </si>
  <si>
    <t>ORD01202</t>
  </si>
  <si>
    <t>ORD01203</t>
  </si>
  <si>
    <t>C0006</t>
  </si>
  <si>
    <t>ORD01204</t>
  </si>
  <si>
    <t>C0816</t>
  </si>
  <si>
    <t>ORD01205</t>
  </si>
  <si>
    <t>ORD01206</t>
  </si>
  <si>
    <t>ORD01207</t>
  </si>
  <si>
    <t>C0222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</si>
  <si>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</si>
  <si>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</si>
  <si>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</si>
  <si>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</si>
  <si>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</si>
  <si>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</si>
  <si>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</si>
  <si>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</si>
  <si>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</si>
  <si>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</si>
  <si>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</si>
  <si>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</si>
  <si>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C0270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</si>
  <si>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</si>
  <si>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</si>
  <si>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</si>
  <si>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</si>
  <si>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</si>
  <si>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</si>
  <si>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</si>
  <si>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</si>
  <si>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</si>
  <si>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</si>
  <si>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</si>
  <si>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C0729</t>
  </si>
  <si>
    <t>ORD01231</t>
  </si>
  <si>
    <t>ORD01232</t>
  </si>
  <si>
    <t>ORD01233</t>
  </si>
  <si>
    <t>ORD01234</t>
  </si>
  <si>
    <t>C0173</t>
  </si>
  <si>
    <t>ORD01235</t>
  </si>
  <si>
    <t>C0028</t>
  </si>
  <si>
    <t>ORD01236</t>
  </si>
  <si>
    <t>ORD01237</t>
  </si>
  <si>
    <t>ORD01238</t>
  </si>
  <si>
    <t>C0431</t>
  </si>
  <si>
    <t>ORD01239</t>
  </si>
  <si>
    <t>ORD01240</t>
  </si>
  <si>
    <t>C0571</t>
  </si>
  <si>
    <t>ORD01241</t>
  </si>
  <si>
    <t>ORD01242</t>
  </si>
  <si>
    <t>ORD01243</t>
  </si>
  <si>
    <t>ORD01244</t>
  </si>
  <si>
    <t>ORD01245</t>
  </si>
  <si>
    <t>ORD01246</t>
  </si>
  <si>
    <t>C0293</t>
  </si>
  <si>
    <t>ORD01247</t>
  </si>
  <si>
    <t>ORD01248</t>
  </si>
  <si>
    <t>ORD01249</t>
  </si>
  <si>
    <t>ORD01250</t>
  </si>
  <si>
    <t>ORD01251</t>
  </si>
  <si>
    <t>C0747</t>
  </si>
  <si>
    <t>ORD01252</t>
  </si>
  <si>
    <t>ORD01253</t>
  </si>
  <si>
    <t>C0843</t>
  </si>
  <si>
    <t>ORD01254</t>
  </si>
  <si>
    <t>ORD01255</t>
  </si>
  <si>
    <t>ORD01256</t>
  </si>
  <si>
    <t>ORD01257</t>
  </si>
  <si>
    <t>ORD01258</t>
  </si>
  <si>
    <t>ORD01259</t>
  </si>
  <si>
    <t>ORD01260</t>
  </si>
  <si>
    <t>C0627</t>
  </si>
  <si>
    <t>ORD01261</t>
  </si>
  <si>
    <t>ORD01262</t>
  </si>
  <si>
    <t>ORD01263</t>
  </si>
  <si>
    <t>ORD01264</t>
  </si>
  <si>
    <t>ORD01265</t>
  </si>
  <si>
    <t>ORD01266</t>
  </si>
  <si>
    <t>C0206</t>
  </si>
  <si>
    <t>ORD01267</t>
  </si>
  <si>
    <t>ORD01268</t>
  </si>
  <si>
    <t>C0449</t>
  </si>
  <si>
    <t>ORD01269</t>
  </si>
  <si>
    <t>ORD01270</t>
  </si>
  <si>
    <t>C0900</t>
  </si>
  <si>
    <t>ORD01271</t>
  </si>
  <si>
    <t>C0510</t>
  </si>
  <si>
    <t>ORD01272</t>
  </si>
  <si>
    <t>C0783</t>
  </si>
  <si>
    <t>ORD01273</t>
  </si>
  <si>
    <t>C0025</t>
  </si>
  <si>
    <t>ORD01274</t>
  </si>
  <si>
    <t>ORD01275</t>
  </si>
  <si>
    <t>ORD01276</t>
  </si>
  <si>
    <t>C0103</t>
  </si>
  <si>
    <t>ORD01277</t>
  </si>
  <si>
    <t>ORD01278</t>
  </si>
  <si>
    <t>ORD01279</t>
  </si>
  <si>
    <t>C0297</t>
  </si>
  <si>
    <t>ORD01280</t>
  </si>
  <si>
    <t>ORD01281</t>
  </si>
  <si>
    <t>ORD01282</t>
  </si>
  <si>
    <t>C0424</t>
  </si>
  <si>
    <t>ORD01283</t>
  </si>
  <si>
    <t>ORD01284</t>
  </si>
  <si>
    <t>ORD01285</t>
  </si>
  <si>
    <t>C0890</t>
  </si>
  <si>
    <t>ORD01286</t>
  </si>
  <si>
    <t>ORD01287</t>
  </si>
  <si>
    <t>ORD01288</t>
  </si>
  <si>
    <t>ORD01289</t>
  </si>
  <si>
    <t>ORD01290</t>
  </si>
  <si>
    <t>C0707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</si>
  <si>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</si>
  <si>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</si>
  <si>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</si>
  <si>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</si>
  <si>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</si>
  <si>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</si>
  <si>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</si>
  <si>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</si>
  <si>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C0608</t>
  </si>
  <si>
    <t>ORD01299</t>
  </si>
  <si>
    <t>ORD01300</t>
  </si>
  <si>
    <t>ORD01301</t>
  </si>
  <si>
    <t>C0897</t>
  </si>
  <si>
    <t>ORD01302</t>
  </si>
  <si>
    <t>C0873</t>
  </si>
  <si>
    <t>ORD01303</t>
  </si>
  <si>
    <t>C0803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</si>
  <si>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</si>
  <si>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</si>
  <si>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</si>
  <si>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</si>
  <si>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</si>
  <si>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</si>
  <si>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</si>
  <si>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</si>
  <si>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</si>
  <si>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</si>
  <si>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</si>
  <si>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</si>
  <si>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</si>
  <si>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C0813</t>
  </si>
  <si>
    <t>ORD01317</t>
  </si>
  <si>
    <t>ORD01318</t>
  </si>
  <si>
    <t>ORD01319</t>
  </si>
  <si>
    <t>C0771</t>
  </si>
  <si>
    <t>ORD01320</t>
  </si>
  <si>
    <t>ORD01321</t>
  </si>
  <si>
    <t>ORD01322</t>
  </si>
  <si>
    <t>ORD01323</t>
  </si>
  <si>
    <t>C0020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</si>
  <si>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</si>
  <si>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</si>
  <si>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</si>
  <si>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</si>
  <si>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</si>
  <si>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</si>
  <si>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</si>
  <si>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</si>
  <si>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</si>
  <si>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C0552</t>
  </si>
  <si>
    <t>ORD01333</t>
  </si>
  <si>
    <t>ORD01334</t>
  </si>
  <si>
    <t>ORD01335</t>
  </si>
  <si>
    <t>ORD01336</t>
  </si>
  <si>
    <t>ORD01337</t>
  </si>
  <si>
    <t>C0283</t>
  </si>
  <si>
    <t>ORD01338</t>
  </si>
  <si>
    <t>ORD01339</t>
  </si>
  <si>
    <t>ORD01340</t>
  </si>
  <si>
    <t>ORD01341</t>
  </si>
  <si>
    <t>ORD01342</t>
  </si>
  <si>
    <t>ORD01343</t>
  </si>
  <si>
    <t>C0705</t>
  </si>
  <si>
    <t>ORD01344</t>
  </si>
  <si>
    <t>ORD01345</t>
  </si>
  <si>
    <t>ORD01346</t>
  </si>
  <si>
    <t>ORD01347</t>
  </si>
  <si>
    <t>C0077</t>
  </si>
  <si>
    <t>ORD01348</t>
  </si>
  <si>
    <t>ORD01349</t>
  </si>
  <si>
    <t>ORD01350</t>
  </si>
  <si>
    <t>ORD01351</t>
  </si>
  <si>
    <t>ORD01352</t>
  </si>
  <si>
    <t>ORD01353</t>
  </si>
  <si>
    <t>C0404</t>
  </si>
  <si>
    <t>ORD01354</t>
  </si>
  <si>
    <t>ORD01355</t>
  </si>
  <si>
    <t>ORD01356</t>
  </si>
  <si>
    <t>C0882</t>
  </si>
  <si>
    <t>ORD01357</t>
  </si>
  <si>
    <t>ORD01358</t>
  </si>
  <si>
    <t>C0311</t>
  </si>
  <si>
    <t>ORD01359</t>
  </si>
  <si>
    <t>ORD01360</t>
  </si>
  <si>
    <t>C0071</t>
  </si>
  <si>
    <t>ORD01361</t>
  </si>
  <si>
    <t>C0702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</si>
  <si>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</si>
  <si>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</si>
  <si>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</si>
  <si>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</si>
  <si>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</si>
  <si>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</si>
  <si>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</si>
  <si>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</si>
  <si>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</si>
  <si>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C0230</t>
  </si>
  <si>
    <t>ORD01371</t>
  </si>
  <si>
    <t>ORD01372</t>
  </si>
  <si>
    <t>ORD01373</t>
  </si>
  <si>
    <t>C0859</t>
  </si>
  <si>
    <t>ORD01374</t>
  </si>
  <si>
    <t>ORD01375</t>
  </si>
  <si>
    <t>ORD01376</t>
  </si>
  <si>
    <t>ORD01377</t>
  </si>
  <si>
    <t>C0217</t>
  </si>
  <si>
    <t>ORD01378</t>
  </si>
  <si>
    <t>ORD01379</t>
  </si>
  <si>
    <t>ORD01380</t>
  </si>
  <si>
    <t>ORD01381</t>
  </si>
  <si>
    <t>ORD01382</t>
  </si>
  <si>
    <t>ORD01383</t>
  </si>
  <si>
    <t>ORD01384</t>
  </si>
  <si>
    <t>C0511</t>
  </si>
  <si>
    <t>ORD01385</t>
  </si>
  <si>
    <t>ORD01386</t>
  </si>
  <si>
    <t>ORD01387</t>
  </si>
  <si>
    <t>ORD01388</t>
  </si>
  <si>
    <t>ORD01389</t>
  </si>
  <si>
    <t>C0081</t>
  </si>
  <si>
    <t>ORD01390</t>
  </si>
  <si>
    <t>C0387</t>
  </si>
  <si>
    <t>ORD01391</t>
  </si>
  <si>
    <t>ORD01392</t>
  </si>
  <si>
    <t>ORD01393</t>
  </si>
  <si>
    <t>ORD01394</t>
  </si>
  <si>
    <t>C0396</t>
  </si>
  <si>
    <t>ORD01395</t>
  </si>
  <si>
    <t>ORD01396</t>
  </si>
  <si>
    <t>C0430</t>
  </si>
  <si>
    <t>ORD01397</t>
  </si>
  <si>
    <t>ORD01398</t>
  </si>
  <si>
    <t>ORD01399</t>
  </si>
  <si>
    <t>ORD01400</t>
  </si>
  <si>
    <t>ORD01401</t>
  </si>
  <si>
    <t>C0083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</si>
  <si>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</si>
  <si>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</si>
  <si>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</si>
  <si>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</si>
  <si>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</si>
  <si>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</si>
  <si>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</si>
  <si>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</si>
  <si>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</si>
  <si>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C0305</t>
  </si>
  <si>
    <t>ORD01411</t>
  </si>
  <si>
    <t>C0237</t>
  </si>
  <si>
    <t>ORD01412</t>
  </si>
  <si>
    <t>ORD01413</t>
  </si>
  <si>
    <t>ORD01414</t>
  </si>
  <si>
    <t>ORD01415</t>
  </si>
  <si>
    <t>ORD01416</t>
  </si>
  <si>
    <t>ORD01417</t>
  </si>
  <si>
    <t>C0026</t>
  </si>
  <si>
    <t>ORD01418</t>
  </si>
  <si>
    <t>ORD01419</t>
  </si>
  <si>
    <t>C0091</t>
  </si>
  <si>
    <t>ORD01420</t>
  </si>
  <si>
    <t>ORD01421</t>
  </si>
  <si>
    <t>ORD01422</t>
  </si>
  <si>
    <t>C0107</t>
  </si>
  <si>
    <t>ORD01423</t>
  </si>
  <si>
    <t>C0623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</si>
  <si>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</si>
  <si>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</si>
  <si>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</si>
  <si>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</si>
  <si>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</si>
  <si>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</si>
  <si>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</si>
  <si>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</si>
  <si>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</si>
  <si>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C0777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</si>
  <si>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</si>
  <si>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</si>
  <si>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</si>
  <si>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</si>
  <si>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</si>
  <si>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</si>
  <si>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</si>
  <si>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</si>
  <si>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</si>
  <si>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</si>
  <si>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</si>
  <si>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</si>
  <si>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C0289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</si>
  <si>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</si>
  <si>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</si>
  <si>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</si>
  <si>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</si>
  <si>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</si>
  <si>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</si>
  <si>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</si>
  <si>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</si>
  <si>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</si>
  <si>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C0189</t>
  </si>
  <si>
    <t>ORD01454</t>
  </si>
  <si>
    <t>ORD01455</t>
  </si>
  <si>
    <t>ORD01456</t>
  </si>
  <si>
    <t>C0531</t>
  </si>
  <si>
    <t>ORD01457</t>
  </si>
  <si>
    <t>C0691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</si>
  <si>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</si>
  <si>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</si>
  <si>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</si>
  <si>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</si>
  <si>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</si>
  <si>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</si>
  <si>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</si>
  <si>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</si>
  <si>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C0528</t>
  </si>
  <si>
    <t>ORD01466</t>
  </si>
  <si>
    <t>ORD01467</t>
  </si>
  <si>
    <t>ORD01468</t>
  </si>
  <si>
    <t>C0502</t>
  </si>
  <si>
    <t>ORD01469</t>
  </si>
  <si>
    <t>C0172</t>
  </si>
  <si>
    <t>ORD01470</t>
  </si>
  <si>
    <t>ORD01471</t>
  </si>
  <si>
    <t>ORD01472</t>
  </si>
  <si>
    <t>C0709</t>
  </si>
  <si>
    <t>ORD01473</t>
  </si>
  <si>
    <t>ORD01474</t>
  </si>
  <si>
    <t>ORD01475</t>
  </si>
  <si>
    <t>ORD01476</t>
  </si>
  <si>
    <t>C0010</t>
  </si>
  <si>
    <t>ORD01477</t>
  </si>
  <si>
    <t>ORD01478</t>
  </si>
  <si>
    <t>ORD01479</t>
  </si>
  <si>
    <t>C0854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</si>
  <si>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</si>
  <si>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</si>
  <si>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</si>
  <si>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</si>
  <si>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</si>
  <si>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</si>
  <si>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</si>
  <si>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</si>
  <si>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</si>
  <si>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</si>
  <si>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</si>
  <si>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C0606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</si>
  <si>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</si>
  <si>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</si>
  <si>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</si>
  <si>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</si>
  <si>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</si>
  <si>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</si>
  <si>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</si>
  <si>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</si>
  <si>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C0089</t>
  </si>
  <si>
    <t>ORD01499</t>
  </si>
  <si>
    <t>ORD01500</t>
  </si>
  <si>
    <t>C0246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</si>
  <si>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</si>
  <si>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</si>
  <si>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</si>
  <si>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</si>
  <si>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</si>
  <si>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</si>
  <si>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</si>
  <si>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</si>
  <si>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</si>
  <si>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</si>
  <si>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</si>
  <si>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</si>
  <si>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</si>
  <si>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</si>
  <si>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</si>
  <si>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</si>
  <si>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C0666</t>
  </si>
  <si>
    <t>ORD01517</t>
  </si>
  <si>
    <t>ORD01518</t>
  </si>
  <si>
    <t>ORD01519</t>
  </si>
  <si>
    <t>C0096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</si>
  <si>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</si>
  <si>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</si>
  <si>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</si>
  <si>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</si>
  <si>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</si>
  <si>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</si>
  <si>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</si>
  <si>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</si>
  <si>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</si>
  <si>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</si>
  <si>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</si>
  <si>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</si>
  <si>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</si>
  <si>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</si>
  <si>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C0722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</si>
  <si>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</si>
  <si>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</si>
  <si>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</si>
  <si>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</si>
  <si>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</si>
  <si>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</si>
  <si>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</si>
  <si>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</si>
  <si>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</si>
  <si>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</si>
  <si>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</si>
  <si>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</si>
  <si>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</si>
  <si>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</si>
  <si>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</si>
  <si>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</si>
  <si>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</si>
  <si>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</si>
  <si>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</si>
  <si>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C0048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</si>
  <si>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</si>
  <si>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</si>
  <si>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</si>
  <si>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</si>
  <si>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</si>
  <si>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</si>
  <si>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</si>
  <si>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</si>
  <si>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</si>
  <si>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C0016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</si>
  <si>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</si>
  <si>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</si>
  <si>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</si>
  <si>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</si>
  <si>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</si>
  <si>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</si>
  <si>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</si>
  <si>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</si>
  <si>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C0128</t>
  </si>
  <si>
    <t>ORD01570</t>
  </si>
  <si>
    <t>ORD01571</t>
  </si>
  <si>
    <t>ORD01572</t>
  </si>
  <si>
    <t>ORD01573</t>
  </si>
  <si>
    <t>ORD01574</t>
  </si>
  <si>
    <t>C0754</t>
  </si>
  <si>
    <t>ORD01575</t>
  </si>
  <si>
    <t>ORD01576</t>
  </si>
  <si>
    <t>ORD01577</t>
  </si>
  <si>
    <t>ORD01578</t>
  </si>
  <si>
    <t>ORD01579</t>
  </si>
  <si>
    <t>ORD01580</t>
  </si>
  <si>
    <t>C0079</t>
  </si>
  <si>
    <t>ORD01581</t>
  </si>
  <si>
    <t>ORD01582</t>
  </si>
  <si>
    <t>ORD01583</t>
  </si>
  <si>
    <t>ORD01584</t>
  </si>
  <si>
    <t>ORD01585</t>
  </si>
  <si>
    <t>ORD01586</t>
  </si>
  <si>
    <t>C0371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</si>
  <si>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</si>
  <si>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</si>
  <si>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</si>
  <si>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</si>
  <si>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</si>
  <si>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</si>
  <si>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</si>
  <si>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</si>
  <si>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</si>
  <si>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</si>
  <si>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</si>
  <si>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C0498</t>
  </si>
  <si>
    <t>ORD01598</t>
  </si>
  <si>
    <t>ORD01599</t>
  </si>
  <si>
    <t>ORD01600</t>
  </si>
  <si>
    <t>ORD01601</t>
  </si>
  <si>
    <t>ORD01602</t>
  </si>
  <si>
    <t>ORD01603</t>
  </si>
  <si>
    <t>C0723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</si>
  <si>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</si>
  <si>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</si>
  <si>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</si>
  <si>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</si>
  <si>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</si>
  <si>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</si>
  <si>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</si>
  <si>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</si>
  <si>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</si>
  <si>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</si>
  <si>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</si>
  <si>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</si>
  <si>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</si>
  <si>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</si>
  <si>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</si>
  <si>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C0669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</si>
  <si>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</si>
  <si>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</si>
  <si>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</si>
  <si>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</si>
  <si>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</si>
  <si>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</si>
  <si>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</si>
  <si>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</si>
  <si>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</si>
  <si>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C0834</t>
  </si>
  <si>
    <t>ORD01628</t>
  </si>
  <si>
    <t>ORD01629</t>
  </si>
  <si>
    <t>ORD01630</t>
  </si>
  <si>
    <t>ORD01631</t>
  </si>
  <si>
    <t>ORD01632</t>
  </si>
  <si>
    <t>C0157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</si>
  <si>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</si>
  <si>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</si>
  <si>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</si>
  <si>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</si>
  <si>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</si>
  <si>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</si>
  <si>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</si>
  <si>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</si>
  <si>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</si>
  <si>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</si>
  <si>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</si>
  <si>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</si>
  <si>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</si>
  <si>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</si>
  <si>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</si>
  <si>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</si>
  <si>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</si>
  <si>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</si>
  <si>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</si>
  <si>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C0767</t>
  </si>
  <si>
    <t>ORD01652</t>
  </si>
  <si>
    <t>C0730</t>
  </si>
  <si>
    <t>ORD01653</t>
  </si>
  <si>
    <t>ORD01654</t>
  </si>
  <si>
    <t>ORD01655</t>
  </si>
  <si>
    <t>ORD01656</t>
  </si>
  <si>
    <t>ORD01657</t>
  </si>
  <si>
    <t>C0397</t>
  </si>
  <si>
    <t>ORD01658</t>
  </si>
  <si>
    <t>ORD01659</t>
  </si>
  <si>
    <t>C0279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</si>
  <si>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</si>
  <si>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</si>
  <si>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</si>
  <si>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</si>
  <si>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</si>
  <si>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</si>
  <si>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</si>
  <si>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</si>
  <si>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</si>
  <si>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</si>
  <si>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</si>
  <si>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</si>
  <si>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</si>
  <si>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</si>
  <si>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</si>
  <si>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</si>
  <si>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C0618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</si>
  <si>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</si>
  <si>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</si>
  <si>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</si>
  <si>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</si>
  <si>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</si>
  <si>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</si>
  <si>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</si>
  <si>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</si>
  <si>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</si>
  <si>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</si>
  <si>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</si>
  <si>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</si>
  <si>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</si>
  <si>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</si>
  <si>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</si>
  <si>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</si>
  <si>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</si>
  <si>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</si>
  <si>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</si>
  <si>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</si>
  <si>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</si>
  <si>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</si>
  <si>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</si>
  <si>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</si>
  <si>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C0342</t>
  </si>
  <si>
    <t>ORD01700</t>
  </si>
  <si>
    <t>C0084</t>
  </si>
  <si>
    <t>ORD01701</t>
  </si>
  <si>
    <t>ORD01702</t>
  </si>
  <si>
    <t>C0154</t>
  </si>
  <si>
    <t>ORD01703</t>
  </si>
  <si>
    <t>ORD01704</t>
  </si>
  <si>
    <t>ORD01705</t>
  </si>
  <si>
    <t>ORD01706</t>
  </si>
  <si>
    <t>ORD01707</t>
  </si>
  <si>
    <t>C0226</t>
  </si>
  <si>
    <t>ORD01708</t>
  </si>
  <si>
    <t>C0880</t>
  </si>
  <si>
    <t>ORD01709</t>
  </si>
  <si>
    <t>ORD01710</t>
  </si>
  <si>
    <t>C0012</t>
  </si>
  <si>
    <t>ORD01711</t>
  </si>
  <si>
    <t>ORD01712</t>
  </si>
  <si>
    <t>C0673</t>
  </si>
  <si>
    <t>ORD01713</t>
  </si>
  <si>
    <t>ORD01714</t>
  </si>
  <si>
    <t>ORD01715</t>
  </si>
  <si>
    <t>ORD01716</t>
  </si>
  <si>
    <t>ORD01717</t>
  </si>
  <si>
    <t>C0566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</si>
  <si>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</si>
  <si>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</si>
  <si>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</si>
  <si>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</si>
  <si>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</si>
  <si>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</si>
  <si>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</si>
  <si>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</si>
  <si>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</si>
  <si>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</si>
  <si>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</si>
  <si>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</si>
  <si>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</si>
  <si>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C0810</t>
  </si>
  <si>
    <t>ORD01731</t>
  </si>
  <si>
    <t>ORD01732</t>
  </si>
  <si>
    <t>C0180</t>
  </si>
  <si>
    <t>ORD01733</t>
  </si>
  <si>
    <t>ORD01734</t>
  </si>
  <si>
    <t>ORD01735</t>
  </si>
  <si>
    <t>ORD01736</t>
  </si>
  <si>
    <t>ORD01737</t>
  </si>
  <si>
    <t>C0389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</si>
  <si>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</si>
  <si>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</si>
  <si>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</si>
  <si>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</si>
  <si>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</si>
  <si>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</si>
  <si>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</si>
  <si>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</si>
  <si>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</si>
  <si>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</si>
  <si>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</si>
  <si>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</si>
  <si>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</si>
  <si>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</si>
  <si>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</si>
  <si>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</si>
  <si>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C0285</t>
  </si>
  <si>
    <t>ORD01754</t>
  </si>
  <si>
    <t>ORD01755</t>
  </si>
  <si>
    <t>ORD01756</t>
  </si>
  <si>
    <t>C0292</t>
  </si>
  <si>
    <t>ORD01757</t>
  </si>
  <si>
    <t>ORD01758</t>
  </si>
  <si>
    <t>C0415</t>
  </si>
  <si>
    <t>ORD01759</t>
  </si>
  <si>
    <t>ORD01760</t>
  </si>
  <si>
    <t>ORD01761</t>
  </si>
  <si>
    <t>ORD01762</t>
  </si>
  <si>
    <t>ORD01763</t>
  </si>
  <si>
    <t>ORD01764</t>
  </si>
  <si>
    <t>ORD01765</t>
  </si>
  <si>
    <t>C0236</t>
  </si>
  <si>
    <t>ORD01766</t>
  </si>
  <si>
    <t>ORD01767</t>
  </si>
  <si>
    <t>ORD01768</t>
  </si>
  <si>
    <t>ORD01769</t>
  </si>
  <si>
    <t>ORD01770</t>
  </si>
  <si>
    <t>ORD01771</t>
  </si>
  <si>
    <t>ORD01772</t>
  </si>
  <si>
    <t>C0265</t>
  </si>
  <si>
    <t>ORD01773</t>
  </si>
  <si>
    <t>ORD01774</t>
  </si>
  <si>
    <t>ORD01775</t>
  </si>
  <si>
    <t>ORD01776</t>
  </si>
  <si>
    <t>ORD01777</t>
  </si>
  <si>
    <t>ORD01778</t>
  </si>
  <si>
    <t>ORD01779</t>
  </si>
  <si>
    <t>C0541</t>
  </si>
  <si>
    <t>ORD01780</t>
  </si>
  <si>
    <t>ORD01781</t>
  </si>
  <si>
    <t>C0600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</si>
  <si>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</si>
  <si>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</si>
  <si>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</si>
  <si>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</si>
  <si>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</si>
  <si>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</si>
  <si>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</si>
  <si>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</si>
  <si>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</si>
  <si>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</si>
  <si>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</si>
  <si>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C0688</t>
  </si>
  <si>
    <t>ORD01793</t>
  </si>
  <si>
    <t>ORD01794</t>
  </si>
  <si>
    <t>ORD01795</t>
  </si>
  <si>
    <t>ORD01796</t>
  </si>
  <si>
    <t>ORD01797</t>
  </si>
  <si>
    <t>ORD01798</t>
  </si>
  <si>
    <t>ORD01799</t>
  </si>
  <si>
    <t>C0464</t>
  </si>
  <si>
    <t>ORD01800</t>
  </si>
  <si>
    <t>ORD01801</t>
  </si>
  <si>
    <t>ORD01802</t>
  </si>
  <si>
    <t>ORD01803</t>
  </si>
  <si>
    <t>ORD01804</t>
  </si>
  <si>
    <t>C0158</t>
  </si>
  <si>
    <t>ORD01805</t>
  </si>
  <si>
    <t>C0497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</si>
  <si>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</si>
  <si>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</si>
  <si>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</si>
  <si>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</si>
  <si>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</si>
  <si>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</si>
  <si>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</si>
  <si>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</si>
  <si>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</si>
  <si>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</si>
  <si>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</si>
  <si>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</si>
  <si>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</si>
  <si>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</si>
  <si>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C0650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</si>
  <si>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</si>
  <si>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</si>
  <si>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</si>
  <si>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</si>
  <si>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</si>
  <si>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</si>
  <si>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</si>
  <si>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</si>
  <si>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</si>
  <si>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</si>
  <si>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</si>
  <si>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</si>
  <si>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</si>
  <si>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</si>
  <si>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</si>
  <si>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</si>
  <si>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</si>
  <si>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</si>
  <si>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</si>
  <si>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</si>
  <si>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</si>
  <si>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</si>
  <si>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</si>
  <si>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</si>
  <si>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</si>
  <si>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C0118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</si>
  <si>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</si>
  <si>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</si>
  <si>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</si>
  <si>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</si>
  <si>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</si>
  <si>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</si>
  <si>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</si>
  <si>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</si>
  <si>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</si>
  <si>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</si>
  <si>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</si>
  <si>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</si>
  <si>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C0594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</si>
  <si>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</si>
  <si>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</si>
  <si>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</si>
  <si>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</si>
  <si>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</si>
  <si>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</si>
  <si>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</si>
  <si>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</si>
  <si>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</si>
  <si>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</si>
  <si>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</si>
  <si>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</si>
  <si>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</si>
  <si>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</si>
  <si>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</si>
  <si>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C0210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</si>
  <si>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</si>
  <si>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</si>
  <si>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</si>
  <si>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</si>
  <si>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</si>
  <si>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</si>
  <si>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</si>
  <si>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</si>
  <si>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</si>
  <si>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</si>
  <si>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</si>
  <si>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</si>
  <si>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C0795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</si>
  <si>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</si>
  <si>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</si>
  <si>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</si>
  <si>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</si>
  <si>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</si>
  <si>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</si>
  <si>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</si>
  <si>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</si>
  <si>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</si>
  <si>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</si>
  <si>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</si>
  <si>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C0748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</si>
  <si>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</si>
  <si>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</si>
  <si>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</si>
  <si>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</si>
  <si>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</si>
  <si>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</si>
  <si>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</si>
  <si>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</si>
  <si>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</si>
  <si>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</si>
  <si>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</si>
  <si>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</si>
  <si>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</si>
  <si>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</si>
  <si>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</si>
  <si>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</si>
  <si>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</si>
  <si>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</si>
  <si>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</si>
  <si>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</si>
  <si>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</si>
  <si>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C0620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</si>
  <si>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</si>
  <si>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</si>
  <si>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</si>
  <si>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</si>
  <si>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</si>
  <si>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</si>
  <si>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</si>
  <si>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</si>
  <si>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</si>
  <si>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</si>
  <si>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</si>
  <si>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</si>
  <si>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</si>
  <si>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</si>
  <si>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</si>
  <si>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</si>
  <si>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</si>
  <si>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</si>
  <si>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</si>
  <si>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</si>
  <si>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</si>
  <si>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</si>
  <si>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</si>
  <si>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</si>
  <si>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</si>
  <si>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</si>
  <si>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</si>
  <si>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</si>
  <si>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</si>
  <si>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</si>
  <si>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</si>
  <si>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C0868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</si>
  <si>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</si>
  <si>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</si>
  <si>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</si>
  <si>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</si>
  <si>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</si>
  <si>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</si>
  <si>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</si>
  <si>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</si>
  <si>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</si>
  <si>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C0569</t>
  </si>
  <si>
    <t>ORD01956</t>
  </si>
  <si>
    <t>ORD01957</t>
  </si>
  <si>
    <t>ORD01958</t>
  </si>
  <si>
    <t>C0175</t>
  </si>
  <si>
    <t>ORD01959</t>
  </si>
  <si>
    <t>ORD01960</t>
  </si>
  <si>
    <t>ORD01961</t>
  </si>
  <si>
    <t>ORD01962</t>
  </si>
  <si>
    <t>ORD01963</t>
  </si>
  <si>
    <t>ORD01964</t>
  </si>
  <si>
    <t>ORD01965</t>
  </si>
  <si>
    <t>C0789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</si>
  <si>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</si>
  <si>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</si>
  <si>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</si>
  <si>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</si>
  <si>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</si>
  <si>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</si>
  <si>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</si>
  <si>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</si>
  <si>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</si>
  <si>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C0899</t>
  </si>
  <si>
    <t>ORD01975</t>
  </si>
  <si>
    <t>ORD01976</t>
  </si>
  <si>
    <t>ORD01977</t>
  </si>
  <si>
    <t>ORD01978</t>
  </si>
  <si>
    <t>ORD01979</t>
  </si>
  <si>
    <t>ORD01980</t>
  </si>
  <si>
    <t>ORD01981</t>
  </si>
  <si>
    <t>C0500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</si>
  <si>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</si>
  <si>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</si>
  <si>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</si>
  <si>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</si>
  <si>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</si>
  <si>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</si>
  <si>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</si>
  <si>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</si>
  <si>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</si>
  <si>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</si>
  <si>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</si>
  <si>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</si>
  <si>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</si>
  <si>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C0047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</si>
  <si>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</si>
  <si>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</si>
  <si>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</si>
  <si>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</si>
  <si>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</si>
  <si>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</si>
  <si>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</si>
  <si>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</si>
  <si>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</si>
  <si>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</si>
  <si>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</si>
  <si>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</si>
  <si>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C0768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</si>
  <si>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</si>
  <si>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</si>
  <si>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</si>
  <si>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</si>
  <si>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</si>
  <si>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</si>
  <si>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</si>
  <si>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</si>
  <si>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</si>
  <si>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</si>
  <si>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</si>
  <si>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</si>
  <si>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</si>
  <si>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</si>
  <si>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</si>
  <si>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</si>
  <si>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</si>
  <si>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</si>
  <si>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</si>
  <si>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</si>
  <si>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</si>
  <si>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</si>
  <si>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C0423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</si>
  <si>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</si>
  <si>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</si>
  <si>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</si>
  <si>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</si>
  <si>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</si>
  <si>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</si>
  <si>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</si>
  <si>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</si>
  <si>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</si>
  <si>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</si>
  <si>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</si>
  <si>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</si>
  <si>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</si>
  <si>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C0146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</si>
  <si>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</si>
  <si>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</si>
  <si>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</si>
  <si>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</si>
  <si>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</si>
  <si>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</si>
  <si>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</si>
  <si>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</si>
  <si>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</si>
  <si>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</si>
  <si>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</si>
  <si>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</si>
  <si>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</si>
  <si>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</si>
  <si>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</si>
  <si>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</si>
  <si>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</si>
  <si>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</si>
  <si>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</si>
  <si>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</si>
  <si>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</si>
  <si>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</si>
  <si>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</si>
  <si>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</si>
  <si>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</si>
  <si>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C0414</t>
  </si>
  <si>
    <t>ORD02067</t>
  </si>
  <si>
    <t>ORD02068</t>
  </si>
  <si>
    <t>ORD02069</t>
  </si>
  <si>
    <t>C0685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</si>
  <si>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</si>
  <si>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</si>
  <si>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</si>
  <si>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</si>
  <si>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</si>
  <si>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</si>
  <si>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</si>
  <si>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</si>
  <si>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</si>
  <si>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</si>
  <si>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</si>
  <si>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</si>
  <si>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</si>
  <si>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</si>
  <si>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</si>
  <si>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</si>
  <si>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</si>
  <si>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</si>
  <si>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</si>
  <si>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</si>
  <si>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</si>
  <si>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</si>
  <si>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</si>
  <si>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</si>
  <si>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C0161</t>
  </si>
  <si>
    <t>ORD02094</t>
  </si>
  <si>
    <t>ORD02095</t>
  </si>
  <si>
    <t>C0024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</si>
  <si>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</si>
  <si>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</si>
  <si>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</si>
  <si>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</si>
  <si>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</si>
  <si>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</si>
  <si>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</si>
  <si>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</si>
  <si>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C0539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</si>
  <si>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</si>
  <si>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</si>
  <si>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</si>
  <si>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</si>
  <si>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</si>
  <si>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</si>
  <si>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</si>
  <si>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</si>
  <si>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</si>
  <si>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</si>
  <si>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</si>
  <si>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</si>
  <si>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</si>
  <si>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</si>
  <si>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</si>
  <si>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</si>
  <si>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</si>
  <si>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</si>
  <si>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</si>
  <si>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C0402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</si>
  <si>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</si>
  <si>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</si>
  <si>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</si>
  <si>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</si>
  <si>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</si>
  <si>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</si>
  <si>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</si>
  <si>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</si>
  <si>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</si>
  <si>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</si>
  <si>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</si>
  <si>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</si>
  <si>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</si>
  <si>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</si>
  <si>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</si>
  <si>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C0683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</si>
  <si>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</si>
  <si>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</si>
  <si>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</si>
  <si>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</si>
  <si>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</si>
  <si>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</si>
  <si>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</si>
  <si>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</si>
  <si>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</si>
  <si>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</si>
  <si>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</si>
  <si>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</si>
  <si>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</si>
  <si>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</si>
  <si>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</si>
  <si>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</si>
  <si>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</si>
  <si>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</si>
  <si>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</si>
  <si>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</si>
  <si>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</si>
  <si>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</si>
  <si>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</si>
  <si>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</si>
  <si>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</si>
  <si>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</si>
  <si>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</si>
  <si>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</si>
  <si>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C0677</t>
  </si>
  <si>
    <t>ORD02166</t>
  </si>
  <si>
    <t>ORD02167</t>
  </si>
  <si>
    <t>ORD02168</t>
  </si>
  <si>
    <t>ORD02169</t>
  </si>
  <si>
    <t>ORD02170</t>
  </si>
  <si>
    <t>ORD02171</t>
  </si>
  <si>
    <t>C0123</t>
  </si>
  <si>
    <t>ORD02172</t>
  </si>
  <si>
    <t>ORD02173</t>
  </si>
  <si>
    <t>ORD02174</t>
  </si>
  <si>
    <t>ORD02175</t>
  </si>
  <si>
    <t>ORD02176</t>
  </si>
  <si>
    <t>C0350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</si>
  <si>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</si>
  <si>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</si>
  <si>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</si>
  <si>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</si>
  <si>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</si>
  <si>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</si>
  <si>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</si>
  <si>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</si>
  <si>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C0195</t>
  </si>
  <si>
    <t>ORD02185</t>
  </si>
  <si>
    <t>ORD02186</t>
  </si>
  <si>
    <t>ORD02187</t>
  </si>
  <si>
    <t>C0766</t>
  </si>
  <si>
    <t>ORD02188</t>
  </si>
  <si>
    <t>ORD02189</t>
  </si>
  <si>
    <t>ORD02190</t>
  </si>
  <si>
    <t>ORD02191</t>
  </si>
  <si>
    <t>ORD02192</t>
  </si>
  <si>
    <t>ORD02193</t>
  </si>
  <si>
    <t>C0657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</si>
  <si>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</si>
  <si>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</si>
  <si>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</si>
  <si>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</si>
  <si>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</si>
  <si>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</si>
  <si>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</si>
  <si>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</si>
  <si>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</si>
  <si>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</si>
  <si>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</si>
  <si>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</si>
  <si>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</si>
  <si>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</si>
  <si>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</si>
  <si>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</si>
  <si>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</si>
  <si>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</si>
  <si>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</si>
  <si>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</si>
  <si>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</si>
  <si>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</si>
  <si>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</si>
  <si>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</si>
  <si>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</si>
  <si>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</si>
  <si>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C0332</t>
  </si>
  <si>
    <t>ORD02220</t>
  </si>
  <si>
    <t>ORD02221</t>
  </si>
  <si>
    <t>C0267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</si>
  <si>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</si>
  <si>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</si>
  <si>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</si>
  <si>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</si>
  <si>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</si>
  <si>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</si>
  <si>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</si>
  <si>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</si>
  <si>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</si>
  <si>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</si>
  <si>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C0482</t>
  </si>
  <si>
    <t>ORD02232</t>
  </si>
  <si>
    <t>C0369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</si>
  <si>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</si>
  <si>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</si>
  <si>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</si>
  <si>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</si>
  <si>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</si>
  <si>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</si>
  <si>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</si>
  <si>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</si>
  <si>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</si>
  <si>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</si>
  <si>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</si>
  <si>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</si>
  <si>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</si>
  <si>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</si>
  <si>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</si>
  <si>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</si>
  <si>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</si>
  <si>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</si>
  <si>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</si>
  <si>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</si>
  <si>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</si>
  <si>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</si>
  <si>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</si>
  <si>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</si>
  <si>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</si>
  <si>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</si>
  <si>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</si>
  <si>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</si>
  <si>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</si>
  <si>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</si>
  <si>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</si>
  <si>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</si>
  <si>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</si>
  <si>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</si>
  <si>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</si>
  <si>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</si>
  <si>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</si>
  <si>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</si>
  <si>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</si>
  <si>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</si>
  <si>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</si>
  <si>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</si>
  <si>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</si>
  <si>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</si>
  <si>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</si>
  <si>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</si>
  <si>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</si>
  <si>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</si>
  <si>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</si>
  <si>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</si>
  <si>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</si>
  <si>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</si>
  <si>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</si>
  <si>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</si>
  <si>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</si>
  <si>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</si>
  <si>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</si>
  <si>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</si>
  <si>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</si>
  <si>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</si>
  <si>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</si>
  <si>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</si>
  <si>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</si>
  <si>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</si>
  <si>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</si>
  <si>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</si>
  <si>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</si>
  <si>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</si>
  <si>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</si>
  <si>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</si>
  <si>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</si>
  <si>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</si>
  <si>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</si>
  <si>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</si>
  <si>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</si>
  <si>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</si>
  <si>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</si>
  <si>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</si>
  <si>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</si>
  <si>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</si>
  <si>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</si>
  <si>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</si>
  <si>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</si>
  <si>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</si>
  <si>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</si>
  <si>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</si>
  <si>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</si>
  <si>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</si>
  <si>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</si>
  <si>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</si>
  <si>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</si>
  <si>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</si>
  <si>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</si>
  <si>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C0811</t>
  </si>
  <si>
    <t>ORD02326</t>
  </si>
  <si>
    <t>ORD02327</t>
  </si>
  <si>
    <t>ORD02328</t>
  </si>
  <si>
    <t>ORD02329</t>
  </si>
  <si>
    <t>ORD02330</t>
  </si>
  <si>
    <t>ORD02331</t>
  </si>
  <si>
    <t>C0448</t>
  </si>
  <si>
    <t>ORD02332</t>
  </si>
  <si>
    <t>ORD02333</t>
  </si>
  <si>
    <t>ORD02334</t>
  </si>
  <si>
    <t>ORD02335</t>
  </si>
  <si>
    <t>ORD02336</t>
  </si>
  <si>
    <t>C0534</t>
  </si>
  <si>
    <t>ORD02337</t>
  </si>
  <si>
    <t>C0388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</si>
  <si>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</si>
  <si>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</si>
  <si>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</si>
  <si>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</si>
  <si>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</si>
  <si>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</si>
  <si>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</si>
  <si>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</si>
  <si>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</si>
  <si>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</si>
  <si>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</si>
  <si>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</si>
  <si>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</si>
  <si>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</si>
  <si>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</si>
  <si>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</si>
  <si>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</si>
  <si>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</si>
  <si>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</si>
  <si>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</si>
  <si>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</si>
  <si>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</si>
  <si>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</si>
  <si>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</si>
  <si>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</si>
  <si>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</si>
  <si>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</si>
  <si>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</si>
  <si>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</si>
  <si>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</si>
  <si>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</si>
  <si>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</si>
  <si>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</si>
  <si>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</si>
  <si>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</si>
  <si>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</si>
  <si>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</si>
  <si>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</si>
  <si>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</si>
  <si>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C0318</t>
  </si>
  <si>
    <t>ORD02377</t>
  </si>
  <si>
    <t>ORD02378</t>
  </si>
  <si>
    <t>C0355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</si>
  <si>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</si>
  <si>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</si>
  <si>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</si>
  <si>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</si>
  <si>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</si>
  <si>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</si>
  <si>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</si>
  <si>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</si>
  <si>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</si>
  <si>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</si>
  <si>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</si>
  <si>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</si>
  <si>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</si>
  <si>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C0557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</si>
  <si>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</si>
  <si>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</si>
  <si>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</si>
  <si>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</si>
  <si>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</si>
  <si>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</si>
  <si>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</si>
  <si>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</si>
  <si>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</si>
  <si>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</si>
  <si>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</si>
  <si>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</si>
  <si>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</si>
  <si>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</si>
  <si>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</si>
  <si>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</si>
  <si>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</si>
  <si>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</si>
  <si>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</si>
  <si>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</si>
  <si>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</si>
  <si>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</si>
  <si>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</si>
  <si>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</si>
  <si>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</si>
  <si>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</si>
  <si>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</si>
  <si>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</si>
  <si>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</si>
  <si>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</si>
  <si>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</si>
  <si>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</si>
  <si>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</si>
  <si>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</si>
  <si>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</si>
  <si>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</si>
  <si>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</si>
  <si>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</si>
  <si>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</si>
  <si>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</si>
  <si>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</si>
  <si>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</si>
  <si>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</si>
  <si>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</si>
  <si>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</si>
  <si>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</si>
  <si>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</si>
  <si>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</si>
  <si>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</si>
  <si>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</si>
  <si>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</si>
  <si>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</si>
  <si>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</si>
  <si>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</si>
  <si>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</si>
  <si>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</si>
  <si>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</si>
  <si>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</si>
  <si>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</si>
  <si>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</si>
  <si>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</si>
  <si>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</si>
  <si>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C0735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</si>
  <si>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</si>
  <si>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</si>
  <si>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</si>
  <si>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</si>
  <si>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</si>
  <si>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</si>
  <si>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</si>
  <si>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</si>
  <si>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</si>
  <si>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</si>
  <si>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</si>
  <si>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</si>
  <si>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</si>
  <si>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</si>
  <si>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</si>
  <si>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</si>
  <si>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</si>
  <si>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</si>
  <si>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</si>
  <si>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</si>
  <si>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</si>
  <si>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</si>
  <si>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</si>
  <si>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</si>
  <si>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</si>
  <si>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</si>
  <si>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</si>
  <si>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</si>
  <si>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C0348</t>
  </si>
  <si>
    <t>ORD02482</t>
  </si>
  <si>
    <t>ORD02483</t>
  </si>
  <si>
    <t>ORD02484</t>
  </si>
  <si>
    <t>ORD02485</t>
  </si>
  <si>
    <t>ORD02486</t>
  </si>
  <si>
    <t>ORD02487</t>
  </si>
  <si>
    <t>ORD02488</t>
  </si>
  <si>
    <t>C0697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</si>
  <si>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</si>
  <si>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</si>
  <si>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</si>
  <si>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</si>
  <si>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</si>
  <si>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</si>
  <si>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</si>
  <si>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</si>
  <si>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</si>
  <si>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</si>
  <si>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</si>
  <si>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</si>
  <si>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</si>
  <si>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</si>
  <si>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</si>
  <si>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</si>
  <si>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</si>
  <si>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</si>
  <si>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</si>
  <si>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</si>
  <si>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</si>
  <si>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</si>
  <si>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C0814</t>
  </si>
  <si>
    <t>ORD02511</t>
  </si>
  <si>
    <t>ORD02512</t>
  </si>
  <si>
    <t>ORD02513</t>
  </si>
  <si>
    <t>ORD02514</t>
  </si>
  <si>
    <t>ORD02515</t>
  </si>
  <si>
    <t>ORD02516</t>
  </si>
  <si>
    <t>C0764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</si>
  <si>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</si>
  <si>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</si>
  <si>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</si>
  <si>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</si>
  <si>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</si>
  <si>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</si>
  <si>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</si>
  <si>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</si>
  <si>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</si>
  <si>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</si>
  <si>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</si>
  <si>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</si>
  <si>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</si>
  <si>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</si>
  <si>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</si>
  <si>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</si>
  <si>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</si>
  <si>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</si>
  <si>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</si>
  <si>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</si>
  <si>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</si>
  <si>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</si>
  <si>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</si>
  <si>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</si>
  <si>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</si>
  <si>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</si>
  <si>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</si>
  <si>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</si>
  <si>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</si>
  <si>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</si>
  <si>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</si>
  <si>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C0846</t>
  </si>
  <si>
    <t>ORD02548</t>
  </si>
  <si>
    <t>ORD02549</t>
  </si>
  <si>
    <t>ORD02550</t>
  </si>
  <si>
    <t>ORD02551</t>
  </si>
  <si>
    <t>C0443</t>
  </si>
  <si>
    <t>ORD02552</t>
  </si>
  <si>
    <t>ORD02553</t>
  </si>
  <si>
    <t>ORD02554</t>
  </si>
  <si>
    <t>ORD02555</t>
  </si>
  <si>
    <t>ORD02556</t>
  </si>
  <si>
    <t>ORD02557</t>
  </si>
  <si>
    <t>ORD02558</t>
  </si>
  <si>
    <t>C0757</t>
  </si>
  <si>
    <t>ORD02559</t>
  </si>
  <si>
    <t>ORD02560</t>
  </si>
  <si>
    <t>C0264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</si>
  <si>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</si>
  <si>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</si>
  <si>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</si>
  <si>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</si>
  <si>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</si>
  <si>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</si>
  <si>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</si>
  <si>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</si>
  <si>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</si>
  <si>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</si>
  <si>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</si>
  <si>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</si>
  <si>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C0250</t>
  </si>
  <si>
    <t>ORD02573</t>
  </si>
  <si>
    <t>ORD02574</t>
  </si>
  <si>
    <t>ORD02575</t>
  </si>
  <si>
    <t>ORD02576</t>
  </si>
  <si>
    <t>C0232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</si>
  <si>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</si>
  <si>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</si>
  <si>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</si>
  <si>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</si>
  <si>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</si>
  <si>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</si>
  <si>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</si>
  <si>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</si>
  <si>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</si>
  <si>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</si>
  <si>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</si>
  <si>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</si>
  <si>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</si>
  <si>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</si>
  <si>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</si>
  <si>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</si>
  <si>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</si>
  <si>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</si>
  <si>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C0610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</si>
  <si>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</si>
  <si>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</si>
  <si>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</si>
  <si>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</si>
  <si>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</si>
  <si>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</si>
  <si>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</si>
  <si>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</si>
  <si>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</si>
  <si>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</si>
  <si>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</si>
  <si>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C0875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</si>
  <si>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</si>
  <si>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</si>
  <si>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</si>
  <si>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</si>
  <si>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</si>
  <si>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</si>
  <si>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</si>
  <si>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</si>
  <si>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</si>
  <si>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C0256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</si>
  <si>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</si>
  <si>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</si>
  <si>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</si>
  <si>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</si>
  <si>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</si>
  <si>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</si>
  <si>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</si>
  <si>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</si>
  <si>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</si>
  <si>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</si>
  <si>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</si>
  <si>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</si>
  <si>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</si>
  <si>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</si>
  <si>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</si>
  <si>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</si>
  <si>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</si>
  <si>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</si>
  <si>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</si>
  <si>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</si>
  <si>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</si>
  <si>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C0797</t>
  </si>
  <si>
    <t>ORD02636</t>
  </si>
  <si>
    <t>C0379</t>
  </si>
  <si>
    <t>ORD02637</t>
  </si>
  <si>
    <t>C0788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</si>
  <si>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</si>
  <si>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</si>
  <si>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</si>
  <si>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</si>
  <si>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</si>
  <si>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</si>
  <si>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</si>
  <si>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</si>
  <si>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</si>
  <si>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</si>
  <si>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</si>
  <si>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</si>
  <si>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</si>
  <si>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</si>
  <si>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</si>
  <si>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</si>
  <si>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</si>
  <si>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</si>
  <si>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</si>
  <si>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</si>
  <si>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</si>
  <si>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</si>
  <si>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</si>
  <si>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</si>
  <si>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</si>
  <si>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</si>
  <si>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</si>
  <si>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</si>
  <si>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</si>
  <si>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</si>
  <si>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</si>
  <si>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</si>
  <si>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</si>
  <si>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</si>
  <si>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</si>
  <si>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C0517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</si>
  <si>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</si>
  <si>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</si>
  <si>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</si>
  <si>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</si>
  <si>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</si>
  <si>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</si>
  <si>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</si>
  <si>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</si>
  <si>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</si>
  <si>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</si>
  <si>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</si>
  <si>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</si>
  <si>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</si>
  <si>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</si>
  <si>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</si>
  <si>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C0637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</si>
  <si>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</si>
  <si>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</si>
  <si>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</si>
  <si>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</si>
  <si>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</si>
  <si>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</si>
  <si>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</si>
  <si>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</si>
  <si>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</si>
  <si>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</si>
  <si>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</si>
  <si>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</si>
  <si>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</si>
  <si>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</si>
  <si>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</si>
  <si>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</si>
  <si>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</si>
  <si>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</si>
  <si>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</si>
  <si>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</si>
  <si>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</si>
  <si>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</si>
  <si>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</si>
  <si>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</si>
  <si>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</si>
  <si>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C0734</t>
  </si>
  <si>
    <t>ORD02713</t>
  </si>
  <si>
    <t>ORD02714</t>
  </si>
  <si>
    <t>ORD02715</t>
  </si>
  <si>
    <t>ORD02716</t>
  </si>
  <si>
    <t>ORD02717</t>
  </si>
  <si>
    <t>ORD02718</t>
  </si>
  <si>
    <t>ORD02719</t>
  </si>
  <si>
    <t>C0320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</si>
  <si>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</si>
  <si>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</si>
  <si>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</si>
  <si>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</si>
  <si>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</si>
  <si>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</si>
  <si>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</si>
  <si>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</si>
  <si>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</si>
  <si>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</si>
  <si>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</si>
  <si>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</si>
  <si>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</si>
  <si>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</si>
  <si>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</si>
  <si>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</si>
  <si>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</si>
  <si>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</si>
  <si>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</si>
  <si>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</si>
  <si>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</si>
  <si>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</si>
  <si>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</si>
  <si>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</si>
  <si>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</si>
  <si>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</si>
  <si>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</si>
  <si>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</si>
  <si>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</si>
  <si>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</si>
  <si>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</si>
  <si>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</si>
  <si>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</si>
  <si>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</si>
  <si>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</si>
  <si>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</si>
  <si>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</si>
  <si>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</si>
  <si>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</si>
  <si>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</si>
  <si>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</si>
  <si>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</si>
  <si>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</si>
  <si>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</si>
  <si>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</si>
  <si>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</si>
  <si>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</si>
  <si>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</si>
  <si>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</si>
  <si>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</si>
  <si>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</si>
  <si>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</si>
  <si>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</si>
  <si>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</si>
  <si>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</si>
  <si>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</si>
  <si>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</si>
  <si>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</si>
  <si>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</si>
  <si>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</si>
  <si>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</si>
  <si>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</si>
  <si>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</si>
  <si>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</si>
  <si>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</si>
  <si>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</si>
  <si>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</si>
  <si>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</si>
  <si>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</si>
  <si>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</si>
  <si>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</si>
  <si>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</si>
  <si>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</si>
  <si>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</si>
  <si>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</si>
  <si>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</si>
  <si>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</si>
  <si>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</si>
  <si>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</si>
  <si>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</si>
  <si>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</si>
  <si>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</si>
  <si>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</si>
  <si>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</si>
  <si>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</si>
  <si>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</si>
  <si>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C0380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</si>
  <si>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</si>
  <si>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</si>
  <si>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</si>
  <si>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</si>
  <si>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</si>
  <si>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</si>
  <si>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</si>
  <si>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</si>
  <si>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</si>
  <si>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</si>
  <si>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C0376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</si>
  <si>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</si>
  <si>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</si>
  <si>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</si>
  <si>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</si>
  <si>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</si>
  <si>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</si>
  <si>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</si>
  <si>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</si>
  <si>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</si>
  <si>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</si>
  <si>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</si>
  <si>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</si>
  <si>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</si>
  <si>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</si>
  <si>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</si>
  <si>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</si>
  <si>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</si>
  <si>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</si>
  <si>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</si>
  <si>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</si>
  <si>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</si>
  <si>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</si>
  <si>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</si>
  <si>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</si>
  <si>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</si>
  <si>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</si>
  <si>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</si>
  <si>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</si>
  <si>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</si>
  <si>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</si>
  <si>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</si>
  <si>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</si>
  <si>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</si>
  <si>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</si>
  <si>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</si>
  <si>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</si>
  <si>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</si>
  <si>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</si>
  <si>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</si>
  <si>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</si>
  <si>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</si>
  <si>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</si>
  <si>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</si>
  <si>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</si>
  <si>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</si>
  <si>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</si>
  <si>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</si>
  <si>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</si>
  <si>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C0885</t>
  </si>
  <si>
    <t>ORD02864</t>
  </si>
  <si>
    <t>ORD02865</t>
  </si>
  <si>
    <t>ORD02866</t>
  </si>
  <si>
    <t>C0506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</si>
  <si>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</si>
  <si>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</si>
  <si>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</si>
  <si>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</si>
  <si>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</si>
  <si>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</si>
  <si>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</si>
  <si>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</si>
  <si>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</si>
  <si>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C0515</t>
  </si>
  <si>
    <t>ORD02876</t>
  </si>
  <si>
    <t>ORD02877</t>
  </si>
  <si>
    <t>ORD02878</t>
  </si>
  <si>
    <t>ORD02879</t>
  </si>
  <si>
    <t>ORD02880</t>
  </si>
  <si>
    <t>ORD02881</t>
  </si>
  <si>
    <t>ORD02882</t>
  </si>
  <si>
    <t>C0224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</si>
  <si>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</si>
  <si>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</si>
  <si>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</si>
  <si>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</si>
  <si>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</si>
  <si>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</si>
  <si>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</si>
  <si>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</si>
  <si>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</si>
  <si>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</si>
  <si>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</si>
  <si>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</si>
  <si>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</si>
  <si>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</si>
  <si>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</si>
  <si>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</si>
  <si>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</si>
  <si>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</si>
  <si>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</si>
  <si>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</si>
  <si>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</si>
  <si>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</si>
  <si>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</si>
  <si>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</si>
  <si>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</si>
  <si>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</si>
  <si>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</si>
  <si>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</si>
  <si>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</si>
  <si>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</si>
  <si>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</si>
  <si>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</si>
  <si>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</si>
  <si>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</si>
  <si>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</si>
  <si>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</si>
  <si>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</si>
  <si>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</si>
  <si>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</si>
  <si>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</si>
  <si>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</si>
  <si>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</si>
  <si>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</si>
  <si>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C0427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</si>
  <si>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</si>
  <si>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</si>
  <si>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</si>
  <si>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</si>
  <si>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</si>
  <si>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</si>
  <si>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</si>
  <si>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</si>
  <si>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</si>
  <si>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</si>
  <si>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</si>
  <si>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</si>
  <si>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</si>
  <si>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</si>
  <si>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</si>
  <si>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</si>
  <si>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</si>
  <si>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</si>
  <si>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</si>
  <si>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</si>
  <si>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</si>
  <si>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</si>
  <si>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</si>
  <si>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</si>
  <si>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</si>
  <si>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</si>
  <si>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</si>
  <si>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</si>
  <si>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</si>
  <si>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</si>
  <si>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</si>
  <si>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</si>
  <si>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</si>
  <si>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</si>
  <si>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</si>
  <si>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</si>
  <si>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</si>
  <si>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</si>
  <si>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</si>
  <si>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</si>
  <si>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</si>
  <si>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</si>
  <si>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C0793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</si>
  <si>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</si>
  <si>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</si>
  <si>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</si>
  <si>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</si>
  <si>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</si>
  <si>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</si>
  <si>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</si>
  <si>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</si>
  <si>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</si>
  <si>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</si>
  <si>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</si>
  <si>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</si>
  <si>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</si>
  <si>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</si>
  <si>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</si>
  <si>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</si>
  <si>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</si>
  <si>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</si>
  <si>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</si>
  <si>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</si>
  <si>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</si>
  <si>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</si>
  <si>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</si>
  <si>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</si>
  <si>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</si>
  <si>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</si>
  <si>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</si>
  <si>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</si>
  <si>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</si>
  <si>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</si>
  <si>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C0228</t>
  </si>
  <si>
    <t>ORD02998</t>
  </si>
  <si>
    <t>ORD02999</t>
  </si>
  <si>
    <t>ORD03000</t>
  </si>
  <si>
    <t>C0832</t>
  </si>
  <si>
    <t>C0740</t>
  </si>
  <si>
    <t>C0639</t>
  </si>
  <si>
    <t>C0275</t>
  </si>
  <si>
    <t>C0046</t>
  </si>
  <si>
    <t>C0343</t>
  </si>
  <si>
    <t>C0860</t>
  </si>
  <si>
    <t>C0202</t>
  </si>
  <si>
    <t>C0579</t>
  </si>
  <si>
    <t>C0633</t>
  </si>
  <si>
    <t>C0258</t>
  </si>
  <si>
    <t>C0496</t>
  </si>
  <si>
    <t>C0367</t>
  </si>
  <si>
    <t>C0138</t>
  </si>
  <si>
    <t>C0286</t>
  </si>
  <si>
    <t>C0216</t>
  </si>
  <si>
    <t>C0057</t>
  </si>
  <si>
    <t>C0351</t>
  </si>
  <si>
    <t>C0798</t>
  </si>
  <si>
    <t>C0831</t>
  </si>
  <si>
    <t>C0586</t>
  </si>
  <si>
    <t>C0580</t>
  </si>
  <si>
    <t>C0611</t>
  </si>
  <si>
    <t>C0644</t>
  </si>
  <si>
    <t>C0257</t>
  </si>
  <si>
    <t>C0641</t>
  </si>
  <si>
    <t>C0549</t>
  </si>
  <si>
    <t>C0466</t>
  </si>
  <si>
    <t>C0001</t>
  </si>
  <si>
    <t>C0219</t>
  </si>
  <si>
    <t>C0839</t>
  </si>
  <si>
    <t>Metric</t>
  </si>
  <si>
    <t>Total Transactions</t>
  </si>
  <si>
    <t>Unique Customers</t>
  </si>
  <si>
    <t>Unique Salespersons</t>
  </si>
  <si>
    <t>Total Quantity Sold</t>
  </si>
  <si>
    <t>Total Revenue</t>
  </si>
  <si>
    <t>Total Cost</t>
  </si>
  <si>
    <t>Total Profit</t>
  </si>
  <si>
    <t>Average Order Value</t>
  </si>
  <si>
    <t>My Excel Result</t>
  </si>
  <si>
    <t>Earliest Order Date</t>
  </si>
  <si>
    <t>Latest Order Date</t>
  </si>
  <si>
    <t>Unique products</t>
  </si>
  <si>
    <t>Overall Profit Margin</t>
  </si>
  <si>
    <t>Units Sold</t>
  </si>
  <si>
    <t>Cost</t>
  </si>
  <si>
    <t>Profit Margin</t>
  </si>
  <si>
    <t>Category Analysis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</si>
  <si>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</si>
  <si>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</si>
  <si>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</si>
  <si>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</si>
  <si>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</si>
  <si>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</si>
  <si>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</si>
  <si>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</si>
  <si>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</si>
  <si>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</si>
  <si>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</si>
  <si>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Monthly Analysis</t>
  </si>
  <si>
    <t>Month Number</t>
  </si>
  <si>
    <t>Category and Seasonal Analysis</t>
  </si>
  <si>
    <t>Product Analysis</t>
  </si>
  <si>
    <t>Customer ID</t>
  </si>
  <si>
    <t>Customer Name</t>
  </si>
  <si>
    <t>AOV</t>
  </si>
  <si>
    <t>Customer Analysis</t>
  </si>
  <si>
    <t>C0030</t>
  </si>
  <si>
    <t>C0037</t>
  </si>
  <si>
    <t>C0043</t>
  </si>
  <si>
    <t>C0124</t>
  </si>
  <si>
    <t>C0141</t>
  </si>
  <si>
    <t>C0145</t>
  </si>
  <si>
    <t>C0147</t>
  </si>
  <si>
    <t>C0150</t>
  </si>
  <si>
    <t>C0152</t>
  </si>
  <si>
    <t>C0170</t>
  </si>
  <si>
    <t>C0214</t>
  </si>
  <si>
    <t>C0215</t>
  </si>
  <si>
    <t>C0241</t>
  </si>
  <si>
    <t>C0251</t>
  </si>
  <si>
    <t>C0307</t>
  </si>
  <si>
    <t>C0313</t>
  </si>
  <si>
    <t>C0317</t>
  </si>
  <si>
    <t>C0365</t>
  </si>
  <si>
    <t>C0368</t>
  </si>
  <si>
    <t>C0407</t>
  </si>
  <si>
    <t>C0412</t>
  </si>
  <si>
    <t>C0435</t>
  </si>
  <si>
    <t>C0495</t>
  </si>
  <si>
    <t>C0519</t>
  </si>
  <si>
    <t>C0565</t>
  </si>
  <si>
    <t>C0619</t>
  </si>
  <si>
    <t>C0654</t>
  </si>
  <si>
    <t>C0686</t>
  </si>
  <si>
    <t>C0804</t>
  </si>
  <si>
    <t>C0809</t>
  </si>
  <si>
    <t>C0819</t>
  </si>
  <si>
    <t>C0827</t>
  </si>
  <si>
    <t>C0829</t>
  </si>
  <si>
    <t>C0844</t>
  </si>
  <si>
    <t>C0871</t>
  </si>
  <si>
    <t>C0876</t>
  </si>
  <si>
    <t>Customer Type</t>
  </si>
  <si>
    <t>Units</t>
  </si>
  <si>
    <t>Customer Segment Summary</t>
  </si>
  <si>
    <t>Review</t>
  </si>
  <si>
    <t>total</t>
  </si>
  <si>
    <t>Avg Revenue per Customer</t>
  </si>
  <si>
    <t>Avg Profit per Customer</t>
  </si>
  <si>
    <t>Avg Orders per Customer</t>
  </si>
  <si>
    <t>Rank</t>
  </si>
  <si>
    <r>
      <t xml:space="preserve">Top 10 Customers by </t>
    </r>
    <r>
      <rPr>
        <b/>
        <sz val="11"/>
        <color theme="1"/>
        <rFont val="Calibri"/>
        <family val="2"/>
        <scheme val="minor"/>
      </rPr>
      <t>revenue</t>
    </r>
  </si>
  <si>
    <r>
      <t xml:space="preserve">Top 10 Customers by </t>
    </r>
    <r>
      <rPr>
        <b/>
        <sz val="11"/>
        <color theme="1"/>
        <rFont val="Calibri"/>
        <family val="2"/>
        <scheme val="minor"/>
      </rPr>
      <t>Profit</t>
    </r>
  </si>
  <si>
    <t>Sales Channel</t>
  </si>
  <si>
    <t>Sales Channel Analysis</t>
  </si>
  <si>
    <t>Payment Mode</t>
  </si>
  <si>
    <t>Payment Mode Analysis</t>
  </si>
  <si>
    <t>Salesperson ID</t>
  </si>
  <si>
    <t>Salesperson Name</t>
  </si>
  <si>
    <t>Avg Order Value</t>
  </si>
  <si>
    <t>Salesperson Analysis</t>
  </si>
  <si>
    <t>City Performance</t>
  </si>
  <si>
    <t>Region Performance</t>
  </si>
  <si>
    <t>NOVAMART RETAIL SALES AND PROFIT ANALYSIS</t>
  </si>
  <si>
    <t>FY 2025 | Sales Performance Dashboard</t>
  </si>
  <si>
    <t>Total Orders</t>
  </si>
  <si>
    <t>Avg. Order Value</t>
  </si>
  <si>
    <t>Revenue Lable</t>
  </si>
  <si>
    <t>Profit Lable</t>
  </si>
  <si>
    <t>Margin</t>
  </si>
  <si>
    <t>Profit_Drop_Analysis</t>
  </si>
  <si>
    <t>Nov Revenue</t>
  </si>
  <si>
    <t>Nov Profit</t>
  </si>
  <si>
    <t>Nov Margin</t>
  </si>
  <si>
    <t>Dec Revenue</t>
  </si>
  <si>
    <t>Dec Profit</t>
  </si>
  <si>
    <t>Dec Margin</t>
  </si>
  <si>
    <t>Product_Level_Investigation</t>
  </si>
  <si>
    <t>Normal Margin</t>
  </si>
  <si>
    <t>Nov Discount</t>
  </si>
  <si>
    <t>Dec Discount</t>
  </si>
  <si>
    <t>Product_Discount_Analysis</t>
  </si>
  <si>
    <t>Key Business Insights</t>
  </si>
  <si>
    <t>West is NovaMart's strongest region</t>
  </si>
  <si>
    <t>Insight 1</t>
  </si>
  <si>
    <t>Insight 2</t>
  </si>
  <si>
    <t>Insight 3</t>
  </si>
  <si>
    <t>Insight 4</t>
  </si>
  <si>
    <t>Insight 5</t>
  </si>
  <si>
    <t>Electronics drives revenue, while Office Supplies drives margin</t>
  </si>
  <si>
    <t>Occasional and Loyal customers drive the business</t>
  </si>
  <si>
    <t>November–December show a major profitability decline</t>
  </si>
  <si>
    <t>High-revenue products require margin protection</t>
  </si>
  <si>
    <r>
      <rPr>
        <sz val="11"/>
        <color theme="8" tint="-0.249977111117893"/>
        <rFont val="Calibri"/>
        <family val="2"/>
        <scheme val="minor"/>
      </rPr>
      <t>⚠️ Profitability Alert: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 tint="0.34998626667073579"/>
        <rFont val="Calibri"/>
        <family val="2"/>
        <scheme val="minor"/>
      </rPr>
      <t>November and December margins declined sharply to 6.99% and 6.10%, compared with ~14.7–15.4% in most other months. The decline is concentrated in Electronics and Furniture and coincides with high seasonal discounts</t>
    </r>
  </si>
  <si>
    <r>
      <rPr>
        <sz val="11"/>
        <color theme="8" tint="-0.249977111117893"/>
        <rFont val="Calibri"/>
        <family val="2"/>
        <scheme val="minor"/>
      </rPr>
      <t>Margin Insight: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 tint="0.34998626667073579"/>
        <rFont val="Calibri"/>
        <family val="2"/>
        <scheme val="minor"/>
      </rPr>
      <t>Electronics and Furniture experienced substantial margin compression during the festival period, while Office Supplies remained consistently above 27% margin.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</si>
</sst>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 &quot;₹&quot;\ * #,##0.00_ ;_ &quot;₹&quot;\ * \-#,##0.00_ ;_ &quot;₹&quot;\ * &quot;-&quot;??_ ;_ @_ "/>
    <numFmt numFmtId="164" formatCode="[$-14009]dd/mm/yyyy;@"/>
    <numFmt numFmtId="165" formatCode="0.000%"/>
    <numFmt numFmtId="166" formatCode="&quot;₹&quot;\ #,##0.00"/>
    <numFmt numFmtId="167" formatCode="_ &quot;₹&quot;\ * #,##0_ ;_ &quot;₹&quot;\ * \-#,##0_ ;_ &quot;₹&quot;\ * &quot;-&quot;??_ ;_ @_ 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8" tint="-0.249977111117893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  <font>
      <b/>
      <sz val="13"/>
      <color theme="8" tint="-0.249977111117893"/>
      <name val="Calibri"/>
      <family val="2"/>
      <scheme val="minor"/>
    </font>
    <font>
      <b/>
      <sz val="11"/>
      <color theme="1"/>
      <name val="Calibri"/>
      <scheme val="minor"/>
    </font>
    <font>
      <b/>
      <sz val="12"/>
      <color theme="8" tint="-0.249977111117893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1"/>
      <color theme="8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0" tint="-0.14999847407452621"/>
      </top>
      <bottom style="thin">
        <color theme="4" tint="0.39997558519241921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4" tint="0.399975585192419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0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4" fontId="0" fillId="0" borderId="0" xfId="0" applyNumberFormat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164" fontId="0" fillId="0" borderId="0" xfId="0" applyNumberFormat="1"/>
    <xf numFmtId="14" fontId="0" fillId="0" borderId="0" xfId="0" applyNumberFormat="1" applyAlignment="1">
      <alignment horizontal="right" vertical="center" wrapText="1"/>
    </xf>
    <xf numFmtId="0" fontId="0" fillId="2" borderId="1" xfId="0" applyFont="1" applyFill="1" applyBorder="1" applyAlignment="1">
      <alignment vertical="center" wrapText="1"/>
    </xf>
    <xf numFmtId="0" fontId="0" fillId="2" borderId="2" xfId="0" applyFont="1" applyFill="1" applyBorder="1" applyAlignment="1">
      <alignment vertical="center" wrapText="1"/>
    </xf>
    <xf numFmtId="166" fontId="0" fillId="0" borderId="0" xfId="0" applyNumberFormat="1"/>
    <xf numFmtId="44" fontId="0" fillId="0" borderId="0" xfId="2" applyFont="1" applyAlignment="1">
      <alignment horizontal="right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right" wrapText="1"/>
    </xf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66" fontId="0" fillId="0" borderId="0" xfId="0" applyNumberFormat="1" applyAlignment="1">
      <alignment horizontal="right" wrapText="1"/>
    </xf>
    <xf numFmtId="44" fontId="0" fillId="0" borderId="0" xfId="2" applyFont="1" applyAlignment="1">
      <alignment horizontal="right" wrapText="1"/>
    </xf>
    <xf numFmtId="44" fontId="0" fillId="0" borderId="0" xfId="2" applyFont="1" applyAlignment="1"/>
    <xf numFmtId="44" fontId="0" fillId="0" borderId="0" xfId="2" applyFont="1" applyAlignment="1">
      <alignment wrapText="1"/>
    </xf>
    <xf numFmtId="0" fontId="0" fillId="2" borderId="1" xfId="0" applyFont="1" applyFill="1" applyBorder="1" applyAlignment="1"/>
    <xf numFmtId="0" fontId="0" fillId="2" borderId="2" xfId="0" applyFont="1" applyFill="1" applyBorder="1" applyAlignment="1"/>
    <xf numFmtId="44" fontId="0" fillId="2" borderId="2" xfId="2" applyFont="1" applyFill="1" applyBorder="1" applyAlignment="1"/>
    <xf numFmtId="0" fontId="0" fillId="2" borderId="1" xfId="0" applyFont="1" applyFill="1" applyBorder="1" applyAlignment="1">
      <alignment wrapText="1"/>
    </xf>
    <xf numFmtId="0" fontId="0" fillId="2" borderId="2" xfId="0" applyFont="1" applyFill="1" applyBorder="1" applyAlignment="1">
      <alignment wrapText="1"/>
    </xf>
    <xf numFmtId="0" fontId="0" fillId="0" borderId="1" xfId="0" applyFont="1" applyBorder="1" applyAlignment="1"/>
    <xf numFmtId="0" fontId="0" fillId="0" borderId="2" xfId="0" applyFont="1" applyBorder="1" applyAlignment="1"/>
    <xf numFmtId="44" fontId="0" fillId="0" borderId="2" xfId="2" applyFont="1" applyBorder="1" applyAlignment="1"/>
    <xf numFmtId="0" fontId="0" fillId="0" borderId="1" xfId="0" applyFont="1" applyBorder="1" applyAlignment="1">
      <alignment wrapText="1"/>
    </xf>
    <xf numFmtId="0" fontId="0" fillId="0" borderId="2" xfId="0" applyFont="1" applyBorder="1" applyAlignment="1">
      <alignment wrapText="1"/>
    </xf>
    <xf numFmtId="14" fontId="0" fillId="0" borderId="0" xfId="0" applyNumberFormat="1" applyAlignment="1">
      <alignment horizontal="right" wrapText="1"/>
    </xf>
    <xf numFmtId="166" fontId="0" fillId="0" borderId="0" xfId="0" applyNumberFormat="1" applyAlignment="1"/>
    <xf numFmtId="0" fontId="0" fillId="0" borderId="0" xfId="0" applyAlignment="1">
      <alignment vertical="center"/>
    </xf>
    <xf numFmtId="44" fontId="0" fillId="0" borderId="0" xfId="2" applyFont="1" applyAlignment="1">
      <alignment vertical="center"/>
    </xf>
    <xf numFmtId="0" fontId="0" fillId="2" borderId="1" xfId="0" applyFont="1" applyFill="1" applyBorder="1" applyAlignment="1">
      <alignment vertical="center"/>
    </xf>
    <xf numFmtId="0" fontId="0" fillId="2" borderId="2" xfId="0" applyFont="1" applyFill="1" applyBorder="1" applyAlignment="1">
      <alignment vertical="center"/>
    </xf>
    <xf numFmtId="44" fontId="0" fillId="2" borderId="2" xfId="2" applyFont="1" applyFill="1" applyBorder="1" applyAlignment="1">
      <alignment vertical="center"/>
    </xf>
    <xf numFmtId="166" fontId="0" fillId="0" borderId="0" xfId="0" applyNumberFormat="1" applyAlignment="1">
      <alignment vertical="center"/>
    </xf>
    <xf numFmtId="165" fontId="0" fillId="0" borderId="0" xfId="1" applyNumberFormat="1" applyFont="1" applyAlignment="1">
      <alignment vertical="center"/>
    </xf>
    <xf numFmtId="2" fontId="0" fillId="0" borderId="0" xfId="0" applyNumberFormat="1" applyAlignment="1">
      <alignment vertical="center"/>
    </xf>
    <xf numFmtId="0" fontId="0" fillId="2" borderId="3" xfId="0" applyFont="1" applyFill="1" applyBorder="1" applyAlignment="1">
      <alignment wrapText="1"/>
    </xf>
    <xf numFmtId="0" fontId="0" fillId="2" borderId="3" xfId="0" applyFont="1" applyFill="1" applyBorder="1" applyAlignment="1">
      <alignment horizontal="right" wrapText="1"/>
    </xf>
    <xf numFmtId="44" fontId="0" fillId="2" borderId="3" xfId="2" applyNumberFormat="1" applyFont="1" applyFill="1" applyBorder="1" applyAlignment="1">
      <alignment horizontal="right" wrapText="1"/>
    </xf>
    <xf numFmtId="0" fontId="0" fillId="4" borderId="3" xfId="0" applyFont="1" applyFill="1" applyBorder="1" applyAlignment="1">
      <alignment wrapText="1"/>
    </xf>
    <xf numFmtId="0" fontId="0" fillId="4" borderId="3" xfId="0" applyFont="1" applyFill="1" applyBorder="1" applyAlignment="1">
      <alignment horizontal="right" wrapText="1"/>
    </xf>
    <xf numFmtId="44" fontId="0" fillId="4" borderId="3" xfId="2" applyNumberFormat="1" applyFont="1" applyFill="1" applyBorder="1" applyAlignment="1">
      <alignment horizontal="right" wrapText="1"/>
    </xf>
    <xf numFmtId="0" fontId="0" fillId="5" borderId="3" xfId="0" applyFont="1" applyFill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4" xfId="0" applyNumberFormat="1" applyFont="1" applyBorder="1" applyAlignment="1">
      <alignment horizontal="right" wrapText="1"/>
    </xf>
    <xf numFmtId="44" fontId="1" fillId="0" borderId="4" xfId="0" applyNumberFormat="1" applyFont="1" applyBorder="1" applyAlignment="1">
      <alignment horizontal="right" wrapText="1"/>
    </xf>
    <xf numFmtId="0" fontId="1" fillId="0" borderId="5" xfId="0" applyNumberFormat="1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0" fontId="0" fillId="0" borderId="7" xfId="0" applyBorder="1" applyAlignment="1"/>
    <xf numFmtId="0" fontId="0" fillId="5" borderId="8" xfId="0" applyFont="1" applyFill="1" applyBorder="1" applyAlignment="1">
      <alignment wrapText="1"/>
    </xf>
    <xf numFmtId="0" fontId="0" fillId="4" borderId="9" xfId="0" applyFont="1" applyFill="1" applyBorder="1" applyAlignment="1">
      <alignment wrapText="1"/>
    </xf>
    <xf numFmtId="0" fontId="0" fillId="4" borderId="10" xfId="0" applyFont="1" applyFill="1" applyBorder="1" applyAlignment="1">
      <alignment wrapText="1"/>
    </xf>
    <xf numFmtId="0" fontId="1" fillId="0" borderId="11" xfId="0" applyNumberFormat="1" applyFont="1" applyBorder="1" applyAlignment="1">
      <alignment horizontal="right" wrapText="1"/>
    </xf>
    <xf numFmtId="0" fontId="0" fillId="5" borderId="12" xfId="0" applyFont="1" applyFill="1" applyBorder="1" applyAlignment="1">
      <alignment wrapText="1"/>
    </xf>
    <xf numFmtId="0" fontId="0" fillId="5" borderId="8" xfId="0" applyFont="1" applyFill="1" applyBorder="1" applyAlignment="1">
      <alignment horizontal="right" wrapText="1"/>
    </xf>
    <xf numFmtId="0" fontId="0" fillId="4" borderId="13" xfId="0" applyFont="1" applyFill="1" applyBorder="1" applyAlignment="1">
      <alignment horizontal="right" wrapText="1"/>
    </xf>
    <xf numFmtId="0" fontId="0" fillId="4" borderId="14" xfId="0" applyFont="1" applyFill="1" applyBorder="1" applyAlignment="1">
      <alignment horizontal="right" wrapText="1"/>
    </xf>
    <xf numFmtId="0" fontId="0" fillId="5" borderId="9" xfId="0" applyFont="1" applyFill="1" applyBorder="1" applyAlignment="1">
      <alignment horizontal="right" wrapText="1"/>
    </xf>
    <xf numFmtId="0" fontId="0" fillId="4" borderId="9" xfId="0" applyFont="1" applyFill="1" applyBorder="1" applyAlignment="1">
      <alignment horizontal="right" wrapText="1"/>
    </xf>
    <xf numFmtId="44" fontId="0" fillId="5" borderId="15" xfId="2" applyNumberFormat="1" applyFont="1" applyFill="1" applyBorder="1" applyAlignment="1">
      <alignment horizontal="right" wrapText="1"/>
    </xf>
    <xf numFmtId="44" fontId="0" fillId="5" borderId="9" xfId="2" applyNumberFormat="1" applyFont="1" applyFill="1" applyBorder="1" applyAlignment="1">
      <alignment horizontal="right" wrapText="1"/>
    </xf>
    <xf numFmtId="44" fontId="0" fillId="4" borderId="9" xfId="2" applyNumberFormat="1" applyFont="1" applyFill="1" applyBorder="1" applyAlignment="1">
      <alignment horizontal="right" wrapText="1"/>
    </xf>
    <xf numFmtId="44" fontId="0" fillId="4" borderId="15" xfId="2" applyNumberFormat="1" applyFont="1" applyFill="1" applyBorder="1" applyAlignment="1">
      <alignment horizontal="right" wrapText="1"/>
    </xf>
    <xf numFmtId="0" fontId="0" fillId="2" borderId="3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right" wrapText="1"/>
    </xf>
    <xf numFmtId="0" fontId="0" fillId="4" borderId="13" xfId="0" applyFont="1" applyFill="1" applyBorder="1" applyAlignment="1">
      <alignment wrapText="1"/>
    </xf>
    <xf numFmtId="44" fontId="0" fillId="4" borderId="13" xfId="2" applyFont="1" applyFill="1" applyBorder="1" applyAlignment="1">
      <alignment horizontal="right" wrapText="1"/>
    </xf>
    <xf numFmtId="0" fontId="0" fillId="5" borderId="3" xfId="0" applyFont="1" applyFill="1" applyBorder="1" applyAlignment="1">
      <alignment vertical="center" wrapText="1"/>
    </xf>
    <xf numFmtId="44" fontId="0" fillId="0" borderId="0" xfId="2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16" xfId="0" applyBorder="1"/>
    <xf numFmtId="44" fontId="0" fillId="0" borderId="0" xfId="2" applyFont="1"/>
    <xf numFmtId="0" fontId="7" fillId="0" borderId="0" xfId="0" applyFont="1" applyAlignment="1">
      <alignment horizontal="right" wrapText="1"/>
    </xf>
    <xf numFmtId="166" fontId="0" fillId="0" borderId="0" xfId="2" applyNumberFormat="1" applyFont="1" applyAlignment="1"/>
    <xf numFmtId="10" fontId="0" fillId="0" borderId="0" xfId="1" applyNumberFormat="1" applyFont="1" applyAlignment="1">
      <alignment horizontal="right" vertical="center" wrapText="1"/>
    </xf>
    <xf numFmtId="44" fontId="0" fillId="0" borderId="0" xfId="0" applyNumberFormat="1" applyAlignment="1"/>
    <xf numFmtId="10" fontId="0" fillId="0" borderId="0" xfId="1" applyNumberFormat="1" applyFont="1" applyAlignment="1"/>
    <xf numFmtId="10" fontId="0" fillId="2" borderId="2" xfId="1" applyNumberFormat="1" applyFont="1" applyFill="1" applyBorder="1" applyAlignment="1"/>
    <xf numFmtId="10" fontId="0" fillId="0" borderId="2" xfId="1" applyNumberFormat="1" applyFont="1" applyBorder="1" applyAlignment="1"/>
    <xf numFmtId="10" fontId="0" fillId="2" borderId="18" xfId="1" applyNumberFormat="1" applyFont="1" applyFill="1" applyBorder="1" applyAlignment="1"/>
    <xf numFmtId="10" fontId="0" fillId="0" borderId="18" xfId="1" applyNumberFormat="1" applyFont="1" applyBorder="1" applyAlignment="1"/>
    <xf numFmtId="10" fontId="0" fillId="0" borderId="0" xfId="1" applyNumberFormat="1" applyFont="1" applyAlignment="1">
      <alignment vertical="center"/>
    </xf>
    <xf numFmtId="0" fontId="0" fillId="0" borderId="0" xfId="0" applyAlignment="1">
      <alignment horizontal="center"/>
    </xf>
    <xf numFmtId="44" fontId="5" fillId="0" borderId="17" xfId="2" applyFont="1" applyBorder="1" applyAlignment="1">
      <alignment horizontal="center" vertical="center"/>
    </xf>
    <xf numFmtId="10" fontId="5" fillId="0" borderId="17" xfId="1" applyNumberFormat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/>
    </xf>
    <xf numFmtId="167" fontId="5" fillId="0" borderId="17" xfId="2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9" fillId="0" borderId="1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7" xfId="0" applyFont="1" applyBorder="1" applyAlignment="1">
      <alignment horizontal="center" vertical="center"/>
    </xf>
    <xf numFmtId="166" fontId="5" fillId="0" borderId="17" xfId="0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wrapText="1"/>
    </xf>
    <xf numFmtId="0" fontId="1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3" fillId="3" borderId="0" xfId="0" applyFont="1" applyFill="1" applyBorder="1" applyAlignment="1">
      <alignment horizontal="center" vertical="center" wrapText="1"/>
    </xf>
  </cellXfs>
  <cellStyles count="3">
    <cellStyle name="Currency" xfId="2" builtinId="4"/>
    <cellStyle name="Normal" xfId="0" builtinId="0"/>
    <cellStyle name="Percent" xfId="1" builtinId="5"/>
  </cellStyles>
  <dxfs count="26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right" vertical="center" textRotation="0" wrapText="1" indent="0" justifyLastLine="0" shrinkToFit="0" readingOrder="0"/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 &quot;₹&quot;\ * #,##0.00_ ;_ &quot;₹&quot;\ * \-#,##0.00_ ;_ &quot;₹&quot;\ * &quot;-&quot;??_ ;_ @_ 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 &quot;₹&quot;\ * #,##0.00_ ;_ &quot;₹&quot;\ * \-#,##0.00_ ;_ &quot;₹&quot;\ * &quot;-&quot;??_ ;_ @_ 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3" formatCode="0%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3" formatCode="0%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3" formatCode="0%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3" formatCode="0%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center" textRotation="0" wrapText="1" indent="0" justifyLastLine="0" shrinkToFit="0" readingOrder="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4" formatCode="[$-14009]dd/mm/yyyy;@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4" formatCode="0.00%"/>
    </dxf>
    <dxf>
      <alignment horizontal="right" vertical="center" textRotation="0" wrapText="1" indent="0" justifyLastLine="0" shrinkToFit="0" readingOrder="0"/>
    </dxf>
    <dxf>
      <numFmt numFmtId="14" formatCode="0.00%"/>
    </dxf>
    <dxf>
      <numFmt numFmtId="14" formatCode="0.00%"/>
      <alignment horizontal="general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center" textRotation="0" wrapText="1" indent="0" justifyLastLine="0" shrinkToFit="0" readingOrder="0"/>
    </dxf>
    <dxf>
      <numFmt numFmtId="14" formatCode="0.00%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4" formatCode="0.00%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center" textRotation="0" wrapText="1" indent="0" justifyLastLine="0" shrinkToFit="0" readingOrder="0"/>
    </dxf>
    <dxf>
      <numFmt numFmtId="0" formatCode="General"/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vertical="bottom" textRotation="0" indent="0" justifyLastLine="0" shrinkToFit="0" readingOrder="0"/>
    </dxf>
    <dxf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 &quot;₹&quot;\ * #,##0.00_ ;_ &quot;₹&quot;\ * \-#,##0.00_ ;_ &quot;₹&quot;\ * &quot;-&quot;??_ ;_ @_ 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 &quot;₹&quot;\ * #,##0.00_ ;_ &quot;₹&quot;\ * \-#,##0.00_ ;_ &quot;₹&quot;\ * &quot;-&quot;??_ ;_ @_ 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right" vertical="bottom" textRotation="0" wrapText="1" indent="0" justifyLastLine="0" shrinkToFit="0" readingOrder="0"/>
    </dxf>
    <dxf>
      <numFmt numFmtId="0" formatCode="General"/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bottom" textRotation="0" wrapText="1" indent="0" justifyLastLine="0" shrinkToFit="0" readingOrder="0"/>
    </dxf>
    <dxf>
      <numFmt numFmtId="0" formatCode="General"/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vertical="bottom" textRotation="0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numFmt numFmtId="0" formatCode="General"/>
      <alignment horizontal="right" vertical="bottom" textRotation="0" wrapText="1" indent="0" justifyLastLine="0" shrinkToFit="0" readingOrder="0"/>
    </dxf>
    <dxf>
      <numFmt numFmtId="0" formatCode="General"/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numFmt numFmtId="166" formatCode="&quot;₹&quot;\ #,##0.00"/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bottom" textRotation="0" wrapText="1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numFmt numFmtId="0" formatCode="General"/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bottom" textRotation="0" wrapText="1" indent="0" justifyLastLine="0" shrinkToFit="0" readingOrder="0"/>
    </dxf>
    <dxf>
      <numFmt numFmtId="0" formatCode="General"/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vertical="bottom" textRotation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alignment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vertical="bottom" textRotation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vertical="bottom" textRotation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vertical="bottom" textRotation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vertical="bottom" textRotation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vertical="bottom" textRotation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general" vertical="bottom" textRotation="0" wrapText="1" indent="0" justifyLastLine="0" shrinkToFit="0" readingOrder="0"/>
    </dxf>
    <dxf>
      <alignment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 &quot;₹&quot;\ * #,##0.00_ ;_ &quot;₹&quot;\ * \-#,##0.00_ ;_ &quot;₹&quot;\ * &quot;-&quot;??_ ;_ @_ 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66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>
                <a:solidFill>
                  <a:schemeClr val="accent5">
                    <a:lumMod val="75000"/>
                  </a:schemeClr>
                </a:solidFill>
              </a:rPr>
              <a:t>Monthly</a:t>
            </a:r>
            <a:r>
              <a:rPr lang="en-IN" sz="1100" b="1" baseline="0">
                <a:solidFill>
                  <a:schemeClr val="accent5">
                    <a:lumMod val="75000"/>
                  </a:schemeClr>
                </a:solidFill>
              </a:rPr>
              <a:t> Revenue Trend</a:t>
            </a:r>
            <a:endParaRPr lang="en-IN" sz="1100" b="1">
              <a:solidFill>
                <a:schemeClr val="accent5">
                  <a:lumMod val="75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</c:v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60000"/>
                  <a:lumOff val="40000"/>
                </a:schemeClr>
              </a:solidFill>
              <a:ln w="22225">
                <a:solidFill>
                  <a:schemeClr val="accent5">
                    <a:lumMod val="7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&quot;₹&quot;\ 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545613684692836"/>
                      <c:h val="6.0944444444444433E-2"/>
                    </c:manualLayout>
                  </c15:layout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0.12163410364557022"/>
                  <c:y val="6.6708005249343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708366131325115"/>
                      <c:h val="7.7694663167104105E-2"/>
                    </c:manualLayout>
                  </c15:layout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</c:extLst>
            </c:dLbl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Analysis!$L$3:$L$17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Analysis!$P$3:$P$14</c:f>
              <c:numCache>
                <c:formatCode>_("₹"* #,##0.00_);_("₹"* \(#,##0.00\);_("₹"* "-"??_);_(@_)</c:formatCode>
                <c:ptCount val="12"/>
                <c:pt idx="0">
                  <c:v>11736181.339999996</c:v>
                </c:pt>
                <c:pt idx="1">
                  <c:v>9441583.4200000037</c:v>
                </c:pt>
                <c:pt idx="2">
                  <c:v>11872560.719999993</c:v>
                </c:pt>
                <c:pt idx="3">
                  <c:v>10348639.500000002</c:v>
                </c:pt>
                <c:pt idx="4">
                  <c:v>8656122.3099999968</c:v>
                </c:pt>
                <c:pt idx="5">
                  <c:v>10428619.619999997</c:v>
                </c:pt>
                <c:pt idx="6">
                  <c:v>11213253.190000001</c:v>
                </c:pt>
                <c:pt idx="7">
                  <c:v>10899166.059999993</c:v>
                </c:pt>
                <c:pt idx="8">
                  <c:v>10035486.329999998</c:v>
                </c:pt>
                <c:pt idx="9">
                  <c:v>11273306.720000003</c:v>
                </c:pt>
                <c:pt idx="10">
                  <c:v>8908819.2800000012</c:v>
                </c:pt>
                <c:pt idx="11">
                  <c:v>9265329.2699999996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4840624"/>
        <c:axId val="314843368"/>
      </c:lineChart>
      <c:catAx>
        <c:axId val="31484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843368"/>
        <c:crosses val="autoZero"/>
        <c:auto val="1"/>
        <c:lblAlgn val="ctr"/>
        <c:lblOffset val="100"/>
        <c:noMultiLvlLbl val="0"/>
      </c:catAx>
      <c:valAx>
        <c:axId val="314843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840624"/>
        <c:crosses val="autoZero"/>
        <c:crossBetween val="between"/>
        <c:majorUnit val="400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>
                <a:solidFill>
                  <a:schemeClr val="accent5">
                    <a:lumMod val="75000"/>
                  </a:schemeClr>
                </a:solidFill>
              </a:rPr>
              <a:t>Category Re</a:t>
            </a:r>
            <a:r>
              <a:rPr lang="en-IN" sz="1200" b="1" baseline="0">
                <a:solidFill>
                  <a:schemeClr val="accent5">
                    <a:lumMod val="75000"/>
                  </a:schemeClr>
                </a:solidFill>
              </a:rPr>
              <a:t>venue &amp; Profit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554452103305121E-2"/>
                  <c:y val="2.2222222222222223E-2"/>
                </c:manualLayout>
              </c:layout>
              <c:tx>
                <c:rich>
                  <a:bodyPr/>
                  <a:lstStyle/>
                  <a:p>
                    <a:fld id="{628BEDA7-258D-457F-8055-85A9CB80BFE8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"/>
              <c:layout>
                <c:manualLayout>
                  <c:x val="-1.1840409920585345E-2"/>
                  <c:y val="1.6666666666666666E-2"/>
                </c:manualLayout>
              </c:layout>
              <c:tx>
                <c:rich>
                  <a:bodyPr/>
                  <a:lstStyle/>
                  <a:p>
                    <a:fld id="{804DA962-E23D-484D-82C2-7B74A3800A5B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"/>
              <c:layout>
                <c:manualLayout>
                  <c:x val="-2.6640922321317134E-2"/>
                  <c:y val="1.6666666666666666E-2"/>
                </c:manualLayout>
              </c:layout>
              <c:tx>
                <c:rich>
                  <a:bodyPr/>
                  <a:lstStyle/>
                  <a:p>
                    <a:fld id="{1DEFD1C6-B7FA-4C67-9D54-559ABEBCA40B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Analysis!$T$3:$T$8</c15:sqref>
                  </c15:fullRef>
                </c:ext>
              </c:extLst>
              <c:f>(Analysis!$T$3,Analysis!$T$5,Analysis!$T$7)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Analysis!$X$3:$X$8</c15:sqref>
                  </c15:fullRef>
                </c:ext>
              </c:extLst>
              <c:f>(Analysis!$X$3,Analysis!$X$5,Analysis!$X$7)</c:f>
              <c:numCache>
                <c:formatCode>_("₹"* #,##0.00_);_("₹"* \(#,##0.00\);_("₹"* "-"??_);_(@_)</c:formatCode>
                <c:ptCount val="3"/>
                <c:pt idx="0">
                  <c:v>62713703.630000003</c:v>
                </c:pt>
                <c:pt idx="1">
                  <c:v>42783268.579999968</c:v>
                </c:pt>
                <c:pt idx="2">
                  <c:v>407947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Analysis!$AA$3:$AA$8</c15:f>
                <c15:dlblRangeCache>
                  <c:ptCount val="6"/>
                  <c:pt idx="0">
                    <c:v>₹6.27 Cr</c:v>
                  </c:pt>
                  <c:pt idx="1">
                    <c:v>₹1.11 Cr</c:v>
                  </c:pt>
                  <c:pt idx="2">
                    <c:v>₹4.28 Cr</c:v>
                  </c:pt>
                  <c:pt idx="3">
                    <c:v>₹0.69 Cr</c:v>
                  </c:pt>
                  <c:pt idx="4">
                    <c:v>₹0.04 Cr</c:v>
                  </c:pt>
                  <c:pt idx="5">
                    <c:v>₹0.01 Cr</c:v>
                  </c:pt>
                </c15:dlblRangeCache>
              </c15:datalabelsRange>
            </c:ext>
          </c:extLst>
        </c:ser>
        <c:ser>
          <c:idx val="1"/>
          <c:order val="1"/>
          <c:tx>
            <c:v>Profit</c:v>
          </c:tx>
          <c:spPr>
            <a:solidFill>
              <a:srgbClr val="FF66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0915028989312398E-2"/>
                  <c:y val="0"/>
                </c:manualLayout>
              </c:layout>
              <c:tx>
                <c:rich>
                  <a:bodyPr/>
                  <a:lstStyle/>
                  <a:p>
                    <a:fld id="{70FBE761-261E-4123-85FC-D5930F59595F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"/>
              <c:layout>
                <c:manualLayout>
                  <c:x val="3.8842196694437309E-2"/>
                  <c:y val="-2.5462668816039986E-17"/>
                </c:manualLayout>
              </c:layout>
              <c:tx>
                <c:rich>
                  <a:bodyPr/>
                  <a:lstStyle/>
                  <a:p>
                    <a:fld id="{905DDD65-2BD7-4F39-8CBD-7735A2346A16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"/>
              <c:layout>
                <c:manualLayout>
                  <c:x val="2.0915028989312287E-2"/>
                  <c:y val="0"/>
                </c:manualLayout>
              </c:layout>
              <c:tx>
                <c:rich>
                  <a:bodyPr/>
                  <a:lstStyle/>
                  <a:p>
                    <a:fld id="{126A1FD3-0D17-453E-919B-2FC6985283E1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Analysis!$T$3:$T$8</c15:sqref>
                  </c15:fullRef>
                </c:ext>
              </c:extLst>
              <c:f>(Analysis!$T$3,Analysis!$T$5,Analysis!$T$7)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Analysis!$Y$3:$Y$8</c15:sqref>
                  </c15:fullRef>
                </c:ext>
              </c:extLst>
              <c:f>(Analysis!$Y$3,Analysis!$Y$5,Analysis!$Y$7)</c:f>
              <c:numCache>
                <c:formatCode>_("₹"* #,##0.00_);_("₹"* \(#,##0.00\);_("₹"* "-"??_);_(@_)</c:formatCode>
                <c:ptCount val="3"/>
                <c:pt idx="0">
                  <c:v>8574838.7400000077</c:v>
                </c:pt>
                <c:pt idx="1">
                  <c:v>7242049.799999997</c:v>
                </c:pt>
                <c:pt idx="2">
                  <c:v>113119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Analysis!$AB$3:$AB$8</c15:f>
                <c15:dlblRangeCache>
                  <c:ptCount val="6"/>
                  <c:pt idx="0">
                    <c:v>₹85.75 L</c:v>
                  </c:pt>
                  <c:pt idx="1">
                    <c:v>₹6.08 L</c:v>
                  </c:pt>
                  <c:pt idx="2">
                    <c:v>₹72.42 L</c:v>
                  </c:pt>
                  <c:pt idx="3">
                    <c:v>₹5.56 L</c:v>
                  </c:pt>
                  <c:pt idx="4">
                    <c:v>₹1.13 L</c:v>
                  </c:pt>
                  <c:pt idx="5">
                    <c:v>₹0.24 L</c:v>
                  </c:pt>
                </c15:dlblRangeCache>
              </c15:datalabelsRang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4844544"/>
        <c:axId val="314840232"/>
      </c:barChart>
      <c:catAx>
        <c:axId val="31484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840232"/>
        <c:crosses val="autoZero"/>
        <c:auto val="1"/>
        <c:lblAlgn val="ctr"/>
        <c:lblOffset val="100"/>
        <c:noMultiLvlLbl val="0"/>
      </c:catAx>
      <c:valAx>
        <c:axId val="314840232"/>
        <c:scaling>
          <c:logBase val="10"/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844544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2145833333333333"/>
          <c:y val="0.856249343832021"/>
          <c:w val="0.25708309898762655"/>
          <c:h val="9.3750656167979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100" b="1">
                <a:solidFill>
                  <a:schemeClr val="accent5">
                    <a:lumMod val="75000"/>
                  </a:schemeClr>
                </a:solidFill>
              </a:rPr>
              <a:t>Top 5 Prodcts</a:t>
            </a:r>
            <a:r>
              <a:rPr lang="en-IN" sz="1100" b="1" baseline="0">
                <a:solidFill>
                  <a:schemeClr val="accent5">
                    <a:lumMod val="75000"/>
                  </a:schemeClr>
                </a:solidFill>
              </a:rPr>
              <a:t> by Revenue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B2E8C18D-6DDF-44B3-8904-87BE182FA2ED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3E6607B9-B0F3-44B3-AF81-794327A2938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813250AF-C21E-49D2-BB55-0A0C3F96875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03C34909-D7B5-485C-95EF-AA22EF7AF8F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81EC486A-D057-449A-9E98-0BA4F3C3782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numFmt formatCode="_(&quot;₹&quot;* #,##0.00_);_(&quot;₹&quot;* \(#,##0.00\);_(&quot;₹&quot;* &quot;-&quot;??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Dashboard!$AB$2:$AB$6</c:f>
              <c:strCache>
                <c:ptCount val="5"/>
                <c:pt idx="0">
                  <c:v>Laptop</c:v>
                </c:pt>
                <c:pt idx="1">
                  <c:v>Sofa</c:v>
                </c:pt>
                <c:pt idx="2">
                  <c:v>Smartphone</c:v>
                </c:pt>
                <c:pt idx="3">
                  <c:v>Wardrobe</c:v>
                </c:pt>
                <c:pt idx="4">
                  <c:v>Tablet</c:v>
                </c:pt>
              </c:strCache>
            </c:strRef>
          </c:cat>
          <c:val>
            <c:numRef>
              <c:f>Dashboard!$AC$2:$AC$6</c:f>
              <c:numCache>
                <c:formatCode>_("₹"* #,##0.00_);_("₹"* \(#,##0.00\);_("₹"* "-"??_);_(@_)</c:formatCode>
                <c:ptCount val="5"/>
                <c:pt idx="0">
                  <c:v>24770999.610000007</c:v>
                </c:pt>
                <c:pt idx="1">
                  <c:v>16882267.379999995</c:v>
                </c:pt>
                <c:pt idx="2">
                  <c:v>16236016</c:v>
                </c:pt>
                <c:pt idx="3">
                  <c:v>12427451.629999995</c:v>
                </c:pt>
                <c:pt idx="4">
                  <c:v>11092821.609999996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Dashboard!$AD$2:$AD$6</c15:f>
                <c15:dlblRangeCache>
                  <c:ptCount val="5"/>
                  <c:pt idx="0">
                    <c:v> ₹2.48 Cr </c:v>
                  </c:pt>
                  <c:pt idx="1">
                    <c:v> ₹1.69 Cr </c:v>
                  </c:pt>
                  <c:pt idx="2">
                    <c:v> ₹1.62 Cr </c:v>
                  </c:pt>
                  <c:pt idx="3">
                    <c:v> ₹1.24 Cr </c:v>
                  </c:pt>
                  <c:pt idx="4">
                    <c:v> ₹1.11 Cr </c:v>
                  </c:pt>
                </c15:dlblRangeCache>
              </c15:datalabelsRange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14841016"/>
        <c:axId val="314837880"/>
      </c:barChart>
      <c:catAx>
        <c:axId val="314841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837880"/>
        <c:crosses val="autoZero"/>
        <c:auto val="1"/>
        <c:lblAlgn val="ctr"/>
        <c:lblOffset val="100"/>
        <c:noMultiLvlLbl val="0"/>
      </c:catAx>
      <c:valAx>
        <c:axId val="314837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841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bg1">
          <a:lumMod val="65000"/>
        </a:schemeClr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100" b="1">
                <a:solidFill>
                  <a:schemeClr val="accent5">
                    <a:lumMod val="75000"/>
                  </a:schemeClr>
                </a:solidFill>
              </a:rPr>
              <a:t>Revenue</a:t>
            </a:r>
            <a:r>
              <a:rPr lang="en-IN" sz="1100" b="1" baseline="0">
                <a:solidFill>
                  <a:schemeClr val="accent5">
                    <a:lumMod val="75000"/>
                  </a:schemeClr>
                </a:solidFill>
              </a:rPr>
              <a:t> by Region</a:t>
            </a:r>
            <a:endParaRPr lang="en-IN" sz="1100" b="1">
              <a:solidFill>
                <a:schemeClr val="accent5">
                  <a:lumMod val="75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9CEAC187-0DDC-4050-AA71-1108749CBF46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20FE4C0A-566D-48AB-B901-A851F6BC3C2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4403F91B-2AF2-4686-A4E1-A88A0CD52C0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EB960F80-6740-4401-8EF4-C1ADACF7A7C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Analysis!$DC$3:$DC$6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Analysis!$DF$3:$DF$6</c:f>
              <c:numCache>
                <c:formatCode>_("₹"* #,##0.00_);_("₹"* \(#,##0.00\);_("₹"* "-"??_);_(@_)</c:formatCode>
                <c:ptCount val="4"/>
                <c:pt idx="0">
                  <c:v>31221256.979999982</c:v>
                </c:pt>
                <c:pt idx="1">
                  <c:v>31841024.739999998</c:v>
                </c:pt>
                <c:pt idx="2">
                  <c:v>10920468.850000001</c:v>
                </c:pt>
                <c:pt idx="3">
                  <c:v>50096317.190000005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Analysis!$DI$3:$DI$6</c15:f>
                <c15:dlblRangeCache>
                  <c:ptCount val="4"/>
                  <c:pt idx="0">
                    <c:v>₹3.12 Cr</c:v>
                  </c:pt>
                  <c:pt idx="1">
                    <c:v>₹3.18 Cr</c:v>
                  </c:pt>
                  <c:pt idx="2">
                    <c:v>₹1.09 Cr</c:v>
                  </c:pt>
                  <c:pt idx="3">
                    <c:v>₹5.01 Cr</c:v>
                  </c:pt>
                </c15:dlblRangeCache>
              </c15:datalabelsRange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14841408"/>
        <c:axId val="314838664"/>
      </c:barChart>
      <c:catAx>
        <c:axId val="31484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838664"/>
        <c:crosses val="autoZero"/>
        <c:auto val="1"/>
        <c:lblAlgn val="ctr"/>
        <c:lblOffset val="100"/>
        <c:noMultiLvlLbl val="0"/>
      </c:catAx>
      <c:valAx>
        <c:axId val="314838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84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bg1">
          <a:lumMod val="65000"/>
        </a:schemeClr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100" b="1">
                <a:solidFill>
                  <a:schemeClr val="accent5">
                    <a:lumMod val="75000"/>
                  </a:schemeClr>
                </a:solidFill>
              </a:rPr>
              <a:t>Revenue</a:t>
            </a:r>
            <a:r>
              <a:rPr lang="en-IN" sz="1100" b="1" baseline="0">
                <a:solidFill>
                  <a:schemeClr val="accent5">
                    <a:lumMod val="75000"/>
                  </a:schemeClr>
                </a:solidFill>
              </a:rPr>
              <a:t> by Customer Segment</a:t>
            </a:r>
            <a:endParaRPr lang="en-IN" sz="1100" b="1">
              <a:solidFill>
                <a:schemeClr val="accent5">
                  <a:lumMod val="75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C48BA8C1-C36A-4E64-ADDD-925AC11F1A85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82A8686E-A2AD-4E3B-AEB7-E4D51A46BDE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38853611-1ED7-4F2C-945F-7E09E3303BD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1C825BCB-E138-457E-AAA6-62C3D1D61A2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Analysis!$AU$3:$AU$6</c:f>
              <c:strCache>
                <c:ptCount val="4"/>
                <c:pt idx="0">
                  <c:v>One-time</c:v>
                </c:pt>
                <c:pt idx="1">
                  <c:v>Occasional</c:v>
                </c:pt>
                <c:pt idx="2">
                  <c:v>Loyal</c:v>
                </c:pt>
                <c:pt idx="3">
                  <c:v>Review</c:v>
                </c:pt>
              </c:strCache>
            </c:strRef>
          </c:cat>
          <c:val>
            <c:numRef>
              <c:f>Analysis!$AY$3:$AY$6</c:f>
              <c:numCache>
                <c:formatCode>_("₹"* #,##0.00_);_("₹"* \(#,##0.00\);_("₹"* "-"??_);_(@_)</c:formatCode>
                <c:ptCount val="4"/>
                <c:pt idx="0">
                  <c:v>3849440.790000001</c:v>
                </c:pt>
                <c:pt idx="1">
                  <c:v>64466271.220000058</c:v>
                </c:pt>
                <c:pt idx="2">
                  <c:v>52523827.599999979</c:v>
                </c:pt>
                <c:pt idx="3">
                  <c:v>3239528.15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Analysis!$BE$3:$BE$6</c15:f>
                <c15:dlblRangeCache>
                  <c:ptCount val="4"/>
                  <c:pt idx="0">
                    <c:v>₹0.38 Cr</c:v>
                  </c:pt>
                  <c:pt idx="1">
                    <c:v>₹6.45 Cr</c:v>
                  </c:pt>
                  <c:pt idx="2">
                    <c:v>₹5.25 Cr</c:v>
                  </c:pt>
                  <c:pt idx="3">
                    <c:v>₹0.32 Cr</c:v>
                  </c:pt>
                </c15:dlblRangeCache>
              </c15:datalabelsRang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4839840"/>
        <c:axId val="314709184"/>
      </c:barChart>
      <c:catAx>
        <c:axId val="31483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709184"/>
        <c:crosses val="autoZero"/>
        <c:auto val="1"/>
        <c:lblAlgn val="ctr"/>
        <c:lblOffset val="100"/>
        <c:noMultiLvlLbl val="0"/>
      </c:catAx>
      <c:valAx>
        <c:axId val="31470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83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bg1">
          <a:lumMod val="65000"/>
        </a:schemeClr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100" b="1">
                <a:solidFill>
                  <a:schemeClr val="accent5">
                    <a:lumMod val="75000"/>
                  </a:schemeClr>
                </a:solidFill>
              </a:rPr>
              <a:t>Revenue </a:t>
            </a:r>
            <a:r>
              <a:rPr lang="en-IN" sz="1100" b="1" i="0" u="none" strike="noStrike" baseline="0">
                <a:solidFill>
                  <a:schemeClr val="accent5">
                    <a:lumMod val="75000"/>
                  </a:schemeClr>
                </a:solidFill>
                <a:effectLst/>
              </a:rPr>
              <a:t>by Sales Channel </a:t>
            </a:r>
            <a:endParaRPr lang="en-IN" sz="1100" b="1">
              <a:solidFill>
                <a:schemeClr val="accent5">
                  <a:lumMod val="75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3E9F1FD2-F0D9-484F-8BEA-F7900AAA22DD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5B429E2D-3779-4DD3-8BF4-E8E5B6B482A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D46FE3BD-6BEC-44D1-8D23-398FDEE7DE4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Analysis!$BU$3:$BU$5</c15:sqref>
                  </c15:fullRef>
                </c:ext>
              </c:extLst>
              <c:f>Analysis!$BU$3:$BU$5</c:f>
              <c:strCache>
                <c:ptCount val="3"/>
                <c:pt idx="0">
                  <c:v>Online</c:v>
                </c:pt>
                <c:pt idx="1">
                  <c:v>Corporate</c:v>
                </c:pt>
                <c:pt idx="2">
                  <c:v>In-Store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Analysis!$BX$3:$BX$6</c15:sqref>
                  </c15:fullRef>
                </c:ext>
              </c:extLst>
              <c:f>Analysis!$BX$3:$BX$5</c:f>
              <c:numCache>
                <c:formatCode>_("₹"* #,##0.00_);_("₹"* \(#,##0.00\);_("₹"* "-"??_);_(@_)</c:formatCode>
                <c:ptCount val="3"/>
                <c:pt idx="0">
                  <c:v>46169839.39000006</c:v>
                </c:pt>
                <c:pt idx="1">
                  <c:v>7696048.1300000008</c:v>
                </c:pt>
                <c:pt idx="2">
                  <c:v>70213180.23999995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Analysis!$CA$3:$CA$5</c15:f>
                <c15:dlblRangeCache>
                  <c:ptCount val="3"/>
                  <c:pt idx="0">
                    <c:v>₹4.62 Cr</c:v>
                  </c:pt>
                  <c:pt idx="1">
                    <c:v>₹0.77 Cr</c:v>
                  </c:pt>
                  <c:pt idx="2">
                    <c:v>₹7.02 Cr</c:v>
                  </c:pt>
                </c15:dlblRangeCache>
              </c15:datalabelsRange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14706048"/>
        <c:axId val="314704872"/>
      </c:barChart>
      <c:catAx>
        <c:axId val="31470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704872"/>
        <c:crosses val="autoZero"/>
        <c:auto val="1"/>
        <c:lblAlgn val="ctr"/>
        <c:lblOffset val="100"/>
        <c:noMultiLvlLbl val="0"/>
      </c:catAx>
      <c:valAx>
        <c:axId val="314704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&quot;₹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706048"/>
        <c:crosses val="autoZero"/>
        <c:crossBetween val="between"/>
        <c:majorUnit val="20000000"/>
        <c:minorUnit val="200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bg1">
          <a:lumMod val="65000"/>
        </a:schemeClr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100" b="1" baseline="0">
                <a:solidFill>
                  <a:schemeClr val="accent5">
                    <a:lumMod val="75000"/>
                  </a:schemeClr>
                </a:solidFill>
              </a:rPr>
              <a:t>Revenue </a:t>
            </a:r>
            <a:r>
              <a:rPr lang="en-IN" sz="1100" b="1" i="0" u="none" strike="noStrike" baseline="0">
                <a:solidFill>
                  <a:schemeClr val="accent5">
                    <a:lumMod val="75000"/>
                  </a:schemeClr>
                </a:solidFill>
                <a:effectLst/>
              </a:rPr>
              <a:t> by Payment Mode</a:t>
            </a:r>
            <a:endParaRPr lang="en-IN" sz="1100" b="1">
              <a:solidFill>
                <a:schemeClr val="accent5">
                  <a:lumMod val="75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9A1B1306-BE7E-4C68-8901-FB46F7DD504F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A5D5E281-959F-4EBF-999E-AC49E8BFD07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BA13A353-BF77-414C-83A4-5F8D27C5B93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F8AAE8FF-4EBC-43A6-BE5B-7069A433F89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8BD13153-4F34-4346-9842-6A2B8EA669B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Analysis!$CC$3:$CC$7</c:f>
              <c:strCache>
                <c:ptCount val="5"/>
                <c:pt idx="0">
                  <c:v>UPI</c:v>
                </c:pt>
                <c:pt idx="1">
                  <c:v>Credit Card</c:v>
                </c:pt>
                <c:pt idx="2">
                  <c:v>Debit Card</c:v>
                </c:pt>
                <c:pt idx="3">
                  <c:v>Cash</c:v>
                </c:pt>
                <c:pt idx="4">
                  <c:v>Net Banking</c:v>
                </c:pt>
              </c:strCache>
            </c:strRef>
          </c:cat>
          <c:val>
            <c:numRef>
              <c:f>Analysis!$CF$3:$CF$7</c:f>
              <c:numCache>
                <c:formatCode>_("₹"* #,##0.00_);_("₹"* \(#,##0.00\);_("₹"* "-"??_);_(@_)</c:formatCode>
                <c:ptCount val="5"/>
                <c:pt idx="0">
                  <c:v>48443972.540000036</c:v>
                </c:pt>
                <c:pt idx="1">
                  <c:v>30885641.479999963</c:v>
                </c:pt>
                <c:pt idx="2">
                  <c:v>27155932.219999988</c:v>
                </c:pt>
                <c:pt idx="3">
                  <c:v>11258890.119999997</c:v>
                </c:pt>
                <c:pt idx="4">
                  <c:v>6334631.4000000022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Analysis!$CI$3:$CI$7</c15:f>
                <c15:dlblRangeCache>
                  <c:ptCount val="5"/>
                  <c:pt idx="0">
                    <c:v>₹4.84 Cr</c:v>
                  </c:pt>
                  <c:pt idx="1">
                    <c:v>₹3.09 Cr</c:v>
                  </c:pt>
                  <c:pt idx="2">
                    <c:v>₹2.72 Cr</c:v>
                  </c:pt>
                  <c:pt idx="3">
                    <c:v>₹1.13 Cr</c:v>
                  </c:pt>
                  <c:pt idx="4">
                    <c:v>₹0.63 Cr</c:v>
                  </c:pt>
                </c15:dlblRangeCache>
              </c15:datalabelsRang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4709968"/>
        <c:axId val="314710360"/>
      </c:barChart>
      <c:catAx>
        <c:axId val="31470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710360"/>
        <c:crosses val="autoZero"/>
        <c:auto val="1"/>
        <c:lblAlgn val="ctr"/>
        <c:lblOffset val="100"/>
        <c:noMultiLvlLbl val="0"/>
      </c:catAx>
      <c:valAx>
        <c:axId val="314710360"/>
        <c:scaling>
          <c:orientation val="minMax"/>
          <c:max val="55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709968"/>
        <c:crosses val="autoZero"/>
        <c:crossBetween val="between"/>
        <c:majorUnit val="1000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bg1">
          <a:lumMod val="65000"/>
        </a:schemeClr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100" b="1">
                <a:solidFill>
                  <a:schemeClr val="accent5">
                    <a:lumMod val="75000"/>
                  </a:schemeClr>
                </a:solidFill>
              </a:rPr>
              <a:t>Revenue </a:t>
            </a:r>
            <a:r>
              <a:rPr lang="en-IN" sz="1100" b="1" i="0" u="none" strike="noStrike" baseline="0">
                <a:solidFill>
                  <a:schemeClr val="accent5">
                    <a:lumMod val="75000"/>
                  </a:schemeClr>
                </a:solidFill>
                <a:effectLst/>
              </a:rPr>
              <a:t>by Salesperosn</a:t>
            </a:r>
            <a:endParaRPr lang="en-IN" sz="1100" b="1">
              <a:solidFill>
                <a:schemeClr val="accent5">
                  <a:lumMod val="75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Revenue</c:v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60A2AA68-A944-4EE7-BD14-9626CA2B39C3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AB65DF0A-D096-41AC-8BD5-4E6E41F52AA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4CAEF1C3-A997-46B3-B7AE-E6BCFF8CB1C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1E09EBF0-8EA1-48A8-BB52-A3A4AF5B169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C80C38B9-DF45-4D96-A4D2-ACFFDF156B5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812DF879-7475-4B17-B3F7-DBCA8C4DE41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F30982C3-A3F0-4C84-BF85-64DA99EDACB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06FBB88A-A07F-4E46-AFBB-B9E26E6F36A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1C047FA2-01AC-46EB-986D-E6D3698DB6A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9"/>
              <c:layout/>
              <c:tx>
                <c:rich>
                  <a:bodyPr/>
                  <a:lstStyle/>
                  <a:p>
                    <a:fld id="{D87BF1EF-C554-43AA-9CE3-25FCEB834AE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Analysis!$CL$3:$CL$12</c:f>
              <c:strCache>
                <c:ptCount val="10"/>
                <c:pt idx="0">
                  <c:v>Aarav Patel</c:v>
                </c:pt>
                <c:pt idx="1">
                  <c:v>Priya Shah</c:v>
                </c:pt>
                <c:pt idx="2">
                  <c:v>Rahul Sharma</c:v>
                </c:pt>
                <c:pt idx="3">
                  <c:v>Sneha Mehta</c:v>
                </c:pt>
                <c:pt idx="4">
                  <c:v>Vivek Gupta</c:v>
                </c:pt>
                <c:pt idx="5">
                  <c:v>Ananya Joshi</c:v>
                </c:pt>
                <c:pt idx="6">
                  <c:v>Rohit Desai</c:v>
                </c:pt>
                <c:pt idx="7">
                  <c:v>Kavya Iyer</c:v>
                </c:pt>
                <c:pt idx="8">
                  <c:v>Aditya Singh</c:v>
                </c:pt>
                <c:pt idx="9">
                  <c:v>Neha Verma</c:v>
                </c:pt>
              </c:strCache>
            </c:strRef>
          </c:cat>
          <c:val>
            <c:numRef>
              <c:f>Analysis!$CO$3:$CO$12</c:f>
              <c:numCache>
                <c:formatCode>_("₹"* #,##0.00_);_("₹"* \(#,##0.00\);_("₹"* "-"??_);_(@_)</c:formatCode>
                <c:ptCount val="10"/>
                <c:pt idx="0">
                  <c:v>11723931.600000003</c:v>
                </c:pt>
                <c:pt idx="1">
                  <c:v>11599042.680000005</c:v>
                </c:pt>
                <c:pt idx="2">
                  <c:v>10613170.109999998</c:v>
                </c:pt>
                <c:pt idx="3">
                  <c:v>12620581.079999996</c:v>
                </c:pt>
                <c:pt idx="4">
                  <c:v>14075883.229999989</c:v>
                </c:pt>
                <c:pt idx="5">
                  <c:v>13496038.07</c:v>
                </c:pt>
                <c:pt idx="6">
                  <c:v>13439274.909999998</c:v>
                </c:pt>
                <c:pt idx="7">
                  <c:v>14729426.799999997</c:v>
                </c:pt>
                <c:pt idx="8">
                  <c:v>11373642.599999996</c:v>
                </c:pt>
                <c:pt idx="9">
                  <c:v>10408076.679999994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Analysis!$CS$3:$CS$12</c15:f>
                <c15:dlblRangeCache>
                  <c:ptCount val="10"/>
                  <c:pt idx="0">
                    <c:v>₹1.17 Cr</c:v>
                  </c:pt>
                  <c:pt idx="1">
                    <c:v>₹1.16 Cr</c:v>
                  </c:pt>
                  <c:pt idx="2">
                    <c:v>₹1.06 Cr</c:v>
                  </c:pt>
                  <c:pt idx="3">
                    <c:v>₹1.26 Cr</c:v>
                  </c:pt>
                  <c:pt idx="4">
                    <c:v>₹1.41 Cr</c:v>
                  </c:pt>
                  <c:pt idx="5">
                    <c:v>₹1.35 Cr</c:v>
                  </c:pt>
                  <c:pt idx="6">
                    <c:v>₹1.34 Cr</c:v>
                  </c:pt>
                  <c:pt idx="7">
                    <c:v>₹1.47 Cr</c:v>
                  </c:pt>
                  <c:pt idx="8">
                    <c:v>₹1.14 Cr</c:v>
                  </c:pt>
                  <c:pt idx="9">
                    <c:v>₹1.04 Cr</c:v>
                  </c:pt>
                </c15:dlblRangeCache>
              </c15:datalabelsRange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14708008"/>
        <c:axId val="314708400"/>
      </c:barChart>
      <c:catAx>
        <c:axId val="314708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708400"/>
        <c:crosses val="autoZero"/>
        <c:auto val="1"/>
        <c:lblAlgn val="ctr"/>
        <c:lblOffset val="100"/>
        <c:noMultiLvlLbl val="0"/>
      </c:catAx>
      <c:valAx>
        <c:axId val="31470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708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bg1">
          <a:lumMod val="65000"/>
        </a:schemeClr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9</xdr:row>
      <xdr:rowOff>0</xdr:rowOff>
    </xdr:from>
    <xdr:to>
      <xdr:col>7</xdr:col>
      <xdr:colOff>0</xdr:colOff>
      <xdr:row>21</xdr:row>
      <xdr:rowOff>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9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7</xdr:col>
      <xdr:colOff>0</xdr:colOff>
      <xdr:row>45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33</xdr:row>
      <xdr:rowOff>0</xdr:rowOff>
    </xdr:from>
    <xdr:to>
      <xdr:col>14</xdr:col>
      <xdr:colOff>0</xdr:colOff>
      <xdr:row>45</xdr:row>
      <xdr:rowOff>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45</xdr:row>
      <xdr:rowOff>0</xdr:rowOff>
    </xdr:from>
    <xdr:to>
      <xdr:col>7</xdr:col>
      <xdr:colOff>0</xdr:colOff>
      <xdr:row>57</xdr:row>
      <xdr:rowOff>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0</xdr:colOff>
      <xdr:row>45</xdr:row>
      <xdr:rowOff>0</xdr:rowOff>
    </xdr:from>
    <xdr:to>
      <xdr:col>14</xdr:col>
      <xdr:colOff>0</xdr:colOff>
      <xdr:row>57</xdr:row>
      <xdr:rowOff>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57</xdr:row>
      <xdr:rowOff>0</xdr:rowOff>
    </xdr:from>
    <xdr:to>
      <xdr:col>14</xdr:col>
      <xdr:colOff>1867</xdr:colOff>
      <xdr:row>69</xdr:row>
      <xdr:rowOff>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7</xdr:col>
      <xdr:colOff>170259</xdr:colOff>
      <xdr:row>19</xdr:row>
      <xdr:rowOff>19050</xdr:rowOff>
    </xdr:from>
    <xdr:ext cx="2253566" cy="264560"/>
    <xdr:sp macro="" textlink="">
      <xdr:nvSpPr>
        <xdr:cNvPr id="3" name="TextBox 2"/>
        <xdr:cNvSpPr txBox="1"/>
      </xdr:nvSpPr>
      <xdr:spPr>
        <a:xfrm>
          <a:off x="4420790" y="3638550"/>
          <a:ext cx="22535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i="1">
              <a:solidFill>
                <a:schemeClr val="tx1">
                  <a:lumMod val="65000"/>
                  <a:lumOff val="35000"/>
                </a:schemeClr>
              </a:solidFill>
            </a:rPr>
            <a:t>Note: Y-axis uses a logarithmic scale</a:t>
          </a:r>
          <a:endParaRPr lang="en-IN" sz="1100" i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id="40" name="Product_helper_Dashboard" displayName="Product_helper_Dashboard" ref="AA1:AD6" totalsRowShown="0">
  <autoFilter ref="AA1:AD6"/>
  <tableColumns count="4">
    <tableColumn id="1" name="Rank" dataDxfId="260">
      <calculatedColumnFormula>ROW(Y1)</calculatedColumnFormula>
    </tableColumn>
    <tableColumn id="2" name="Product">
      <calculatedColumnFormula>INDEX(Product_Analysis[Product],MATCH(AC2,Product_Analysis[Revenue],0))</calculatedColumnFormula>
    </tableColumn>
    <tableColumn id="3" name="Revenue" dataDxfId="259" dataCellStyle="Currency">
      <calculatedColumnFormula>LARGE(Product_Analysis[Revenue],AA2)</calculatedColumnFormula>
    </tableColumn>
    <tableColumn id="4" name="Revenue Lable" dataDxfId="258" dataCellStyle="Currency">
      <calculatedColumnFormula>"₹"&amp;TEXT(Product_helper_Dashboard[[#This Row],[Revenue]]/10000000,"0.00")&amp;" Cr"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8" name="Customer_Analysis" displayName="Customer_Analysis" ref="AL2:AS902" totalsRowShown="0" headerRowDxfId="257" dataDxfId="256">
  <autoFilter ref="AL2:AS902"/>
  <tableColumns count="8">
    <tableColumn id="1" name="Customer ID" dataDxfId="255"/>
    <tableColumn id="2" name="Customer Name" dataDxfId="254"/>
    <tableColumn id="3" name="Orders" dataDxfId="253">
      <calculatedColumnFormula>COUNTIF(RawData[Customer_ID],AL3)</calculatedColumnFormula>
    </tableColumn>
    <tableColumn id="4" name="Units Sold" dataDxfId="252">
      <calculatedColumnFormula>SUMIF(RawData[Customer_ID],AL3,RawData[Quantity])</calculatedColumnFormula>
    </tableColumn>
    <tableColumn id="5" name="Revenue" dataDxfId="251" dataCellStyle="Currency">
      <calculatedColumnFormula>SUMIF(RawData[Customer_ID],AL3,RawData[Revenue])</calculatedColumnFormula>
    </tableColumn>
    <tableColumn id="6" name="Profit" dataDxfId="250" dataCellStyle="Currency">
      <calculatedColumnFormula>SUMIF(RawData[Customer_ID],AL3,RawData[Profit])</calculatedColumnFormula>
    </tableColumn>
    <tableColumn id="7" name="AOV" dataDxfId="249">
      <calculatedColumnFormula>IF(AN3=0,0,AP3/AN3)</calculatedColumnFormula>
    </tableColumn>
    <tableColumn id="8" name="Customer Type" dataDxfId="248">
      <calculatedColumnFormula>IF(AN3=1,"One-time",IF(AN3&lt;=4,"Occasional",IF(AN3&lt;=8,"Loyal","Review")))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2" name="Top_10_customers_by_revenue" displayName="Top_10_customers_by_revenue" ref="BG2:BL12" totalsRowShown="0" headerRowDxfId="247" dataDxfId="246">
  <autoFilter ref="BG2:BL12"/>
  <tableColumns count="6">
    <tableColumn id="1" name="Rank" dataDxfId="245"/>
    <tableColumn id="2" name="Customer ID" dataDxfId="244"/>
    <tableColumn id="3" name="Customer Name" dataDxfId="243"/>
    <tableColumn id="4" name="Orders" dataDxfId="242"/>
    <tableColumn id="5" name="Revenue" dataDxfId="241" dataCellStyle="Currency"/>
    <tableColumn id="6" name="Profit" dataDxfId="240" dataCellStyle="Currenc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26" name="top_10_customers_by_profit" displayName="top_10_customers_by_profit" ref="BN2:BS12" totalsRowShown="0" headerRowDxfId="239" dataDxfId="238">
  <autoFilter ref="BN2:BS12"/>
  <tableColumns count="6">
    <tableColumn id="1" name="Rank" dataDxfId="237"/>
    <tableColumn id="2" name="Customer ID" dataDxfId="236"/>
    <tableColumn id="3" name="Customer Name" dataDxfId="235"/>
    <tableColumn id="4" name="Orders" dataDxfId="234"/>
    <tableColumn id="5" name="Revenue" dataDxfId="233" dataCellStyle="Currency"/>
    <tableColumn id="6" name="Profit" dataDxfId="232" dataCellStyle="Currenc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29" name="Table29" displayName="Table29" ref="CK2:CS12" totalsRowShown="0" headerRowDxfId="231" dataDxfId="230">
  <autoFilter ref="CK2:CS12"/>
  <tableColumns count="9">
    <tableColumn id="1" name="Salesperson ID" dataDxfId="229"/>
    <tableColumn id="2" name="Salesperson Name" dataDxfId="228"/>
    <tableColumn id="3" name="Orders" dataDxfId="227">
      <calculatedColumnFormula>COUNTIF(RawData[Salesperson_ID],CK3)</calculatedColumnFormula>
    </tableColumn>
    <tableColumn id="4" name="Units Sold" dataDxfId="226">
      <calculatedColumnFormula>SUMIF(RawData[Salesperson_ID],CK3,RawData[Quantity])</calculatedColumnFormula>
    </tableColumn>
    <tableColumn id="5" name="Revenue" dataDxfId="225" dataCellStyle="Currency">
      <calculatedColumnFormula>SUMIF(RawData[Salesperson_ID],CK3,RawData[Revenue])</calculatedColumnFormula>
    </tableColumn>
    <tableColumn id="6" name="Profit" dataDxfId="224" dataCellStyle="Currency">
      <calculatedColumnFormula>SUMIF(RawData[Salesperson_ID],CK3,RawData[Profit])</calculatedColumnFormula>
    </tableColumn>
    <tableColumn id="7" name="Profit Margin" dataDxfId="223">
      <calculatedColumnFormula>CP3/CO3</calculatedColumnFormula>
    </tableColumn>
    <tableColumn id="8" name="Avg Order Value" dataDxfId="222">
      <calculatedColumnFormula>IF(CM3=0,0,CO3/CM3)</calculatedColumnFormula>
    </tableColumn>
    <tableColumn id="9" name="Revenue Lable" dataDxfId="221">
      <calculatedColumnFormula>"₹"&amp;TEXT(Table29[[#This Row],[Revenue]]/10000000,"0.00")&amp;" Cr"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30" name="City_Analysis" displayName="City_Analysis" ref="CU2:DA14" totalsRowShown="0" headerRowDxfId="220" dataDxfId="219">
  <autoFilter ref="CU2:DA14"/>
  <tableColumns count="7">
    <tableColumn id="1" name="City" dataDxfId="218"/>
    <tableColumn id="2" name="Region" dataDxfId="217"/>
    <tableColumn id="3" name="Orders" dataDxfId="216">
      <calculatedColumnFormula>COUNTIF(RawData[City],CU3)</calculatedColumnFormula>
    </tableColumn>
    <tableColumn id="4" name="Units Sold" dataDxfId="215">
      <calculatedColumnFormula>SUMIF(RawData[City],CU3,RawData[Quantity])</calculatedColumnFormula>
    </tableColumn>
    <tableColumn id="5" name="Revenue" dataDxfId="214" dataCellStyle="Currency">
      <calculatedColumnFormula>SUMIF(RawData[City],CU3,RawData[Revenue])</calculatedColumnFormula>
    </tableColumn>
    <tableColumn id="6" name="Profit" dataDxfId="213" dataCellStyle="Currency">
      <calculatedColumnFormula>SUMIF(RawData[City],CU3,RawData[Profit])</calculatedColumnFormula>
    </tableColumn>
    <tableColumn id="7" name="Profit Margin" dataDxfId="212">
      <calculatedColumnFormula>CZ3/CY3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31" name="Region_Analysis" displayName="Region_Analysis" ref="DC2:DI6" totalsRowShown="0" headerRowDxfId="211" dataDxfId="210">
  <autoFilter ref="DC2:DI6"/>
  <tableColumns count="7">
    <tableColumn id="1" name="Region" dataDxfId="209"/>
    <tableColumn id="2" name="Orders" dataDxfId="208">
      <calculatedColumnFormula>SUMIF(City_Analysis[Region],DC3,City_Analysis[Orders])</calculatedColumnFormula>
    </tableColumn>
    <tableColumn id="3" name="Units Sold" dataDxfId="207">
      <calculatedColumnFormula>SUMIF(City_Analysis[Region],DC3,City_Analysis[Units Sold])</calculatedColumnFormula>
    </tableColumn>
    <tableColumn id="4" name="Revenue" dataDxfId="206" dataCellStyle="Currency">
      <calculatedColumnFormula>SUMIF(City_Analysis[Region],DC3,City_Analysis[Revenue])</calculatedColumnFormula>
    </tableColumn>
    <tableColumn id="5" name="Profit" dataDxfId="205" dataCellStyle="Currency">
      <calculatedColumnFormula>SUMIF(City_Analysis[Region],DC3,City_Analysis[Profit])</calculatedColumnFormula>
    </tableColumn>
    <tableColumn id="6" name="Profit Margin" dataDxfId="204">
      <calculatedColumnFormula>IF(DF3=0,0,DG3/DF3)</calculatedColumnFormula>
    </tableColumn>
    <tableColumn id="7" name="Revenue Lable" dataDxfId="203">
      <calculatedColumnFormula>"₹"&amp;TEXT(Region_Analysis[[#This Row],[Revenue]]/10000000,"0.00")&amp;" Cr"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32" name="Table32" displayName="Table32" ref="A1:B13" totalsRowShown="0" headerRowDxfId="202" dataDxfId="201">
  <autoFilter ref="A1:B13"/>
  <tableColumns count="2">
    <tableColumn id="1" name="Metric" dataDxfId="200"/>
    <tableColumn id="2" name="My Excel Result" dataDxfId="19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33" name="Category_Analysis" displayName="Category_Analysis" ref="D2:J5" totalsRowShown="0" headerRowDxfId="198" dataDxfId="197">
  <autoFilter ref="D2:J5"/>
  <tableColumns count="7">
    <tableColumn id="1" name="Category" dataDxfId="196"/>
    <tableColumn id="2" name="Orders" dataDxfId="195"/>
    <tableColumn id="3" name="Units Sold" dataDxfId="194"/>
    <tableColumn id="4" name="Revenue" dataDxfId="193"/>
    <tableColumn id="5" name="Cost" dataDxfId="192" dataCellStyle="Currency"/>
    <tableColumn id="6" name="Profit" dataDxfId="191" dataCellStyle="Currency"/>
    <tableColumn id="7" name="Profit Margin" dataDxfId="190">
      <calculatedColumnFormula>I3/G3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35" name="Category_and_Seasonal_Analysis" displayName="Category_and_Seasonal_Analysis" ref="T2:AB8" totalsRowShown="0" headerRowDxfId="189" dataDxfId="188">
  <autoFilter ref="T2:AB8">
    <filterColumn colId="1">
      <filters>
        <filter val="Regular"/>
      </filters>
    </filterColumn>
  </autoFilter>
  <tableColumns count="9">
    <tableColumn id="1" name="Category" dataDxfId="187"/>
    <tableColumn id="2" name="Season" dataDxfId="186"/>
    <tableColumn id="3" name="Orders" dataDxfId="185"/>
    <tableColumn id="4" name="Units Sold" dataDxfId="184"/>
    <tableColumn id="5" name="Revenue" dataDxfId="183" dataCellStyle="Currency"/>
    <tableColumn id="6" name="Profit" dataDxfId="182" dataCellStyle="Currency"/>
    <tableColumn id="7" name="Profit Margin" dataDxfId="181">
      <calculatedColumnFormula>Y3/X3</calculatedColumnFormula>
    </tableColumn>
    <tableColumn id="8" name="Revenue Lable" dataDxfId="180">
      <calculatedColumnFormula>"₹"&amp;TEXT(Category_and_Seasonal_Analysis[[#This Row],[Revenue]]/10000000,"0.00")&amp;" Cr"</calculatedColumnFormula>
    </tableColumn>
    <tableColumn id="9" name="Profit Lable" dataDxfId="179">
      <calculatedColumnFormula>"₹"&amp;TEXT(Category_and_Seasonal_Analysis[[#This Row],[Profit]]/100000,"0.00")&amp;" L"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36" name="Product_Analysis" displayName="Product_Analysis" ref="AD2:AJ23" totalsRowShown="0" headerRowDxfId="11" dataDxfId="178">
  <autoFilter ref="AD2:AJ23"/>
  <tableColumns count="7">
    <tableColumn id="1" name="Product" dataDxfId="177"/>
    <tableColumn id="2" name="Category" dataDxfId="176"/>
    <tableColumn id="3" name="Orders" dataDxfId="175">
      <calculatedColumnFormula>COUNTIF(RawData[Product_Name],AD3)</calculatedColumnFormula>
    </tableColumn>
    <tableColumn id="4" name="Units Sold" dataDxfId="174">
      <calculatedColumnFormula>SUMIF(RawData[Product_Name],AD3,RawData[Quantity])</calculatedColumnFormula>
    </tableColumn>
    <tableColumn id="5" name="Revenue" dataDxfId="173" dataCellStyle="Currency">
      <calculatedColumnFormula>SUMIF(RawData[Product_Name],AD3,RawData[Revenue])</calculatedColumnFormula>
    </tableColumn>
    <tableColumn id="6" name="Profit" dataDxfId="172" dataCellStyle="Currency">
      <calculatedColumnFormula>SUMIF(RawData[Product_Name],AD3,RawData[Profit])</calculatedColumnFormula>
    </tableColumn>
    <tableColumn id="7" name="Profit Margin" dataDxfId="171">
      <calculatedColumnFormula>AI3/AH3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37" name="Customer_Segment_Analysis" displayName="Customer_Segment_Analysis" ref="AU2:BE6" totalsRowShown="0" headerRowDxfId="10" dataDxfId="170">
  <autoFilter ref="AU2:BE6"/>
  <tableColumns count="11">
    <tableColumn id="1" name="Customer Type" dataDxfId="169"/>
    <tableColumn id="2" name="Customers" dataDxfId="168">
      <calculatedColumnFormula>COUNTIF(Customer_Analysis[Customer Type],AU3)</calculatedColumnFormula>
    </tableColumn>
    <tableColumn id="3" name="Orders" dataDxfId="167">
      <calculatedColumnFormula>SUMIF(Customer_Analysis[Customer Type],AU3,Customer_Analysis[Orders])</calculatedColumnFormula>
    </tableColumn>
    <tableColumn id="4" name="Units" dataDxfId="166">
      <calculatedColumnFormula>SUMIF(Customer_Analysis[Customer Type],AU3,Customer_Analysis[Units Sold])</calculatedColumnFormula>
    </tableColumn>
    <tableColumn id="5" name="Revenue" dataDxfId="165" dataCellStyle="Currency">
      <calculatedColumnFormula>SUMIF(Customer_Analysis[Customer Type],AU3,Customer_Analysis[Revenue])</calculatedColumnFormula>
    </tableColumn>
    <tableColumn id="6" name="Profit" dataDxfId="164" dataCellStyle="Currency">
      <calculatedColumnFormula>SUMIF(Customer_Analysis[Customer Type],AU3,Customer_Analysis[Profit])</calculatedColumnFormula>
    </tableColumn>
    <tableColumn id="7" name="Profit Margin" dataDxfId="163">
      <calculatedColumnFormula>AZ3/AY3</calculatedColumnFormula>
    </tableColumn>
    <tableColumn id="8" name="Avg Revenue per Customer" dataDxfId="162" dataCellStyle="Currency">
      <calculatedColumnFormula>AY3/AV3</calculatedColumnFormula>
    </tableColumn>
    <tableColumn id="9" name="Avg Profit per Customer" dataDxfId="161" dataCellStyle="Currency">
      <calculatedColumnFormula>AZ3/AV3</calculatedColumnFormula>
    </tableColumn>
    <tableColumn id="10" name="Avg Orders per Customer" dataDxfId="160">
      <calculatedColumnFormula>AW3/AV3</calculatedColumnFormula>
    </tableColumn>
    <tableColumn id="11" name="Revenue Lable" dataDxfId="159">
      <calculatedColumnFormula>"₹"&amp;TEXT(Customer_Segment_Analysis[[#This Row],[Revenue]]/10000000,"0.00")&amp;" Cr"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39" name="Payment_Mode_Analysis" displayName="Payment_Mode_Analysis" ref="CC2:CI7" totalsRowShown="0" headerRowDxfId="158" dataDxfId="157">
  <autoFilter ref="CC2:CI7"/>
  <tableColumns count="7">
    <tableColumn id="1" name="Payment Mode" dataDxfId="156"/>
    <tableColumn id="2" name="Orders" dataDxfId="155">
      <calculatedColumnFormula>COUNTIF(RawData[Payment_Mode],CC3)</calculatedColumnFormula>
    </tableColumn>
    <tableColumn id="3" name="Units Sold" dataDxfId="154">
      <calculatedColumnFormula>SUMIF(RawData[Payment_Mode],CC3,RawData[Quantity])</calculatedColumnFormula>
    </tableColumn>
    <tableColumn id="4" name="Revenue" dataDxfId="153" dataCellStyle="Currency">
      <calculatedColumnFormula>SUMIF(RawData[Payment_Mode],CC3,RawData[Revenue])</calculatedColumnFormula>
    </tableColumn>
    <tableColumn id="5" name="Profit" dataDxfId="152" dataCellStyle="Currency">
      <calculatedColumnFormula>SUMIF(RawData[Payment_Mode],CC3,RawData[Profit])</calculatedColumnFormula>
    </tableColumn>
    <tableColumn id="6" name="Profit Margin" dataDxfId="151">
      <calculatedColumnFormula>CG3/CF3</calculatedColumnFormula>
    </tableColumn>
    <tableColumn id="7" name="Revenue Lable" dataDxfId="150">
      <calculatedColumnFormula>"₹"&amp;TEXT(Payment_Mode_Analysis[[#This Row],[Revenue]]/10000000,"0.00")&amp;" Cr"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34" name="Montly_Analysis" displayName="Montly_Analysis" ref="L2:R14" totalsRowShown="0" headerRowDxfId="149" dataDxfId="148" tableBorderDxfId="147">
  <autoFilter ref="L2:R14"/>
  <tableColumns count="7">
    <tableColumn id="1" name="Month" dataDxfId="146"/>
    <tableColumn id="2" name="Month Number" dataDxfId="145">
      <calculatedColumnFormula>MONTH(L3&amp;1)</calculatedColumnFormula>
    </tableColumn>
    <tableColumn id="3" name="Orders" dataDxfId="144">
      <calculatedColumnFormula>SUMPRODUCT(--(MONTH(RawData[Order_Date])= M3))</calculatedColumnFormula>
    </tableColumn>
    <tableColumn id="4" name="Units Sold" dataDxfId="143">
      <calculatedColumnFormula>SUMPRODUCT((MONTH(RawData[Order_Date])=M3)*RawData[Quantity])</calculatedColumnFormula>
    </tableColumn>
    <tableColumn id="5" name="Revenue" dataDxfId="142" dataCellStyle="Currency">
      <calculatedColumnFormula>SUMPRODUCT((MONTH(RawData[Order_Date])=M3)*RawData[Revenue])</calculatedColumnFormula>
    </tableColumn>
    <tableColumn id="6" name="Profit" dataDxfId="141" dataCellStyle="Currency">
      <calculatedColumnFormula>SUMPRODUCT((MONTH(RawData[Order_Date])=M3)*RawData[Profit])</calculatedColumnFormula>
    </tableColumn>
    <tableColumn id="7" name="Profit Margin" dataDxfId="140">
      <calculatedColumnFormula>IFERROR(Q3/P3,0)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38" name="Sales_Channel_Analysis" displayName="Sales_Channel_Analysis" ref="BU2:CA6" totalsRowShown="0" headerRowDxfId="139" dataDxfId="138">
  <autoFilter ref="BU2:CA6"/>
  <tableColumns count="7">
    <tableColumn id="1" name="Sales Channel" dataDxfId="137"/>
    <tableColumn id="2" name="Orders" dataDxfId="136"/>
    <tableColumn id="3" name="Units Sold" dataDxfId="135"/>
    <tableColumn id="4" name="Revenue" dataDxfId="134" dataCellStyle="Currency"/>
    <tableColumn id="5" name="Profit" dataDxfId="133" dataCellStyle="Currency"/>
    <tableColumn id="6" name="Profit Margin" dataDxfId="132"/>
    <tableColumn id="7" name="Revenue Lable" dataDxfId="131">
      <calculatedColumnFormula>"₹"&amp;TEXT(Sales_Channel_Analysis[[#This Row],[Revenue]]/10000000,"0.00")&amp;" Cr"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42" name="Profit_Drop_Analysis" displayName="Profit_Drop_Analysis" ref="DK2:DO8" totalsRowShown="0" headerRowDxfId="130" dataDxfId="129">
  <autoFilter ref="DK2:DO8"/>
  <tableColumns count="5">
    <tableColumn id="1" name="Month" dataDxfId="128"/>
    <tableColumn id="2" name="Category" dataDxfId="127"/>
    <tableColumn id="3" name="Revenue" dataDxfId="126" dataCellStyle="Currency"/>
    <tableColumn id="4" name="Profit" dataDxfId="125" dataCellStyle="Currency"/>
    <tableColumn id="5" name="Margin" dataDxfId="124" dataCellStyle="Percent">
      <calculatedColumnFormula>DN3/DM3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43" name="Product_Level_Investigation" displayName="Product_Level_Investigation" ref="DQ2:DW18" totalsRowShown="0" headerRowDxfId="123" dataDxfId="122">
  <autoFilter ref="DQ2:DW18"/>
  <tableColumns count="7">
    <tableColumn id="1" name="Product"/>
    <tableColumn id="2" name="Nov Revenue" dataDxfId="121" dataCellStyle="Currency">
      <calculatedColumnFormula>SUMIFS(RawData[Revenue],RawData[Product_Name],DQ3, RawData[Order_Date],"&gt;="&amp;DATE(2025,11,1),RawData[Order_Date],"&lt;"&amp;DATE(2025,12,1))</calculatedColumnFormula>
    </tableColumn>
    <tableColumn id="3" name="Nov Profit" dataDxfId="120" dataCellStyle="Currency">
      <calculatedColumnFormula>SUMIFS(RawData[Profit],RawData[Product_Name],DQ3, RawData[Order_Date],"&gt;="&amp;DATE(2025,11,1),RawData[Order_Date],"&lt;"&amp;DATE(2025,12,1))</calculatedColumnFormula>
    </tableColumn>
    <tableColumn id="4" name="Nov Margin" dataDxfId="119" dataCellStyle="Percent">
      <calculatedColumnFormula>DS3/DR3</calculatedColumnFormula>
    </tableColumn>
    <tableColumn id="5" name="Dec Revenue" dataDxfId="118" dataCellStyle="Currency">
      <calculatedColumnFormula>SUMIFS(RawData[Revenue],RawData[Product_Name],DQ3, RawData[Order_Date],"&gt;="&amp;DATE(2025,12,1),RawData[Order_Date],"&lt;"&amp;DATE(2026,1,1))</calculatedColumnFormula>
    </tableColumn>
    <tableColumn id="6" name="Dec Profit" dataDxfId="117" dataCellStyle="Currency">
      <calculatedColumnFormula>SUMIFS(RawData[Profit],RawData[Product_Name],DQ3, RawData[Order_Date],"&gt;="&amp;DATE(2025,12,1),RawData[Order_Date],"&lt;"&amp;DATE(2026,1,1))</calculatedColumnFormula>
    </tableColumn>
    <tableColumn id="7" name="Dec Margin" dataDxfId="116" dataCellStyle="Percent">
      <calculatedColumnFormula>DV3/DU3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44" name="Product_Discount_Analysis" displayName="Product_Discount_Analysis" ref="EG2:EL9" totalsRowShown="0" headerRowDxfId="115">
  <autoFilter ref="EG2:EL9"/>
  <tableColumns count="6">
    <tableColumn id="1" name="Product" dataDxfId="114"/>
    <tableColumn id="2" name="Normal Margin" dataDxfId="113" dataCellStyle="Percent">
      <calculatedColumnFormula>VLOOKUP(EG3,Product_Analysis[[Product]:[Profit Margin]],7,FALSE)</calculatedColumnFormula>
    </tableColumn>
    <tableColumn id="3" name="Nov Margin" dataDxfId="112" dataCellStyle="Percent"/>
    <tableColumn id="4" name="Nov Discount" dataDxfId="111">
      <calculatedColumnFormula>AVERAGEIFS(RawData[Discount%],RawData[Product_Name],EG3,RawData[Order_Date],"&gt;="&amp;DATE(2025,11,1),RawData[Order_Date],"&lt;"&amp;DATE(2025,12,1))</calculatedColumnFormula>
    </tableColumn>
    <tableColumn id="5" name="Dec Margin" dataDxfId="110" dataCellStyle="Percent"/>
    <tableColumn id="6" name="Dec Discount" dataDxfId="109">
      <calculatedColumnFormula>AVERAGEIFS(RawData[Discount%],RawData[Product_Name],EG3,RawData[Order_Date],"&gt;="&amp;DATE(2025,12,1),RawData[Order_Date],"&lt;"&amp;DATE(2026,1,1))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41" name="Montly_Analysis42" displayName="Montly_Analysis42" ref="DY2:EE14" totalsRowShown="0" headerRowDxfId="0" dataDxfId="2" tableBorderDxfId="1">
  <autoFilter ref="DY2:EE14"/>
  <tableColumns count="7">
    <tableColumn id="1" name="Month" dataDxfId="9"/>
    <tableColumn id="2" name="Month Number" dataDxfId="8">
      <calculatedColumnFormula>MONTH(DY3&amp;1)</calculatedColumnFormula>
    </tableColumn>
    <tableColumn id="3" name="Orders" dataDxfId="7">
      <calculatedColumnFormula>SUMPRODUCT(--(MONTH(RawData[Order_Date])= DZ3))</calculatedColumnFormula>
    </tableColumn>
    <tableColumn id="4" name="Units Sold" dataDxfId="6">
      <calculatedColumnFormula>SUMPRODUCT((MONTH(RawData[Order_Date])=DZ3)*RawData[Quantity])</calculatedColumnFormula>
    </tableColumn>
    <tableColumn id="5" name="Revenue" dataDxfId="5" dataCellStyle="Currency">
      <calculatedColumnFormula>SUMPRODUCT((MONTH(RawData[Order_Date])=DZ3)*RawData[Revenue])</calculatedColumnFormula>
    </tableColumn>
    <tableColumn id="6" name="Profit" dataDxfId="4" dataCellStyle="Currency">
      <calculatedColumnFormula>SUMPRODUCT((MONTH(RawData[Order_Date])=DZ3)*RawData[Profit])</calculatedColumnFormula>
    </tableColumn>
    <tableColumn id="7" name="Profit Margin" dataDxfId="3">
      <calculatedColumnFormula>IFERROR(ED3/EC3,0)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4" name="Table4" displayName="Table4" ref="A1:B13" totalsRowShown="0" headerRowDxfId="108" dataDxfId="107">
  <autoFilter ref="A1:B13"/>
  <tableColumns count="2">
    <tableColumn id="1" name="City" dataDxfId="106"/>
    <tableColumn id="2" name="Region" dataDxfId="105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5" name="Table5" displayName="Table5" ref="E1:G31" totalsRowShown="0" headerRowDxfId="104" dataDxfId="103">
  <autoFilter ref="E1:G31"/>
  <tableColumns count="3">
    <tableColumn id="1" name="Product_ID" dataDxfId="102"/>
    <tableColumn id="2" name="Category" dataDxfId="101"/>
    <tableColumn id="3" name="Product" dataDxfId="100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6" name="Table6" displayName="Table6" ref="J1:K11" totalsRowShown="0" headerRowDxfId="99" dataDxfId="98">
  <autoFilter ref="J1:K11"/>
  <tableColumns count="2">
    <tableColumn id="1" name="Salesperson_ID" dataDxfId="97"/>
    <tableColumn id="2" name="Salesperson_Name" dataDxfId="96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7" name="Table7" displayName="Table7" ref="N1:N6" totalsRowShown="0" headerRowDxfId="95" dataDxfId="94">
  <autoFilter ref="N1:N6"/>
  <tableColumns count="1">
    <tableColumn id="1" name="Payment_Mode" dataDxfId="93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8" name="Table8" displayName="Table8" ref="P1:P3" totalsRowShown="0" headerRowDxfId="92" dataDxfId="91">
  <autoFilter ref="P1:P3"/>
  <tableColumns count="1">
    <tableColumn id="1" name="Sales_Channel" dataDxfId="90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12" name="Table12" displayName="Table12" ref="A15:B27" totalsRowShown="0" headerRowDxfId="89" dataDxfId="88">
  <autoFilter ref="A15:B27"/>
  <tableColumns count="2">
    <tableColumn id="1" name="Month" dataDxfId="87"/>
    <tableColumn id="2" name="Season" dataDxfId="86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5" name="Table25" displayName="Table25" ref="J14:L23" totalsRowShown="0">
  <autoFilter ref="J14:L23"/>
  <tableColumns count="3">
    <tableColumn id="1" name="Key" dataDxfId="85"/>
    <tableColumn id="2" name="Min_Discount" dataDxfId="84"/>
    <tableColumn id="3" name="Max_Discount" dataDxfId="83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RawData" displayName="RawData" ref="A1:U3001" totalsRowShown="0">
  <autoFilter ref="A1:U3001"/>
  <tableColumns count="21">
    <tableColumn id="1" name="Order_ID"/>
    <tableColumn id="2" name="Order_Date" dataDxfId="82"/>
    <tableColumn id="3" name="Customer_ID"/>
    <tableColumn id="4" name="Customer_Name"/>
    <tableColumn id="5" name="Gender"/>
    <tableColumn id="6" name="Age"/>
    <tableColumn id="7" name="City"/>
    <tableColumn id="8" name="Region"/>
    <tableColumn id="9" name="Product_ID"/>
    <tableColumn id="10" name="Product_Name"/>
    <tableColumn id="11" name="Product_Category"/>
    <tableColumn id="12" name="Quantity"/>
    <tableColumn id="13" name="Unit_Price" dataDxfId="81"/>
    <tableColumn id="14" name="Cost_Price" dataDxfId="80"/>
    <tableColumn id="15" name="Discount%"/>
    <tableColumn id="16" name="Revenue" dataDxfId="79"/>
    <tableColumn id="17" name="Total_Cost" dataDxfId="78"/>
    <tableColumn id="18" name="Profit" dataDxfId="77"/>
    <tableColumn id="19" name="Sales_Channel"/>
    <tableColumn id="20" name="Payment_Mode"/>
    <tableColumn id="21" name="Salesperson_ID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1" name="Table1" displayName="Table1" ref="A1:D4" totalsRowShown="0" headerRowDxfId="76">
  <autoFilter ref="A1:D4"/>
  <tableColumns count="4">
    <tableColumn id="1" name="Order_Type" dataDxfId="75"/>
    <tableColumn id="2" name="Percentage" dataDxfId="74"/>
    <tableColumn id="3" name="Products_per_Order" dataDxfId="73"/>
    <tableColumn id="4" name="Approx_Orders" dataDxfId="72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" name="Table2" displayName="Table2" ref="F1:H12" totalsRowShown="0">
  <autoFilter ref="F1:H12"/>
  <tableColumns count="3">
    <tableColumn id="1" name="Month" dataDxfId="71"/>
    <tableColumn id="2" name="Weight" dataDxfId="70"/>
    <tableColumn id="3" name="Orders" dataDxfId="69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" name="Table3" displayName="Table3" ref="J1:L4" totalsRowShown="0">
  <autoFilter ref="J1:L4"/>
  <tableColumns count="3">
    <tableColumn id="1" name="Segment" dataDxfId="68"/>
    <tableColumn id="2" name="Percentage" dataDxfId="67"/>
    <tableColumn id="3" name="Customers" dataDxfId="66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9" name="Table9" displayName="Table9" ref="N1:O8" totalsRowShown="0">
  <autoFilter ref="N1:O8"/>
  <tableColumns count="2">
    <tableColumn id="1" name="Day" dataDxfId="65"/>
    <tableColumn id="2" name="Weight" dataDxfId="64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11" name="Table11" displayName="Table11" ref="F1:H13" totalsRowShown="0">
  <autoFilter ref="F1:H13"/>
  <tableColumns count="3">
    <tableColumn id="1" name="City" dataDxfId="63"/>
    <tableColumn id="2" name="Region" dataDxfId="62"/>
    <tableColumn id="3" name="Customers" dataDxfId="61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13" name="Table13" displayName="Table13" ref="D1:D51" totalsRowShown="0" headerRowDxfId="60" dataDxfId="59">
  <autoFilter ref="D1:D51"/>
  <tableColumns count="1">
    <tableColumn id="1" name="Last_Name" dataDxfId="58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14" name="Table14" displayName="Table14" ref="J1:K4" totalsRowShown="0">
  <autoFilter ref="J1:K4"/>
  <tableColumns count="2">
    <tableColumn id="1" name="Customer_Type" dataDxfId="57"/>
    <tableColumn id="2" name="Customers" dataDxfId="56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15" name="Table15" displayName="Table15" ref="M1:N3" totalsRowShown="0">
  <autoFilter ref="M1:N3"/>
  <tableColumns count="2">
    <tableColumn id="1" name="Gender" dataDxfId="55"/>
    <tableColumn id="2" name="Customers" dataDxfId="54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16" name="Table16" displayName="Table16" ref="P1:S6" totalsRowShown="0" headerRowDxfId="53" dataDxfId="52">
  <autoFilter ref="P1:S6"/>
  <tableColumns count="4">
    <tableColumn id="1" name="Age_Group" dataDxfId="51"/>
    <tableColumn id="2" name="Min" dataDxfId="50"/>
    <tableColumn id="3" name="Max" dataDxfId="49"/>
    <tableColumn id="4" name="Customers" dataDxfId="48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17" name="Table17" displayName="Table17" ref="A1:B101" totalsRowShown="0" headerRowDxfId="47" dataDxfId="46">
  <autoFilter ref="A1:B101"/>
  <tableColumns count="2">
    <tableColumn id="1" name="First_Name" dataDxfId="45"/>
    <tableColumn id="2" name="Gender" dataDxfId="44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19" name="Table19" displayName="Table19" ref="A1:C11" totalsRowShown="0" headerRowDxfId="43" dataDxfId="42">
  <autoFilter ref="A1:C11"/>
  <tableColumns count="3">
    <tableColumn id="1" name="Salesperson_ID" dataDxfId="41"/>
    <tableColumn id="2" name="Salesperson_Name" dataDxfId="40"/>
    <tableColumn id="3" name="Gender" dataDxfId="3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20" name="Table20" displayName="Table20" ref="E1:F11" totalsRowShown="0" headerRowDxfId="38" dataDxfId="37">
  <autoFilter ref="E1:F11"/>
  <tableColumns count="2">
    <tableColumn id="1" name="Salesperson_ID" dataDxfId="36"/>
    <tableColumn id="2" name="Team" dataDxfId="35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21" name="Table21" displayName="Table21" ref="H1:I11" totalsRowShown="0" headerRowDxfId="34" dataDxfId="33">
  <autoFilter ref="H1:I11"/>
  <tableColumns count="2">
    <tableColumn id="1" name="Salesperson_ID" dataDxfId="32"/>
    <tableColumn id="2" name="City" dataDxfId="3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23" name="Table23" displayName="Table23" ref="K1:L13" totalsRowShown="0" headerRowDxfId="30" dataDxfId="29">
  <autoFilter ref="K1:L13"/>
  <tableColumns count="2">
    <tableColumn id="1" name="City" dataDxfId="28"/>
    <tableColumn id="2" name="Region" dataDxfId="27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24" name="Table24" displayName="Table24" ref="A1:F11" totalsRowShown="0">
  <autoFilter ref="A1:F11"/>
  <tableColumns count="6">
    <tableColumn id="1" name="Salesperson_ID" dataDxfId="26"/>
    <tableColumn id="2" name="Salesperson_Name">
      <calculatedColumnFormula>VLOOKUP(A2,Salesperson_Helper!$A$2:$C$11,2,FALSE)</calculatedColumnFormula>
    </tableColumn>
    <tableColumn id="3" name="Gender ">
      <calculatedColumnFormula>VLOOKUP(A2,Salesperson_Helper!$A$2:$C$11,3,FALSE)</calculatedColumnFormula>
    </tableColumn>
    <tableColumn id="4" name="Team">
      <calculatedColumnFormula>VLOOKUP(A2,Salesperson_Helper!$E$2:$F$11,2,FALSE)</calculatedColumnFormula>
    </tableColumn>
    <tableColumn id="5" name="City">
      <calculatedColumnFormula>VLOOKUP(A2,Salesperson_Helper!$H$2:$I$11,2,FALSE)</calculatedColumnFormula>
    </tableColumn>
    <tableColumn id="6" name="Region">
      <calculatedColumnFormula>VLOOKUP(E2,Salesperson_Helper!$K$2:$L$13,2,FALSE)</calculatedColumnFormula>
    </tableColumn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18" name="Customer_Masterdata" displayName="Customer_Masterdata" ref="A1:G901" totalsRowShown="0">
  <autoFilter ref="A1:G901"/>
  <tableColumns count="7">
    <tableColumn id="1" name="Customer_ID">
      <calculatedColumnFormula>"C"&amp;TEXT(ROW()-1,"0000")</calculatedColumnFormula>
    </tableColumn>
    <tableColumn id="2" name="Customer_Name"/>
    <tableColumn id="3" name="Gender">
      <calculatedColumnFormula>VLOOKUP(LEFT(B2,FIND(" ",B2)-1),Customer_Helper!$A$2:$B$101,2,FALSE)</calculatedColumnFormula>
    </tableColumn>
    <tableColumn id="4" name="Age"/>
    <tableColumn id="5" name="City"/>
    <tableColumn id="6" name="Region">
      <calculatedColumnFormula>VLOOKUP(E2,Customer_Helper!$F$2:$G$13,2,FALSE)</calculatedColumnFormula>
    </tableColumn>
    <tableColumn id="7" name="Customer_Type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10" name="Table10" displayName="Table10" ref="A1:L22" totalsRowShown="0" headerRowDxfId="25" dataDxfId="24">
  <autoFilter ref="A1:L22"/>
  <tableColumns count="12">
    <tableColumn id="1" name="Product_ID" dataDxfId="23"/>
    <tableColumn id="2" name="Category" dataDxfId="22"/>
    <tableColumn id="3" name="Product_Name" dataDxfId="21"/>
    <tableColumn id="4" name="Product_Role" dataDxfId="20"/>
    <tableColumn id="5" name="Bundle_Group" dataDxfId="19"/>
    <tableColumn id="6" name="Unit_Price (₹)" dataDxfId="18"/>
    <tableColumn id="7" name="Profit_Margin (%)" dataDxfId="17"/>
    <tableColumn id="8" name="Cost_Price (₹)" dataDxfId="16">
      <calculatedColumnFormula>Table10[[#This Row],[Unit_Price (₹)]]*(1-Table10[[#This Row],[Profit_Margin (%)]]/100)</calculatedColumnFormula>
    </tableColumn>
    <tableColumn id="9" name="Demand_Level" dataDxfId="15"/>
    <tableColumn id="10" name="Seasonal_Boost" dataDxfId="14"/>
    <tableColumn id="11" name="Min_Order_Qty" dataDxfId="13"/>
    <tableColumn id="12" name="Max_Order_Qty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7" Type="http://schemas.openxmlformats.org/officeDocument/2006/relationships/table" Target="../tables/table26.xml"/><Relationship Id="rId2" Type="http://schemas.openxmlformats.org/officeDocument/2006/relationships/table" Target="../tables/table21.xml"/><Relationship Id="rId1" Type="http://schemas.openxmlformats.org/officeDocument/2006/relationships/table" Target="../tables/table20.xml"/><Relationship Id="rId6" Type="http://schemas.openxmlformats.org/officeDocument/2006/relationships/table" Target="../tables/table25.xml"/><Relationship Id="rId5" Type="http://schemas.openxmlformats.org/officeDocument/2006/relationships/table" Target="../tables/table24.xml"/><Relationship Id="rId4" Type="http://schemas.openxmlformats.org/officeDocument/2006/relationships/table" Target="../tables/table2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table" Target="../tables/table28.xml"/><Relationship Id="rId4" Type="http://schemas.openxmlformats.org/officeDocument/2006/relationships/table" Target="../tables/table3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.xml"/><Relationship Id="rId2" Type="http://schemas.openxmlformats.org/officeDocument/2006/relationships/table" Target="../tables/table33.xml"/><Relationship Id="rId1" Type="http://schemas.openxmlformats.org/officeDocument/2006/relationships/table" Target="../tables/table32.xml"/><Relationship Id="rId6" Type="http://schemas.openxmlformats.org/officeDocument/2006/relationships/table" Target="../tables/table37.xml"/><Relationship Id="rId5" Type="http://schemas.openxmlformats.org/officeDocument/2006/relationships/table" Target="../tables/table36.xml"/><Relationship Id="rId4" Type="http://schemas.openxmlformats.org/officeDocument/2006/relationships/table" Target="../tables/table3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0.xml"/><Relationship Id="rId2" Type="http://schemas.openxmlformats.org/officeDocument/2006/relationships/table" Target="../tables/table39.xml"/><Relationship Id="rId1" Type="http://schemas.openxmlformats.org/officeDocument/2006/relationships/table" Target="../tables/table38.xml"/><Relationship Id="rId4" Type="http://schemas.openxmlformats.org/officeDocument/2006/relationships/table" Target="../tables/table4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81"/>
  <sheetViews>
    <sheetView zoomScale="70" zoomScaleNormal="70" zoomScaleSheetLayoutView="25" workbookViewId="0">
      <selection sqref="A1:N81"/>
    </sheetView>
  </sheetViews>
  <sheetFormatPr defaultRowHeight="15" x14ac:dyDescent="0.25"/>
  <cols>
    <col min="14" max="14" width="9.140625" customWidth="1"/>
    <col min="27" max="27" width="9.28515625" bestFit="1" customWidth="1"/>
    <col min="28" max="28" width="16" bestFit="1" customWidth="1"/>
    <col min="29" max="29" width="18.28515625" bestFit="1" customWidth="1"/>
    <col min="30" max="30" width="17" customWidth="1"/>
    <col min="32" max="32" width="18.7109375" bestFit="1" customWidth="1"/>
  </cols>
  <sheetData>
    <row r="1" spans="1:32" x14ac:dyDescent="0.25">
      <c r="A1" s="100" t="s">
        <v>5204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6"/>
      <c r="AA1" s="4" t="s">
        <v>5191</v>
      </c>
      <c r="AB1" s="1" t="s">
        <v>20</v>
      </c>
      <c r="AC1" s="4" t="s">
        <v>1225</v>
      </c>
      <c r="AD1" s="4" t="s">
        <v>5208</v>
      </c>
    </row>
    <row r="2" spans="1:32" x14ac:dyDescent="0.25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6"/>
      <c r="AA2" s="3">
        <f>ROW(Y1)</f>
        <v>1</v>
      </c>
      <c r="AB2" t="str">
        <f>INDEX(Product_Analysis[Product],MATCH(AC2,Product_Analysis[Revenue],0))</f>
        <v>Laptop</v>
      </c>
      <c r="AC2" s="76">
        <f>LARGE(Product_Analysis[Revenue],AA2)</f>
        <v>24770999.610000007</v>
      </c>
      <c r="AD2" s="76" t="str">
        <f>"₹"&amp;TEXT(Product_helper_Dashboard[[#This Row],[Revenue]]/10000000,"0.00")&amp;" Cr"</f>
        <v>₹2.48 Cr</v>
      </c>
      <c r="AF2" s="12">
        <f>SUM(RawData[Revenue])</f>
        <v>124079067.76000008</v>
      </c>
    </row>
    <row r="3" spans="1:32" ht="17.25" x14ac:dyDescent="0.3">
      <c r="A3" s="101" t="s">
        <v>5205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6"/>
      <c r="AA3" s="3">
        <f>ROW(Y2)</f>
        <v>2</v>
      </c>
      <c r="AB3" t="str">
        <f>INDEX(Product_Analysis[Product],MATCH(AC3,Product_Analysis[Revenue],0))</f>
        <v>Sofa</v>
      </c>
      <c r="AC3" s="76">
        <f>LARGE(Product_Analysis[Revenue],AA3)</f>
        <v>16882267.379999995</v>
      </c>
      <c r="AD3" s="76" t="str">
        <f>"₹"&amp;TEXT(Product_helper_Dashboard[[#This Row],[Revenue]]/10000000,"0.00")&amp;" Cr"</f>
        <v>₹1.69 Cr</v>
      </c>
      <c r="AF3" s="79">
        <f>SUM(RawData[Profit])</f>
        <v>17118773.169999994</v>
      </c>
    </row>
    <row r="4" spans="1:32" x14ac:dyDescent="0.25">
      <c r="AA4" s="3">
        <f>ROW(Y3)</f>
        <v>3</v>
      </c>
      <c r="AB4" t="str">
        <f>INDEX(Product_Analysis[Product],MATCH(AC4,Product_Analysis[Revenue],0))</f>
        <v>Smartphone</v>
      </c>
      <c r="AC4" s="76">
        <f>LARGE(Product_Analysis[Revenue],AA4)</f>
        <v>16236016</v>
      </c>
      <c r="AD4" s="76" t="str">
        <f>"₹"&amp;TEXT(Product_helper_Dashboard[[#This Row],[Revenue]]/10000000,"0.00")&amp;" Cr"</f>
        <v>₹1.62 Cr</v>
      </c>
      <c r="AF4">
        <f>ROWS(RawData[Order_ID])</f>
        <v>3000</v>
      </c>
    </row>
    <row r="5" spans="1:32" x14ac:dyDescent="0.25">
      <c r="A5" s="103" t="s">
        <v>5115</v>
      </c>
      <c r="B5" s="103"/>
      <c r="C5" s="103" t="s">
        <v>5117</v>
      </c>
      <c r="D5" s="103"/>
      <c r="E5" s="94" t="s">
        <v>5126</v>
      </c>
      <c r="F5" s="94"/>
      <c r="G5" s="94" t="s">
        <v>5206</v>
      </c>
      <c r="H5" s="94"/>
      <c r="I5" s="94" t="s">
        <v>5124</v>
      </c>
      <c r="J5" s="94"/>
      <c r="K5" s="94" t="s">
        <v>184</v>
      </c>
      <c r="L5" s="94"/>
      <c r="M5" s="94" t="s">
        <v>5207</v>
      </c>
      <c r="N5" s="94"/>
      <c r="AA5" s="3">
        <f>ROW(Y4)</f>
        <v>4</v>
      </c>
      <c r="AB5" t="str">
        <f>INDEX(Product_Analysis[Product],MATCH(AC5,Product_Analysis[Revenue],0))</f>
        <v>Wardrobe</v>
      </c>
      <c r="AC5" s="76">
        <f>LARGE(Product_Analysis[Revenue],AA5)</f>
        <v>12427451.629999995</v>
      </c>
      <c r="AD5" s="76" t="str">
        <f>"₹"&amp;TEXT(Product_helper_Dashboard[[#This Row],[Revenue]]/10000000,"0.00")&amp;" Cr"</f>
        <v>₹1.24 Cr</v>
      </c>
    </row>
    <row r="6" spans="1:32" x14ac:dyDescent="0.25">
      <c r="A6" s="104" t="str">
        <f>"₹"&amp;TEXT(AF2/10000000,"0.00")&amp;" Cr"</f>
        <v>₹12.41 Cr</v>
      </c>
      <c r="B6" s="104"/>
      <c r="C6" s="91" t="str">
        <f>"₹"&amp;TEXT(AF3/10000000,"0.00")&amp;" Cr"</f>
        <v>₹1.71 Cr</v>
      </c>
      <c r="D6" s="91"/>
      <c r="E6" s="92">
        <f>SUM(RawData[Profit])/SUM(RawData[Revenue])</f>
        <v>0.1379666488396897</v>
      </c>
      <c r="F6" s="92"/>
      <c r="G6" s="93">
        <f>ROWS(RawData[Order_ID])</f>
        <v>3000</v>
      </c>
      <c r="H6" s="93"/>
      <c r="I6" s="93">
        <f>SUM(RawData[Quantity])</f>
        <v>9029</v>
      </c>
      <c r="J6" s="93"/>
      <c r="K6" s="93">
        <f>COUNTA(Customer_Masterdata[Customer_ID])</f>
        <v>900</v>
      </c>
      <c r="L6" s="93"/>
      <c r="M6" s="95" t="str">
        <f>"₹"&amp;TEXT(AF6/1000,"0.00")&amp;" K"</f>
        <v>₹41.36 K</v>
      </c>
      <c r="N6" s="95"/>
      <c r="AA6" s="3">
        <f>ROW(Y5)</f>
        <v>5</v>
      </c>
      <c r="AB6" t="str">
        <f>INDEX(Product_Analysis[Product],MATCH(AC6,Product_Analysis[Revenue],0))</f>
        <v>Tablet</v>
      </c>
      <c r="AC6" s="76">
        <f>LARGE(Product_Analysis[Revenue],AA6)</f>
        <v>11092821.609999996</v>
      </c>
      <c r="AD6" s="76" t="str">
        <f>"₹"&amp;TEXT(Product_helper_Dashboard[[#This Row],[Revenue]]/10000000,"0.00")&amp;" Cr"</f>
        <v>₹1.11 Cr</v>
      </c>
      <c r="AF6" s="79">
        <f>AF2/AF4</f>
        <v>41359.689253333359</v>
      </c>
    </row>
    <row r="7" spans="1:32" x14ac:dyDescent="0.25">
      <c r="A7" s="104"/>
      <c r="B7" s="104"/>
      <c r="C7" s="91"/>
      <c r="D7" s="91"/>
      <c r="E7" s="92"/>
      <c r="F7" s="92"/>
      <c r="G7" s="93"/>
      <c r="H7" s="93"/>
      <c r="I7" s="93"/>
      <c r="J7" s="93"/>
      <c r="K7" s="93"/>
      <c r="L7" s="93"/>
      <c r="M7" s="95"/>
      <c r="N7" s="95"/>
    </row>
    <row r="8" spans="1:32" x14ac:dyDescent="0.25">
      <c r="A8" s="104"/>
      <c r="B8" s="104"/>
      <c r="C8" s="91"/>
      <c r="D8" s="91"/>
      <c r="E8" s="92"/>
      <c r="F8" s="92"/>
      <c r="G8" s="93"/>
      <c r="H8" s="93"/>
      <c r="I8" s="93"/>
      <c r="J8" s="93"/>
      <c r="K8" s="93"/>
      <c r="L8" s="93"/>
      <c r="M8" s="95"/>
      <c r="N8" s="95"/>
      <c r="AD8" s="79"/>
    </row>
    <row r="9" spans="1:32" x14ac:dyDescent="0.25">
      <c r="E9" s="78"/>
      <c r="F9" s="78"/>
    </row>
    <row r="10" spans="1:32" x14ac:dyDescent="0.25">
      <c r="A10" s="102"/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</row>
    <row r="11" spans="1:32" x14ac:dyDescent="0.25">
      <c r="A11" s="102"/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</row>
    <row r="12" spans="1:32" x14ac:dyDescent="0.25">
      <c r="A12" s="102"/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</row>
    <row r="13" spans="1:32" x14ac:dyDescent="0.25">
      <c r="A13" s="102"/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</row>
    <row r="14" spans="1:32" x14ac:dyDescent="0.25">
      <c r="A14" s="102"/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</row>
    <row r="15" spans="1:32" x14ac:dyDescent="0.25">
      <c r="A15" s="102"/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</row>
    <row r="16" spans="1:32" x14ac:dyDescent="0.25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</row>
    <row r="17" spans="1:14" x14ac:dyDescent="0.25">
      <c r="A17" s="102"/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</row>
    <row r="18" spans="1:14" x14ac:dyDescent="0.25">
      <c r="A18" s="102"/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</row>
    <row r="19" spans="1:14" x14ac:dyDescent="0.25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</row>
    <row r="20" spans="1:14" x14ac:dyDescent="0.25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</row>
    <row r="21" spans="1:14" x14ac:dyDescent="0.25">
      <c r="A21" s="102"/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</row>
    <row r="22" spans="1:14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</row>
    <row r="23" spans="1:14" x14ac:dyDescent="0.25">
      <c r="A23" s="102"/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</row>
    <row r="24" spans="1:14" x14ac:dyDescent="0.25">
      <c r="A24" s="102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</row>
    <row r="25" spans="1:14" x14ac:dyDescent="0.25">
      <c r="A25" s="102"/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</row>
    <row r="26" spans="1:14" x14ac:dyDescent="0.25">
      <c r="A26" s="102"/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</row>
    <row r="27" spans="1:14" x14ac:dyDescent="0.25">
      <c r="A27" s="102"/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</row>
    <row r="28" spans="1:14" x14ac:dyDescent="0.25">
      <c r="A28" s="102"/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</row>
    <row r="29" spans="1:14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</row>
    <row r="30" spans="1:14" x14ac:dyDescent="0.25">
      <c r="A30" s="102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</row>
    <row r="31" spans="1:14" x14ac:dyDescent="0.25">
      <c r="A31" s="102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</row>
    <row r="32" spans="1:14" x14ac:dyDescent="0.25">
      <c r="A32" s="102"/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</row>
    <row r="33" spans="1:14" x14ac:dyDescent="0.25">
      <c r="A33" s="102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</row>
    <row r="34" spans="1:14" x14ac:dyDescent="0.25">
      <c r="A34" s="102"/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</row>
    <row r="35" spans="1:14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</row>
    <row r="36" spans="1:14" x14ac:dyDescent="0.25">
      <c r="A36" s="102"/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</row>
    <row r="37" spans="1:14" x14ac:dyDescent="0.25">
      <c r="A37" s="102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</row>
    <row r="38" spans="1:14" x14ac:dyDescent="0.25">
      <c r="A38" s="102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</row>
    <row r="39" spans="1:14" x14ac:dyDescent="0.25">
      <c r="A39" s="102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</row>
    <row r="40" spans="1:14" x14ac:dyDescent="0.25">
      <c r="A40" s="102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</row>
    <row r="41" spans="1:14" x14ac:dyDescent="0.25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</row>
    <row r="42" spans="1:14" x14ac:dyDescent="0.2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</row>
    <row r="43" spans="1:14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</row>
    <row r="44" spans="1:14" x14ac:dyDescent="0.25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</row>
    <row r="45" spans="1:14" x14ac:dyDescent="0.25">
      <c r="A45" s="102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</row>
    <row r="46" spans="1:14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</row>
    <row r="47" spans="1:14" x14ac:dyDescent="0.25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</row>
    <row r="48" spans="1:14" x14ac:dyDescent="0.25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</row>
    <row r="49" spans="1:14" x14ac:dyDescent="0.25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</row>
    <row r="50" spans="1:14" x14ac:dyDescent="0.25">
      <c r="A50" s="102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</row>
    <row r="51" spans="1:14" x14ac:dyDescent="0.25">
      <c r="A51" s="102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</row>
    <row r="52" spans="1:14" x14ac:dyDescent="0.25">
      <c r="A52" s="102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</row>
    <row r="53" spans="1:14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</row>
    <row r="54" spans="1:14" x14ac:dyDescent="0.25">
      <c r="A54" s="102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</row>
    <row r="55" spans="1:14" x14ac:dyDescent="0.25">
      <c r="A55" s="102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</row>
    <row r="56" spans="1:14" x14ac:dyDescent="0.25">
      <c r="A56" s="102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</row>
    <row r="57" spans="1:14" x14ac:dyDescent="0.25">
      <c r="A57" s="102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</row>
    <row r="58" spans="1:14" x14ac:dyDescent="0.25">
      <c r="A58" s="102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</row>
    <row r="59" spans="1:14" x14ac:dyDescent="0.25">
      <c r="A59" s="102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</row>
    <row r="60" spans="1:14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</row>
    <row r="61" spans="1:14" x14ac:dyDescent="0.25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</row>
    <row r="62" spans="1:14" x14ac:dyDescent="0.25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</row>
    <row r="63" spans="1:14" x14ac:dyDescent="0.25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</row>
    <row r="64" spans="1:14" x14ac:dyDescent="0.25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</row>
    <row r="65" spans="1:14" x14ac:dyDescent="0.25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</row>
    <row r="66" spans="1:14" x14ac:dyDescent="0.25">
      <c r="A66" s="102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</row>
    <row r="67" spans="1:14" x14ac:dyDescent="0.25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</row>
    <row r="68" spans="1:14" x14ac:dyDescent="0.25">
      <c r="A68" s="102"/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</row>
    <row r="69" spans="1:14" x14ac:dyDescent="0.25">
      <c r="A69" s="102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</row>
    <row r="70" spans="1:14" ht="8.25" customHeight="1" x14ac:dyDescent="0.25"/>
    <row r="71" spans="1:14" ht="15.75" x14ac:dyDescent="0.25">
      <c r="A71" s="96" t="s">
        <v>5223</v>
      </c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</row>
    <row r="72" spans="1:14" x14ac:dyDescent="0.25">
      <c r="A72" s="98" t="s">
        <v>5225</v>
      </c>
      <c r="B72" s="98"/>
      <c r="C72" s="98" t="s">
        <v>5226</v>
      </c>
      <c r="D72" s="98"/>
      <c r="E72" s="98"/>
      <c r="F72" s="98" t="s">
        <v>5227</v>
      </c>
      <c r="G72" s="98"/>
      <c r="H72" s="98"/>
      <c r="I72" s="98" t="s">
        <v>5228</v>
      </c>
      <c r="J72" s="98"/>
      <c r="K72" s="98"/>
      <c r="L72" s="98" t="s">
        <v>5229</v>
      </c>
      <c r="M72" s="98"/>
      <c r="N72" s="98"/>
    </row>
    <row r="73" spans="1:14" ht="15" customHeight="1" x14ac:dyDescent="0.25">
      <c r="A73" s="99" t="s">
        <v>5224</v>
      </c>
      <c r="B73" s="99"/>
      <c r="C73" s="99" t="s">
        <v>5230</v>
      </c>
      <c r="D73" s="99"/>
      <c r="E73" s="99"/>
      <c r="F73" s="99" t="s">
        <v>5231</v>
      </c>
      <c r="G73" s="99"/>
      <c r="H73" s="99"/>
      <c r="I73" s="99" t="s">
        <v>5232</v>
      </c>
      <c r="J73" s="99"/>
      <c r="K73" s="99"/>
      <c r="L73" s="99" t="s">
        <v>5233</v>
      </c>
      <c r="M73" s="99"/>
      <c r="N73" s="99"/>
    </row>
    <row r="74" spans="1:14" x14ac:dyDescent="0.25">
      <c r="A74" s="99"/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</row>
    <row r="75" spans="1:14" x14ac:dyDescent="0.25">
      <c r="A75" s="99"/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</row>
    <row r="76" spans="1:14" x14ac:dyDescent="0.25">
      <c r="A76" s="99"/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</row>
    <row r="77" spans="1:14" x14ac:dyDescent="0.25">
      <c r="A77" s="105" t="s">
        <v>5234</v>
      </c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</row>
    <row r="78" spans="1:14" x14ac:dyDescent="0.25">
      <c r="A78" s="105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</row>
    <row r="79" spans="1:14" x14ac:dyDescent="0.25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</row>
    <row r="80" spans="1:14" x14ac:dyDescent="0.25">
      <c r="A80" s="105" t="s">
        <v>5235</v>
      </c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</row>
    <row r="81" spans="1:14" x14ac:dyDescent="0.25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</row>
  </sheetData>
  <mergeCells count="37">
    <mergeCell ref="L72:N72"/>
    <mergeCell ref="L73:N76"/>
    <mergeCell ref="A77:N79"/>
    <mergeCell ref="A80:N81"/>
    <mergeCell ref="C73:E76"/>
    <mergeCell ref="C72:E72"/>
    <mergeCell ref="F72:H72"/>
    <mergeCell ref="F73:H76"/>
    <mergeCell ref="I72:K72"/>
    <mergeCell ref="I73:K76"/>
    <mergeCell ref="A71:N71"/>
    <mergeCell ref="A72:B72"/>
    <mergeCell ref="A73:B76"/>
    <mergeCell ref="A1:N2"/>
    <mergeCell ref="A3:N3"/>
    <mergeCell ref="A46:G57"/>
    <mergeCell ref="H46:N57"/>
    <mergeCell ref="A58:N69"/>
    <mergeCell ref="A10:G21"/>
    <mergeCell ref="H10:N21"/>
    <mergeCell ref="A22:N33"/>
    <mergeCell ref="A34:G45"/>
    <mergeCell ref="H34:N45"/>
    <mergeCell ref="A5:B5"/>
    <mergeCell ref="A6:B8"/>
    <mergeCell ref="C5:D5"/>
    <mergeCell ref="E5:F5"/>
    <mergeCell ref="G5:H5"/>
    <mergeCell ref="I5:J5"/>
    <mergeCell ref="M6:N8"/>
    <mergeCell ref="M5:N5"/>
    <mergeCell ref="K5:L5"/>
    <mergeCell ref="C6:D8"/>
    <mergeCell ref="E6:F8"/>
    <mergeCell ref="G6:H8"/>
    <mergeCell ref="I6:J8"/>
    <mergeCell ref="K6:L8"/>
  </mergeCells>
  <pageMargins left="0.25" right="0.25" top="0.75" bottom="0.75" header="0.3" footer="0.3"/>
  <pageSetup paperSize="5" scale="76" orientation="portrait" r:id="rId1"/>
  <rowBreaks count="2" manualBreakCount="2">
    <brk id="33" max="31" man="1"/>
    <brk id="69" max="16383" man="1"/>
  </rowBreaks>
  <colBreaks count="1" manualBreakCount="1">
    <brk id="14" max="1048575" man="1"/>
  </colBreak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902"/>
  <sheetViews>
    <sheetView showGridLines="0" tabSelected="1" topLeftCell="DX1" zoomScale="90" zoomScaleNormal="90" workbookViewId="0">
      <selection activeCell="EN11" sqref="EN11"/>
    </sheetView>
  </sheetViews>
  <sheetFormatPr defaultRowHeight="15" x14ac:dyDescent="0.25"/>
  <cols>
    <col min="1" max="1" width="19.7109375" style="16" bestFit="1" customWidth="1"/>
    <col min="2" max="2" width="16" style="16" bestFit="1" customWidth="1"/>
    <col min="3" max="3" width="9.140625" style="16"/>
    <col min="4" max="4" width="14.5703125" style="16" bestFit="1" customWidth="1"/>
    <col min="5" max="5" width="7" style="16" bestFit="1" customWidth="1"/>
    <col min="6" max="6" width="10" style="16" bestFit="1" customWidth="1"/>
    <col min="7" max="7" width="15" style="16" bestFit="1" customWidth="1"/>
    <col min="8" max="8" width="15.85546875" style="16" bestFit="1" customWidth="1"/>
    <col min="9" max="9" width="14.28515625" style="16" bestFit="1" customWidth="1"/>
    <col min="10" max="10" width="12.7109375" style="16" bestFit="1" customWidth="1"/>
    <col min="11" max="11" width="9.140625" style="16"/>
    <col min="12" max="12" width="11.5703125" style="16" bestFit="1" customWidth="1"/>
    <col min="13" max="13" width="19.42578125" style="16" bestFit="1" customWidth="1"/>
    <col min="14" max="14" width="8.5703125" style="16" bestFit="1" customWidth="1"/>
    <col min="15" max="15" width="10.7109375" style="16" customWidth="1"/>
    <col min="16" max="16" width="18.28515625" style="16" customWidth="1"/>
    <col min="17" max="17" width="16.42578125" style="16" bestFit="1" customWidth="1"/>
    <col min="18" max="18" width="13.42578125" style="16" customWidth="1"/>
    <col min="19" max="19" width="9.140625" style="16"/>
    <col min="20" max="20" width="14.5703125" style="16" bestFit="1" customWidth="1"/>
    <col min="21" max="21" width="11.85546875" style="16" bestFit="1" customWidth="1"/>
    <col min="22" max="22" width="7" style="16" bestFit="1" customWidth="1"/>
    <col min="23" max="23" width="10" style="16" bestFit="1" customWidth="1"/>
    <col min="24" max="24" width="16.7109375" style="16" bestFit="1" customWidth="1"/>
    <col min="25" max="25" width="15.140625" style="16" bestFit="1" customWidth="1"/>
    <col min="26" max="26" width="12.7109375" style="16" bestFit="1" customWidth="1"/>
    <col min="27" max="28" width="12.7109375" style="16" customWidth="1"/>
    <col min="29" max="29" width="9.140625" style="16"/>
    <col min="30" max="30" width="18.28515625" style="16" bestFit="1" customWidth="1"/>
    <col min="31" max="31" width="14.5703125" style="16" bestFit="1" customWidth="1"/>
    <col min="32" max="32" width="12.140625" style="16" customWidth="1"/>
    <col min="33" max="33" width="16.85546875" style="16" customWidth="1"/>
    <col min="34" max="34" width="18.85546875" style="16" customWidth="1"/>
    <col min="35" max="35" width="17.5703125" style="16" customWidth="1"/>
    <col min="36" max="36" width="19.28515625" style="16" customWidth="1"/>
    <col min="37" max="37" width="9.140625" style="16"/>
    <col min="38" max="38" width="16.42578125" style="16" bestFit="1" customWidth="1"/>
    <col min="39" max="39" width="20" style="16" bestFit="1" customWidth="1"/>
    <col min="40" max="40" width="7" style="16" bestFit="1" customWidth="1"/>
    <col min="41" max="41" width="10" style="16" bestFit="1" customWidth="1"/>
    <col min="42" max="42" width="13.28515625" style="16" bestFit="1" customWidth="1"/>
    <col min="43" max="43" width="11.5703125" style="16" bestFit="1" customWidth="1"/>
    <col min="44" max="44" width="12" style="16" bestFit="1" customWidth="1"/>
    <col min="45" max="45" width="14.42578125" style="16" bestFit="1" customWidth="1"/>
    <col min="46" max="46" width="9.140625" style="16"/>
    <col min="47" max="47" width="19" style="16" bestFit="1" customWidth="1"/>
    <col min="48" max="48" width="10.42578125" style="16" bestFit="1" customWidth="1"/>
    <col min="49" max="49" width="9.7109375" style="16" bestFit="1" customWidth="1"/>
    <col min="50" max="50" width="8.140625" style="16" bestFit="1" customWidth="1"/>
    <col min="51" max="51" width="17.85546875" style="16" bestFit="1" customWidth="1"/>
    <col min="52" max="52" width="16.85546875" style="16" bestFit="1" customWidth="1"/>
    <col min="53" max="53" width="20.42578125" style="16" customWidth="1"/>
    <col min="54" max="54" width="27.85546875" style="16" bestFit="1" customWidth="1"/>
    <col min="55" max="55" width="25" style="16" bestFit="1" customWidth="1"/>
    <col min="56" max="56" width="26.28515625" style="16" bestFit="1" customWidth="1"/>
    <col min="57" max="57" width="16.42578125" style="16" bestFit="1" customWidth="1"/>
    <col min="58" max="58" width="9.140625" style="16"/>
    <col min="59" max="59" width="9.85546875" style="16" bestFit="1" customWidth="1"/>
    <col min="60" max="60" width="16.42578125" style="16" bestFit="1" customWidth="1"/>
    <col min="61" max="61" width="20" style="16" bestFit="1" customWidth="1"/>
    <col min="62" max="62" width="11.5703125" style="16" bestFit="1" customWidth="1"/>
    <col min="63" max="63" width="13.42578125" style="16" customWidth="1"/>
    <col min="64" max="64" width="11.5703125" style="16" bestFit="1" customWidth="1"/>
    <col min="65" max="65" width="9.140625" style="16"/>
    <col min="66" max="66" width="9.85546875" style="16" bestFit="1" customWidth="1"/>
    <col min="67" max="67" width="16.42578125" style="16" bestFit="1" customWidth="1"/>
    <col min="68" max="68" width="20" style="16" bestFit="1" customWidth="1"/>
    <col min="69" max="69" width="11.5703125" style="16" bestFit="1" customWidth="1"/>
    <col min="70" max="70" width="13.42578125" style="16" customWidth="1"/>
    <col min="71" max="71" width="11.5703125" style="16" bestFit="1" customWidth="1"/>
    <col min="72" max="72" width="9.140625" style="16"/>
    <col min="73" max="73" width="18" style="16" bestFit="1" customWidth="1"/>
    <col min="74" max="74" width="7" style="16" bestFit="1" customWidth="1"/>
    <col min="75" max="75" width="10" style="16" bestFit="1" customWidth="1"/>
    <col min="76" max="76" width="16.85546875" style="16" bestFit="1" customWidth="1"/>
    <col min="77" max="77" width="15.85546875" style="16" bestFit="1" customWidth="1"/>
    <col min="78" max="78" width="12.7109375" style="16" bestFit="1" customWidth="1"/>
    <col min="79" max="79" width="12.7109375" style="16" customWidth="1"/>
    <col min="80" max="80" width="9.140625" style="16"/>
    <col min="81" max="81" width="19.28515625" style="16" bestFit="1" customWidth="1"/>
    <col min="82" max="82" width="7" style="16" bestFit="1" customWidth="1"/>
    <col min="83" max="83" width="10" style="16" bestFit="1" customWidth="1"/>
    <col min="84" max="84" width="16.7109375" style="16" bestFit="1" customWidth="1"/>
    <col min="85" max="85" width="14.28515625" style="16" bestFit="1" customWidth="1"/>
    <col min="86" max="86" width="12.7109375" style="16" bestFit="1" customWidth="1"/>
    <col min="87" max="87" width="12.7109375" style="16" customWidth="1"/>
    <col min="88" max="88" width="9.140625" style="16"/>
    <col min="89" max="89" width="18.7109375" style="16" bestFit="1" customWidth="1"/>
    <col min="90" max="90" width="22.28515625" style="16" bestFit="1" customWidth="1"/>
    <col min="91" max="91" width="7" style="16" bestFit="1" customWidth="1"/>
    <col min="92" max="92" width="10" style="16" bestFit="1" customWidth="1"/>
    <col min="93" max="93" width="16.85546875" style="16" bestFit="1" customWidth="1"/>
    <col min="94" max="94" width="15.85546875" style="16" bestFit="1" customWidth="1"/>
    <col min="95" max="95" width="12.7109375" style="16" bestFit="1" customWidth="1"/>
    <col min="96" max="96" width="15.5703125" style="16" bestFit="1" customWidth="1"/>
    <col min="97" max="97" width="15.5703125" style="16" customWidth="1"/>
    <col min="98" max="98" width="9.140625" style="16"/>
    <col min="99" max="100" width="11.7109375" style="16" bestFit="1" customWidth="1"/>
    <col min="101" max="101" width="7" style="16" bestFit="1" customWidth="1"/>
    <col min="102" max="102" width="10" style="16" bestFit="1" customWidth="1"/>
    <col min="103" max="103" width="15.85546875" style="16" bestFit="1" customWidth="1"/>
    <col min="104" max="104" width="14.28515625" style="16" bestFit="1" customWidth="1"/>
    <col min="105" max="105" width="12.7109375" style="16" bestFit="1" customWidth="1"/>
    <col min="106" max="106" width="9.140625" style="16"/>
    <col min="107" max="107" width="11.7109375" style="16" bestFit="1" customWidth="1"/>
    <col min="108" max="108" width="7" style="16" bestFit="1" customWidth="1"/>
    <col min="109" max="109" width="11.5703125" style="16" customWidth="1"/>
    <col min="110" max="110" width="16.85546875" style="16" bestFit="1" customWidth="1"/>
    <col min="111" max="111" width="15.85546875" style="16" bestFit="1" customWidth="1"/>
    <col min="112" max="112" width="12.7109375" style="16" bestFit="1" customWidth="1"/>
    <col min="113" max="113" width="12.7109375" style="16" customWidth="1"/>
    <col min="114" max="114" width="9.140625" style="16"/>
    <col min="115" max="115" width="11.85546875" style="16" bestFit="1" customWidth="1"/>
    <col min="116" max="117" width="14.42578125" style="16" bestFit="1" customWidth="1"/>
    <col min="118" max="118" width="13.42578125" style="16" bestFit="1" customWidth="1"/>
    <col min="119" max="119" width="10.7109375" style="16" bestFit="1" customWidth="1"/>
    <col min="120" max="120" width="9.140625" style="16"/>
    <col min="121" max="121" width="19" style="16" bestFit="1" customWidth="1"/>
    <col min="122" max="122" width="13.28515625" style="16" customWidth="1"/>
    <col min="123" max="123" width="10.5703125" style="16" customWidth="1"/>
    <col min="124" max="124" width="11.85546875" style="16" customWidth="1"/>
    <col min="125" max="125" width="13.28515625" style="16" customWidth="1"/>
    <col min="126" max="126" width="10.42578125" style="16" customWidth="1"/>
    <col min="127" max="129" width="11.85546875" style="16" customWidth="1"/>
    <col min="130" max="130" width="14.5703125" style="16" hidden="1" customWidth="1"/>
    <col min="131" max="131" width="12.5703125" style="16" customWidth="1"/>
    <col min="132" max="132" width="14" style="16" customWidth="1"/>
    <col min="133" max="133" width="17.85546875" style="16" bestFit="1" customWidth="1"/>
    <col min="134" max="134" width="16.85546875" style="16" bestFit="1" customWidth="1"/>
    <col min="135" max="135" width="16.28515625" style="16" customWidth="1"/>
    <col min="136" max="137" width="9.140625" style="16"/>
    <col min="138" max="138" width="14.7109375" style="16" customWidth="1"/>
    <col min="139" max="139" width="12.28515625" style="16" customWidth="1"/>
    <col min="140" max="140" width="13.28515625" style="16" customWidth="1"/>
    <col min="141" max="141" width="10.85546875" style="16" customWidth="1"/>
    <col min="142" max="142" width="14" style="16" customWidth="1"/>
    <col min="143" max="16384" width="9.140625" style="16"/>
  </cols>
  <sheetData>
    <row r="1" spans="1:142" x14ac:dyDescent="0.25">
      <c r="A1" s="14" t="s">
        <v>5110</v>
      </c>
      <c r="B1" s="15" t="s">
        <v>5119</v>
      </c>
      <c r="C1" s="15"/>
      <c r="D1" s="102" t="s">
        <v>5127</v>
      </c>
      <c r="E1" s="102"/>
      <c r="F1" s="102"/>
      <c r="G1" s="102"/>
      <c r="H1" s="102"/>
      <c r="I1" s="102"/>
      <c r="J1" s="102"/>
      <c r="L1" s="102" t="s">
        <v>5139</v>
      </c>
      <c r="M1" s="102"/>
      <c r="N1" s="102"/>
      <c r="O1" s="102"/>
      <c r="P1" s="102"/>
      <c r="Q1" s="102"/>
      <c r="R1" s="102"/>
      <c r="T1" s="102" t="s">
        <v>5141</v>
      </c>
      <c r="U1" s="102"/>
      <c r="V1" s="102"/>
      <c r="W1" s="102"/>
      <c r="X1" s="102"/>
      <c r="Y1" s="102"/>
      <c r="Z1" s="102"/>
      <c r="AA1" s="77"/>
      <c r="AB1" s="77"/>
      <c r="AD1" s="102" t="s">
        <v>5142</v>
      </c>
      <c r="AE1" s="102"/>
      <c r="AF1" s="102"/>
      <c r="AG1" s="102"/>
      <c r="AH1" s="102"/>
      <c r="AI1" s="102"/>
      <c r="AJ1" s="102"/>
      <c r="AL1" s="102" t="s">
        <v>5146</v>
      </c>
      <c r="AM1" s="102"/>
      <c r="AN1" s="102"/>
      <c r="AO1" s="102"/>
      <c r="AP1" s="102"/>
      <c r="AQ1" s="102"/>
      <c r="AR1" s="102"/>
      <c r="AS1" s="102"/>
      <c r="AU1" s="102" t="s">
        <v>5185</v>
      </c>
      <c r="AV1" s="102"/>
      <c r="AW1" s="102"/>
      <c r="AX1" s="102"/>
      <c r="AY1" s="102"/>
      <c r="AZ1" s="102"/>
      <c r="BA1" s="102"/>
      <c r="BB1" s="102"/>
      <c r="BC1" s="102"/>
      <c r="BD1" s="102"/>
      <c r="BE1" s="77"/>
      <c r="BG1" s="102" t="s">
        <v>5192</v>
      </c>
      <c r="BH1" s="102"/>
      <c r="BI1" s="102"/>
      <c r="BJ1" s="102"/>
      <c r="BK1" s="102"/>
      <c r="BL1" s="102"/>
      <c r="BN1" s="102" t="s">
        <v>5193</v>
      </c>
      <c r="BO1" s="102"/>
      <c r="BP1" s="102"/>
      <c r="BQ1" s="102"/>
      <c r="BR1" s="102"/>
      <c r="BS1" s="102"/>
      <c r="BU1" s="102" t="s">
        <v>5195</v>
      </c>
      <c r="BV1" s="102"/>
      <c r="BW1" s="102"/>
      <c r="BX1" s="102"/>
      <c r="BY1" s="102"/>
      <c r="BZ1" s="102"/>
      <c r="CA1" s="77"/>
      <c r="CC1" s="102" t="s">
        <v>5197</v>
      </c>
      <c r="CD1" s="102"/>
      <c r="CE1" s="102"/>
      <c r="CF1" s="102"/>
      <c r="CG1" s="102"/>
      <c r="CH1" s="102"/>
      <c r="CI1" s="77"/>
      <c r="CK1" s="102" t="s">
        <v>5201</v>
      </c>
      <c r="CL1" s="102"/>
      <c r="CM1" s="102"/>
      <c r="CN1" s="102"/>
      <c r="CO1" s="102"/>
      <c r="CP1" s="102"/>
      <c r="CQ1" s="102"/>
      <c r="CR1" s="102"/>
      <c r="CS1" s="77"/>
      <c r="CU1" s="102" t="s">
        <v>5202</v>
      </c>
      <c r="CV1" s="102"/>
      <c r="CW1" s="102"/>
      <c r="CX1" s="102"/>
      <c r="CY1" s="102"/>
      <c r="CZ1" s="102"/>
      <c r="DA1" s="102"/>
      <c r="DC1" s="102" t="s">
        <v>5203</v>
      </c>
      <c r="DD1" s="102"/>
      <c r="DE1" s="102"/>
      <c r="DF1" s="102"/>
      <c r="DG1" s="102"/>
      <c r="DH1" s="102"/>
      <c r="DI1" s="77"/>
      <c r="DK1" s="102" t="s">
        <v>5211</v>
      </c>
      <c r="DL1" s="102"/>
      <c r="DM1" s="102"/>
      <c r="DN1" s="102"/>
      <c r="DO1" s="102"/>
      <c r="DQ1" s="102" t="s">
        <v>5218</v>
      </c>
      <c r="DR1" s="102"/>
      <c r="DS1" s="102"/>
      <c r="DT1" s="102"/>
      <c r="DU1" s="102"/>
      <c r="DV1" s="102"/>
      <c r="DW1" s="102"/>
      <c r="DX1" s="90"/>
      <c r="DY1" s="102" t="s">
        <v>5139</v>
      </c>
      <c r="DZ1" s="102"/>
      <c r="EA1" s="102"/>
      <c r="EB1" s="102"/>
      <c r="EC1" s="102"/>
      <c r="ED1" s="102"/>
      <c r="EE1" s="102"/>
      <c r="EG1" s="102" t="s">
        <v>5222</v>
      </c>
      <c r="EH1" s="102"/>
      <c r="EI1" s="102"/>
      <c r="EJ1" s="102"/>
      <c r="EK1" s="102"/>
      <c r="EL1" s="102"/>
    </row>
    <row r="2" spans="1:142" ht="34.5" customHeight="1" x14ac:dyDescent="0.25">
      <c r="A2" s="17" t="s">
        <v>5111</v>
      </c>
      <c r="B2" s="18">
        <f>COUNTA(RawData[Order_ID])</f>
        <v>3000</v>
      </c>
      <c r="C2" s="18"/>
      <c r="D2" s="14" t="s">
        <v>19</v>
      </c>
      <c r="E2" s="15" t="s">
        <v>171</v>
      </c>
      <c r="F2" s="15" t="s">
        <v>5124</v>
      </c>
      <c r="G2" s="15" t="s">
        <v>1225</v>
      </c>
      <c r="H2" s="15" t="s">
        <v>5125</v>
      </c>
      <c r="I2" s="15" t="s">
        <v>1227</v>
      </c>
      <c r="J2" s="15" t="s">
        <v>5126</v>
      </c>
      <c r="L2" s="71" t="s">
        <v>169</v>
      </c>
      <c r="M2" s="71" t="s">
        <v>5140</v>
      </c>
      <c r="N2" s="72" t="s">
        <v>171</v>
      </c>
      <c r="O2" s="72" t="s">
        <v>5124</v>
      </c>
      <c r="P2" s="72" t="s">
        <v>1225</v>
      </c>
      <c r="Q2" s="72" t="s">
        <v>1227</v>
      </c>
      <c r="R2" s="72" t="s">
        <v>5126</v>
      </c>
      <c r="T2" s="14" t="s">
        <v>19</v>
      </c>
      <c r="U2" s="14" t="s">
        <v>1228</v>
      </c>
      <c r="V2" s="15" t="s">
        <v>171</v>
      </c>
      <c r="W2" s="15" t="s">
        <v>5124</v>
      </c>
      <c r="X2" s="15" t="s">
        <v>1225</v>
      </c>
      <c r="Y2" s="15" t="s">
        <v>1227</v>
      </c>
      <c r="Z2" s="15" t="s">
        <v>5126</v>
      </c>
      <c r="AA2" s="80" t="s">
        <v>5208</v>
      </c>
      <c r="AB2" s="80" t="s">
        <v>5209</v>
      </c>
      <c r="AD2" s="14" t="s">
        <v>20</v>
      </c>
      <c r="AE2" s="14" t="s">
        <v>19</v>
      </c>
      <c r="AF2" s="14" t="s">
        <v>171</v>
      </c>
      <c r="AG2" s="14" t="s">
        <v>5124</v>
      </c>
      <c r="AH2" s="14" t="s">
        <v>1225</v>
      </c>
      <c r="AI2" s="14" t="s">
        <v>1227</v>
      </c>
      <c r="AJ2" s="14" t="s">
        <v>5126</v>
      </c>
      <c r="AL2" s="14" t="s">
        <v>5143</v>
      </c>
      <c r="AM2" s="14" t="s">
        <v>5144</v>
      </c>
      <c r="AN2" s="15" t="s">
        <v>171</v>
      </c>
      <c r="AO2" s="15" t="s">
        <v>5124</v>
      </c>
      <c r="AP2" s="15" t="s">
        <v>1225</v>
      </c>
      <c r="AQ2" s="15" t="s">
        <v>1227</v>
      </c>
      <c r="AR2" s="15" t="s">
        <v>5145</v>
      </c>
      <c r="AS2" s="15" t="s">
        <v>5183</v>
      </c>
      <c r="AU2" s="106" t="s">
        <v>5183</v>
      </c>
      <c r="AV2" s="106" t="s">
        <v>184</v>
      </c>
      <c r="AW2" s="106" t="s">
        <v>171</v>
      </c>
      <c r="AX2" s="106" t="s">
        <v>5184</v>
      </c>
      <c r="AY2" s="106" t="s">
        <v>1225</v>
      </c>
      <c r="AZ2" s="106" t="s">
        <v>1227</v>
      </c>
      <c r="BA2" s="106" t="s">
        <v>5126</v>
      </c>
      <c r="BB2" s="106" t="s">
        <v>5188</v>
      </c>
      <c r="BC2" s="106" t="s">
        <v>5189</v>
      </c>
      <c r="BD2" s="106" t="s">
        <v>5190</v>
      </c>
      <c r="BE2" s="107" t="s">
        <v>5208</v>
      </c>
      <c r="BG2" s="14" t="s">
        <v>5191</v>
      </c>
      <c r="BH2" s="14" t="s">
        <v>5143</v>
      </c>
      <c r="BI2" s="14" t="s">
        <v>5144</v>
      </c>
      <c r="BJ2" s="14" t="s">
        <v>171</v>
      </c>
      <c r="BK2" s="14" t="s">
        <v>1225</v>
      </c>
      <c r="BL2" s="14" t="s">
        <v>1227</v>
      </c>
      <c r="BN2" s="14" t="s">
        <v>5191</v>
      </c>
      <c r="BO2" s="14" t="s">
        <v>5143</v>
      </c>
      <c r="BP2" s="14" t="s">
        <v>5144</v>
      </c>
      <c r="BQ2" s="14" t="s">
        <v>171</v>
      </c>
      <c r="BR2" s="14" t="s">
        <v>1225</v>
      </c>
      <c r="BS2" s="14" t="s">
        <v>1227</v>
      </c>
      <c r="BU2" s="14" t="s">
        <v>5194</v>
      </c>
      <c r="BV2" s="15" t="s">
        <v>171</v>
      </c>
      <c r="BW2" s="15" t="s">
        <v>5124</v>
      </c>
      <c r="BX2" s="15" t="s">
        <v>1225</v>
      </c>
      <c r="BY2" s="15" t="s">
        <v>1227</v>
      </c>
      <c r="BZ2" s="15" t="s">
        <v>5126</v>
      </c>
      <c r="CA2" s="80" t="s">
        <v>5208</v>
      </c>
      <c r="CC2" s="14" t="s">
        <v>5196</v>
      </c>
      <c r="CD2" s="15" t="s">
        <v>171</v>
      </c>
      <c r="CE2" s="15" t="s">
        <v>5124</v>
      </c>
      <c r="CF2" s="15" t="s">
        <v>1225</v>
      </c>
      <c r="CG2" s="15" t="s">
        <v>1227</v>
      </c>
      <c r="CH2" s="15" t="s">
        <v>5126</v>
      </c>
      <c r="CI2" s="80" t="s">
        <v>5208</v>
      </c>
      <c r="CK2" s="14" t="s">
        <v>5198</v>
      </c>
      <c r="CL2" s="14" t="s">
        <v>5199</v>
      </c>
      <c r="CM2" s="15" t="s">
        <v>171</v>
      </c>
      <c r="CN2" s="15" t="s">
        <v>5124</v>
      </c>
      <c r="CO2" s="15" t="s">
        <v>1225</v>
      </c>
      <c r="CP2" s="15" t="s">
        <v>1227</v>
      </c>
      <c r="CQ2" s="15" t="s">
        <v>5126</v>
      </c>
      <c r="CR2" s="15" t="s">
        <v>5200</v>
      </c>
      <c r="CS2" s="80" t="s">
        <v>5208</v>
      </c>
      <c r="CU2" s="14" t="s">
        <v>0</v>
      </c>
      <c r="CV2" s="14" t="s">
        <v>1</v>
      </c>
      <c r="CW2" s="15" t="s">
        <v>171</v>
      </c>
      <c r="CX2" s="15" t="s">
        <v>5124</v>
      </c>
      <c r="CY2" s="15" t="s">
        <v>1225</v>
      </c>
      <c r="CZ2" s="15" t="s">
        <v>1227</v>
      </c>
      <c r="DA2" s="15" t="s">
        <v>5126</v>
      </c>
      <c r="DC2" s="14" t="s">
        <v>1</v>
      </c>
      <c r="DD2" s="15" t="s">
        <v>171</v>
      </c>
      <c r="DE2" s="15" t="s">
        <v>5124</v>
      </c>
      <c r="DF2" s="15" t="s">
        <v>1225</v>
      </c>
      <c r="DG2" s="15" t="s">
        <v>1227</v>
      </c>
      <c r="DH2" s="15" t="s">
        <v>5126</v>
      </c>
      <c r="DI2" s="80" t="s">
        <v>5208</v>
      </c>
      <c r="DK2" s="1" t="s">
        <v>169</v>
      </c>
      <c r="DL2" s="1" t="s">
        <v>19</v>
      </c>
      <c r="DM2" s="4" t="s">
        <v>1225</v>
      </c>
      <c r="DN2" s="4" t="s">
        <v>1227</v>
      </c>
      <c r="DO2" s="4" t="s">
        <v>5210</v>
      </c>
      <c r="DQ2" s="1" t="s">
        <v>20</v>
      </c>
      <c r="DR2" s="4" t="s">
        <v>5212</v>
      </c>
      <c r="DS2" s="4" t="s">
        <v>5213</v>
      </c>
      <c r="DT2" s="4" t="s">
        <v>5214</v>
      </c>
      <c r="DU2" s="4" t="s">
        <v>5215</v>
      </c>
      <c r="DV2" s="4" t="s">
        <v>5216</v>
      </c>
      <c r="DW2" s="4" t="s">
        <v>5217</v>
      </c>
      <c r="DX2" s="4"/>
      <c r="DY2" s="108" t="s">
        <v>169</v>
      </c>
      <c r="DZ2" s="108" t="s">
        <v>5140</v>
      </c>
      <c r="EA2" s="108" t="s">
        <v>171</v>
      </c>
      <c r="EB2" s="108" t="s">
        <v>5124</v>
      </c>
      <c r="EC2" s="108" t="s">
        <v>1225</v>
      </c>
      <c r="ED2" s="108" t="s">
        <v>1227</v>
      </c>
      <c r="EE2" s="108" t="s">
        <v>5126</v>
      </c>
      <c r="EG2" s="1" t="s">
        <v>20</v>
      </c>
      <c r="EH2" s="1" t="s">
        <v>5219</v>
      </c>
      <c r="EI2" s="1" t="s">
        <v>5214</v>
      </c>
      <c r="EJ2" s="1" t="s">
        <v>5220</v>
      </c>
      <c r="EK2" s="1" t="s">
        <v>5217</v>
      </c>
      <c r="EL2" s="1" t="s">
        <v>5221</v>
      </c>
    </row>
    <row r="3" spans="1:142" x14ac:dyDescent="0.25">
      <c r="A3" s="17" t="s">
        <v>5122</v>
      </c>
      <c r="B3" s="18">
        <f>SUMPRODUCT((RawData[Product_ID]&lt;&gt;"")/COUNTIF(RawData[Product_ID],RawData[Product_ID]&amp;""))</f>
        <v>21.000000000000263</v>
      </c>
      <c r="C3" s="18"/>
      <c r="D3" s="17" t="s">
        <v>22</v>
      </c>
      <c r="E3" s="18">
        <f>COUNTIF(RawData[Product_Category],"Electronics")</f>
        <v>1472</v>
      </c>
      <c r="F3" s="18">
        <f>SUMIF(RawData[Product_Category],"Electronics",RawData[Quantity])</f>
        <v>4460</v>
      </c>
      <c r="G3" s="19">
        <f>SUMIF(RawData[Product_Category],"Electronics",RawData[Revenue])</f>
        <v>73862419.900000021</v>
      </c>
      <c r="H3" s="20">
        <f>SUMIF(RawData[Product_Category],"Electronics",RawData[Total_Cost])</f>
        <v>64679145.269999832</v>
      </c>
      <c r="I3" s="20">
        <f>SUMIF(RawData[Product_Category],"Electronics",RawData[Profit])</f>
        <v>9183274.6300000064</v>
      </c>
      <c r="J3" s="18">
        <f>I3/G3</f>
        <v>0.12432945796296614</v>
      </c>
      <c r="L3" s="43" t="s">
        <v>5128</v>
      </c>
      <c r="M3" s="43">
        <f>MONTH(L3&amp;1)</f>
        <v>1</v>
      </c>
      <c r="N3" s="44">
        <f>SUMPRODUCT(--(MONTH(RawData[Order_Date])= M3))</f>
        <v>292</v>
      </c>
      <c r="O3" s="44">
        <f>SUMPRODUCT((MONTH(RawData[Order_Date])=M3)*RawData[Quantity])</f>
        <v>860</v>
      </c>
      <c r="P3" s="45">
        <f>SUMPRODUCT((MONTH(RawData[Order_Date])=M3)*RawData[Revenue])</f>
        <v>11736181.339999996</v>
      </c>
      <c r="Q3" s="45">
        <f>SUMPRODUCT((MONTH(RawData[Order_Date])=M3)*RawData[Profit])</f>
        <v>1796861.2399999993</v>
      </c>
      <c r="R3" s="44">
        <f t="shared" ref="R3:R14" si="0">IFERROR(Q3/P3,0)</f>
        <v>0.15310442024918472</v>
      </c>
      <c r="T3" s="17" t="s">
        <v>22</v>
      </c>
      <c r="U3" s="17" t="s">
        <v>1230</v>
      </c>
      <c r="V3" s="18">
        <f>COUNTIFS(RawData[Product_Category],"Electronics",RawData[Order_Date],"&lt;"&amp;DATE(2025,11,1))</f>
        <v>1229</v>
      </c>
      <c r="W3" s="18">
        <f>SUMIFS(RawData[Quantity],RawData[Product_Category],"Electronics",RawData[Order_Date],"&lt;"&amp;DATE(2025,11,1))</f>
        <v>3710</v>
      </c>
      <c r="X3" s="20">
        <f>SUMIFS(RawData[Revenue],RawData[Product_Category],"Electronics",RawData[Order_Date],"&lt;"&amp;DATE(2025,11,1))</f>
        <v>62713703.630000003</v>
      </c>
      <c r="Y3" s="20">
        <f>SUMIFS(RawData[Profit],RawData[Product_Category],"Electronics",RawData[Order_Date],"&lt;"&amp;DATE(2025,11,1))</f>
        <v>8574838.7400000077</v>
      </c>
      <c r="Z3" s="18">
        <f>Y3/X3</f>
        <v>0.13672990500752549</v>
      </c>
      <c r="AA3" s="18" t="str">
        <f>"₹"&amp;TEXT(Category_and_Seasonal_Analysis[[#This Row],[Revenue]]/10000000,"0.00")&amp;" Cr"</f>
        <v>₹6.27 Cr</v>
      </c>
      <c r="AB3" s="18" t="str">
        <f>"₹"&amp;TEXT(Category_and_Seasonal_Analysis[[#This Row],[Profit]]/100000,"0.00")&amp;" L"</f>
        <v>₹85.75 L</v>
      </c>
      <c r="AD3" s="17" t="s">
        <v>23</v>
      </c>
      <c r="AE3" s="17" t="s">
        <v>22</v>
      </c>
      <c r="AF3" s="18">
        <f>COUNTIF(RawData[Product_Name],AD3)</f>
        <v>150</v>
      </c>
      <c r="AG3" s="18">
        <f>SUMIF(RawData[Product_Name],AD3,RawData[Quantity])</f>
        <v>483</v>
      </c>
      <c r="AH3" s="20">
        <f>SUMIF(RawData[Product_Name],AD3,RawData[Revenue])</f>
        <v>24770999.610000007</v>
      </c>
      <c r="AI3" s="20">
        <f>SUMIF(RawData[Product_Name],AD3,RawData[Profit])</f>
        <v>2988095.67</v>
      </c>
      <c r="AJ3" s="18">
        <f>AI3/AH3</f>
        <v>0.12062878838340102</v>
      </c>
      <c r="AL3" s="16" t="s">
        <v>5107</v>
      </c>
      <c r="AM3" s="16" t="s">
        <v>361</v>
      </c>
      <c r="AN3" s="16">
        <f>COUNTIF(RawData[Customer_ID],AL3)</f>
        <v>2</v>
      </c>
      <c r="AO3" s="16">
        <f>SUMIF(RawData[Customer_ID],AL3,RawData[Quantity])</f>
        <v>9</v>
      </c>
      <c r="AP3" s="21">
        <f>SUMIF(RawData[Customer_ID],AL3,RawData[Revenue])</f>
        <v>37162.5</v>
      </c>
      <c r="AQ3" s="21">
        <f>SUMIF(RawData[Customer_ID],AL3,RawData[Profit])</f>
        <v>9787.5</v>
      </c>
      <c r="AR3" s="16">
        <f t="shared" ref="AR3:AR66" si="1">IF(AN3=0,0,AP3/AN3)</f>
        <v>18581.25</v>
      </c>
      <c r="AS3" s="16" t="str">
        <f t="shared" ref="AS3:AS66" si="2">IF(AN3=1,"One-time",IF(AN3&lt;=4,"Occasional",IF(AN3&lt;=8,"Loyal","Review")))</f>
        <v>Occasional</v>
      </c>
      <c r="AU3" s="17" t="s">
        <v>185</v>
      </c>
      <c r="AV3" s="18">
        <f>COUNTIF(Customer_Analysis[Customer Type],AU3)</f>
        <v>101</v>
      </c>
      <c r="AW3" s="18">
        <f>SUMIF(Customer_Analysis[Customer Type],AU3,Customer_Analysis[Orders])</f>
        <v>101</v>
      </c>
      <c r="AX3" s="18">
        <f>SUMIF(Customer_Analysis[Customer Type],AU3,Customer_Analysis[Units Sold])</f>
        <v>321</v>
      </c>
      <c r="AY3" s="20">
        <f>SUMIF(Customer_Analysis[Customer Type],AU3,Customer_Analysis[Revenue])</f>
        <v>3849440.790000001</v>
      </c>
      <c r="AZ3" s="20">
        <f>SUMIF(Customer_Analysis[Customer Type],AU3,Customer_Analysis[Profit])</f>
        <v>509725.47999999986</v>
      </c>
      <c r="BA3" s="18">
        <f>AZ3/AY3</f>
        <v>0.13241546183127542</v>
      </c>
      <c r="BB3" s="21">
        <f>AY3/AV3</f>
        <v>38113.275148514862</v>
      </c>
      <c r="BC3" s="21">
        <f>AZ3/AV3</f>
        <v>5046.7869306930679</v>
      </c>
      <c r="BD3" s="16">
        <f>AW3/AV3</f>
        <v>1</v>
      </c>
      <c r="BE3" s="81" t="str">
        <f>"₹"&amp;TEXT(Customer_Segment_Analysis[[#This Row],[Revenue]]/10000000,"0.00")&amp;" Cr"</f>
        <v>₹0.38 Cr</v>
      </c>
      <c r="BG3" s="17">
        <v>1</v>
      </c>
      <c r="BH3" s="17" t="s">
        <v>3701</v>
      </c>
      <c r="BI3" s="17" t="s">
        <v>372</v>
      </c>
      <c r="BJ3" s="17">
        <v>4</v>
      </c>
      <c r="BK3" s="22">
        <v>688035.24</v>
      </c>
      <c r="BL3" s="21">
        <v>83323.209999999977</v>
      </c>
      <c r="BN3" s="17">
        <v>1</v>
      </c>
      <c r="BO3" s="23" t="s">
        <v>4601</v>
      </c>
      <c r="BP3" s="24" t="s">
        <v>1147</v>
      </c>
      <c r="BQ3" s="24">
        <v>7</v>
      </c>
      <c r="BR3" s="25">
        <v>586628.80000000005</v>
      </c>
      <c r="BS3" s="25">
        <v>89714.140000000014</v>
      </c>
      <c r="BU3" s="17" t="s">
        <v>113</v>
      </c>
      <c r="BV3" s="18">
        <f>COUNTIF(RawData[Sales_Channel],BU3)</f>
        <v>1139</v>
      </c>
      <c r="BW3" s="18">
        <f>SUMIF(RawData[Sales_Channel],BU3,RawData[Quantity])</f>
        <v>3351</v>
      </c>
      <c r="BX3" s="20">
        <f>SUMIF(RawData[Sales_Channel],BU3,RawData[Revenue])</f>
        <v>46169839.39000006</v>
      </c>
      <c r="BY3" s="20">
        <f>SUMIF(RawData[Sales_Channel],BU3,RawData[Profit])</f>
        <v>6425730.1099999966</v>
      </c>
      <c r="BZ3" s="18">
        <f>BY3/BX3</f>
        <v>0.1391759251255214</v>
      </c>
      <c r="CA3" s="18" t="str">
        <f>"₹"&amp;TEXT(Sales_Channel_Analysis[[#This Row],[Revenue]]/10000000,"0.00")&amp;" Cr"</f>
        <v>₹4.62 Cr</v>
      </c>
      <c r="CC3" s="17" t="s">
        <v>107</v>
      </c>
      <c r="CD3" s="18">
        <f>COUNTIF(RawData[Payment_Mode],CC3)</f>
        <v>1160</v>
      </c>
      <c r="CE3" s="18">
        <f>SUMIF(RawData[Payment_Mode],CC3,RawData[Quantity])</f>
        <v>3548</v>
      </c>
      <c r="CF3" s="20">
        <f>SUMIF(RawData[Payment_Mode],CC3,RawData[Revenue])</f>
        <v>48443972.540000036</v>
      </c>
      <c r="CG3" s="20">
        <f>SUMIF(RawData[Payment_Mode],CC3,RawData[Profit])</f>
        <v>6615684.379999998</v>
      </c>
      <c r="CH3" s="18">
        <f>CG3/CF3</f>
        <v>0.13656362253399942</v>
      </c>
      <c r="CI3" s="18" t="str">
        <f>"₹"&amp;TEXT(Payment_Mode_Analysis[[#This Row],[Revenue]]/10000000,"0.00")&amp;" Cr"</f>
        <v>₹4.84 Cr</v>
      </c>
      <c r="CK3" s="26" t="s">
        <v>1194</v>
      </c>
      <c r="CL3" s="24" t="s">
        <v>1195</v>
      </c>
      <c r="CM3" s="16">
        <f>COUNTIF(RawData[Salesperson_ID],CK3)</f>
        <v>308</v>
      </c>
      <c r="CN3" s="16">
        <f>SUMIF(RawData[Salesperson_ID],CK3,RawData[Quantity])</f>
        <v>861</v>
      </c>
      <c r="CO3" s="21">
        <f>SUMIF(RawData[Salesperson_ID],CK3,RawData[Revenue])</f>
        <v>11723931.600000003</v>
      </c>
      <c r="CP3" s="21">
        <f>SUMIF(RawData[Salesperson_ID],CK3,RawData[Profit])</f>
        <v>1603525.7000000011</v>
      </c>
      <c r="CQ3" s="16">
        <f>CP3/CO3</f>
        <v>0.13677371676238717</v>
      </c>
      <c r="CR3" s="16">
        <f>IF(CM3=0,0,CO3/CM3)</f>
        <v>38064.712987013001</v>
      </c>
      <c r="CS3" s="16" t="str">
        <f>"₹"&amp;TEXT(Table29[[#This Row],[Revenue]]/10000000,"0.00")&amp;" Cr"</f>
        <v>₹1.17 Cr</v>
      </c>
      <c r="CU3" s="26" t="s">
        <v>2</v>
      </c>
      <c r="CV3" s="27" t="s">
        <v>3</v>
      </c>
      <c r="CW3" s="18">
        <f>COUNTIF(RawData[City],CU3)</f>
        <v>238</v>
      </c>
      <c r="CX3" s="18">
        <f>SUMIF(RawData[City],CU3,RawData[Quantity])</f>
        <v>694</v>
      </c>
      <c r="CY3" s="20">
        <f>SUMIF(RawData[City],CU3,RawData[Revenue])</f>
        <v>9835613.9699999988</v>
      </c>
      <c r="CZ3" s="20">
        <f>SUMIF(RawData[City],CU3,RawData[Profit])</f>
        <v>1335613.98</v>
      </c>
      <c r="DA3" s="18">
        <f>CZ3/CY3</f>
        <v>0.13579365600091767</v>
      </c>
      <c r="DC3" s="17" t="s">
        <v>8</v>
      </c>
      <c r="DD3" s="18">
        <f>SUMIF(City_Analysis[Region],DC3,City_Analysis[Orders])</f>
        <v>749</v>
      </c>
      <c r="DE3" s="18">
        <f>SUMIF(City_Analysis[Region],DC3,City_Analysis[Units Sold])</f>
        <v>2271</v>
      </c>
      <c r="DF3" s="20">
        <f>SUMIF(City_Analysis[Region],DC3,City_Analysis[Revenue])</f>
        <v>31221256.979999982</v>
      </c>
      <c r="DG3" s="20">
        <f>SUMIF(City_Analysis[Region],DC3,City_Analysis[Profit])</f>
        <v>4345090.9899999993</v>
      </c>
      <c r="DH3" s="18">
        <f>IF(DF3=0,0,DG3/DF3)</f>
        <v>0.13917091783919591</v>
      </c>
      <c r="DI3" s="18" t="str">
        <f>"₹"&amp;TEXT(Region_Analysis[[#This Row],[Revenue]]/10000000,"0.00")&amp;" Cr"</f>
        <v>₹3.12 Cr</v>
      </c>
      <c r="DK3" s="2" t="s">
        <v>5137</v>
      </c>
      <c r="DL3" s="2" t="s">
        <v>22</v>
      </c>
      <c r="DM3" s="13">
        <f>SUMIFS(RawData[Revenue],RawData[Product_Category],DL3, RawData[Order_Date],"&gt;="&amp;DATE(2025,11,1),RawData[Order_Date],"&lt;"&amp;DATE(2025,12,1))</f>
        <v>5182808.6600000011</v>
      </c>
      <c r="DN3" s="13">
        <f>SUMIFS(RawData[Profit],RawData[Product_Category],Profit_Drop_Analysis[[#This Row],[Category]], RawData[Order_Date],"&gt;="&amp;DATE(2025,11,1),RawData[Order_Date],"&lt;"&amp;DATE(2025,12,1))</f>
        <v>327958.16000000003</v>
      </c>
      <c r="DO3" s="82">
        <f>DN3/DM3</f>
        <v>6.3278075945794224E-2</v>
      </c>
      <c r="DQ3" t="s">
        <v>23</v>
      </c>
      <c r="DR3" s="21">
        <f>SUMIFS(RawData[Revenue],RawData[Product_Name],DQ3, RawData[Order_Date],"&gt;="&amp;DATE(2025,11,1),RawData[Order_Date],"&lt;"&amp;DATE(2025,12,1))</f>
        <v>946532.79</v>
      </c>
      <c r="DS3" s="21">
        <f>SUMIFS(RawData[Profit],RawData[Product_Name],DQ3, RawData[Order_Date],"&gt;="&amp;DATE(2025,11,1),RawData[Order_Date],"&lt;"&amp;DATE(2025,12,1))</f>
        <v>44549.189999999988</v>
      </c>
      <c r="DT3" s="84">
        <f>DS3/DR3</f>
        <v>4.7065659500290513E-2</v>
      </c>
      <c r="DU3" s="21">
        <f>SUMIFS(RawData[Revenue],RawData[Product_Name],DQ3, RawData[Order_Date],"&gt;="&amp;DATE(2025,12,1),RawData[Order_Date],"&lt;"&amp;DATE(2026,1,1))</f>
        <v>1256177.1600000001</v>
      </c>
      <c r="DV3" s="21">
        <f>SUMIFS(RawData[Profit],RawData[Product_Name],DQ3, RawData[Order_Date],"&gt;="&amp;DATE(2025,12,1),RawData[Order_Date],"&lt;"&amp;DATE(2026,1,1))</f>
        <v>38499.299999999916</v>
      </c>
      <c r="DW3" s="84">
        <f>DV3/DU3</f>
        <v>3.064798598949205E-2</v>
      </c>
      <c r="DX3" s="84"/>
      <c r="DY3" s="43" t="s">
        <v>5128</v>
      </c>
      <c r="DZ3" s="43">
        <f>MONTH(DY3&amp;1)</f>
        <v>1</v>
      </c>
      <c r="EA3" s="44">
        <f>SUMPRODUCT(--(MONTH(RawData[Order_Date])= DZ3))</f>
        <v>292</v>
      </c>
      <c r="EB3" s="44">
        <f>SUMPRODUCT((MONTH(RawData[Order_Date])=DZ3)*RawData[Quantity])</f>
        <v>860</v>
      </c>
      <c r="EC3" s="45">
        <f>SUMPRODUCT((MONTH(RawData[Order_Date])=DZ3)*RawData[Revenue])</f>
        <v>11736181.339999996</v>
      </c>
      <c r="ED3" s="45">
        <f>SUMPRODUCT((MONTH(RawData[Order_Date])=DZ3)*RawData[Profit])</f>
        <v>1796861.2399999993</v>
      </c>
      <c r="EE3" s="44">
        <f t="shared" ref="EE3:EE14" si="3">IFERROR(ED3/EC3,0)</f>
        <v>0.15310442024918472</v>
      </c>
      <c r="EG3" s="2" t="s">
        <v>23</v>
      </c>
      <c r="EH3" s="84">
        <f>VLOOKUP(EG3,Product_Analysis[[Product]:[Profit Margin]],7,FALSE)</f>
        <v>0.12062878838340102</v>
      </c>
      <c r="EI3" s="85">
        <v>4.7100000000000003E-2</v>
      </c>
      <c r="EJ3" s="3">
        <f>AVERAGEIFS(RawData[Discount%],RawData[Product_Name],EG3,RawData[Order_Date],"&gt;="&amp;DATE(2025,11,1),RawData[Order_Date],"&lt;"&amp;DATE(2025,12,1))</f>
        <v>14.333333333333334</v>
      </c>
      <c r="EK3" s="84">
        <v>3.064798598949205E-2</v>
      </c>
      <c r="EL3" s="3">
        <f>AVERAGEIFS(RawData[Discount%],RawData[Product_Name],EG3,RawData[Order_Date],"&gt;="&amp;DATE(2025,12,1),RawData[Order_Date],"&lt;"&amp;DATE(2026,1,1))</f>
        <v>15</v>
      </c>
    </row>
    <row r="4" spans="1:142" ht="30" x14ac:dyDescent="0.25">
      <c r="A4" s="17" t="s">
        <v>5112</v>
      </c>
      <c r="B4" s="18">
        <f>SUMPRODUCT((RawData[Customer_ID]&lt;&gt;"")/COUNTIF(RawData[Customer_ID],RawData[Customer_ID]&amp;""))</f>
        <v>864.0000000000108</v>
      </c>
      <c r="C4" s="18"/>
      <c r="D4" s="17" t="s">
        <v>43</v>
      </c>
      <c r="E4" s="18">
        <f>COUNTIF(RawData[Product_Category],"Furniture")</f>
        <v>816</v>
      </c>
      <c r="F4" s="18">
        <f>SUMIF(RawData[Product_Category],"Furniture",RawData[Quantity])</f>
        <v>2423</v>
      </c>
      <c r="G4" s="19">
        <f>SUMIF(RawData[Product_Category],"Furniture",RawData[Revenue])</f>
        <v>49718568.660000056</v>
      </c>
      <c r="H4" s="20">
        <f>SUMIF(RawData[Product_Category],"Furniture",RawData[Total_Cost])</f>
        <v>41920657.620000027</v>
      </c>
      <c r="I4" s="20">
        <f>SUMIF(RawData[Product_Category],"Furniture",RawData[Profit])</f>
        <v>7797911.0399999954</v>
      </c>
      <c r="J4" s="18">
        <f t="shared" ref="J4:J5" si="4">I4/G4</f>
        <v>0.15684102037059702</v>
      </c>
      <c r="L4" s="49" t="s">
        <v>5129</v>
      </c>
      <c r="M4" s="46">
        <f t="shared" ref="M4:M14" si="5">MONTH(L4&amp;1)</f>
        <v>2</v>
      </c>
      <c r="N4" s="47">
        <f>SUMPRODUCT(--(MONTH(RawData[Order_Date])= M4))</f>
        <v>222</v>
      </c>
      <c r="O4" s="47">
        <f>SUMPRODUCT((MONTH(RawData[Order_Date])=M4)*RawData[Quantity])</f>
        <v>658</v>
      </c>
      <c r="P4" s="48">
        <f>SUMPRODUCT((MONTH(RawData[Order_Date])=M4)*RawData[Revenue])</f>
        <v>9441583.4200000037</v>
      </c>
      <c r="Q4" s="48">
        <f>SUMPRODUCT((MONTH(RawData[Order_Date])=M4)*RawData[Profit])</f>
        <v>1413047.0899999996</v>
      </c>
      <c r="R4" s="47">
        <f t="shared" si="0"/>
        <v>0.14966208814156715</v>
      </c>
      <c r="T4" s="17" t="s">
        <v>22</v>
      </c>
      <c r="U4" s="17" t="s">
        <v>1231</v>
      </c>
      <c r="V4" s="18">
        <f>COUNTIFS(RawData[Product_Category],"Electronics",RawData[Order_Date],"&gt;="&amp;DATE(2025,11,1))</f>
        <v>243</v>
      </c>
      <c r="W4" s="18">
        <f>SUMIFS(RawData[Quantity],RawData[Product_Category],"Electronics",RawData[Order_Date],"&gt;="&amp;DATE(2025,11,1))</f>
        <v>750</v>
      </c>
      <c r="X4" s="20">
        <f>SUMIFS(RawData[Revenue],RawData[Product_Category],"Electronics",RawData[Order_Date],"&gt;="&amp;DATE(2025,11,1))</f>
        <v>11148716.270000003</v>
      </c>
      <c r="Y4" s="20">
        <f>SUMIFS(RawData[Profit],RawData[Product_Category],"Electronics",RawData[Order_Date],"&gt;="&amp;DATE(2025,11,1))</f>
        <v>608435.88999999966</v>
      </c>
      <c r="Z4" s="18">
        <f t="shared" ref="Z4:Z8" si="6">Y4/X4</f>
        <v>5.4574524569903644E-2</v>
      </c>
      <c r="AA4" s="18" t="str">
        <f>"₹"&amp;TEXT(Category_and_Seasonal_Analysis[[#This Row],[Revenue]]/10000000,"0.00")&amp;" Cr"</f>
        <v>₹1.11 Cr</v>
      </c>
      <c r="AB4" s="18" t="str">
        <f>"₹"&amp;TEXT(Category_and_Seasonal_Analysis[[#This Row],[Profit]]/100000,"0.00")&amp;" L"</f>
        <v>₹6.08 L</v>
      </c>
      <c r="AD4" s="17" t="s">
        <v>25</v>
      </c>
      <c r="AE4" s="17" t="s">
        <v>22</v>
      </c>
      <c r="AF4" s="18">
        <f>COUNTIF(RawData[Product_Name],AD4)</f>
        <v>165</v>
      </c>
      <c r="AG4" s="18">
        <f>SUMIF(RawData[Product_Name],AD4,RawData[Quantity])</f>
        <v>492</v>
      </c>
      <c r="AH4" s="20">
        <f>SUMIF(RawData[Product_Name],AD4,RawData[Revenue])</f>
        <v>16236016</v>
      </c>
      <c r="AI4" s="20">
        <f>SUMIF(RawData[Product_Name],AD4,RawData[Profit])</f>
        <v>2145136</v>
      </c>
      <c r="AJ4" s="18">
        <f t="shared" ref="AJ4:AJ23" si="7">AI4/AH4</f>
        <v>0.13212206738401835</v>
      </c>
      <c r="AL4" s="16" t="s">
        <v>2108</v>
      </c>
      <c r="AM4" s="16" t="s">
        <v>362</v>
      </c>
      <c r="AN4" s="16">
        <f>COUNTIF(RawData[Customer_ID],AL4)</f>
        <v>2</v>
      </c>
      <c r="AO4" s="16">
        <f>SUMIF(RawData[Customer_ID],AL4,RawData[Quantity])</f>
        <v>5</v>
      </c>
      <c r="AP4" s="21">
        <f>SUMIF(RawData[Customer_ID],AL4,RawData[Revenue])</f>
        <v>4929</v>
      </c>
      <c r="AQ4" s="21">
        <f>SUMIF(RawData[Customer_ID],AL4,RawData[Profit])</f>
        <v>1545</v>
      </c>
      <c r="AR4" s="16">
        <f t="shared" si="1"/>
        <v>2464.5</v>
      </c>
      <c r="AS4" s="16" t="str">
        <f t="shared" si="2"/>
        <v>Occasional</v>
      </c>
      <c r="AU4" s="17" t="s">
        <v>186</v>
      </c>
      <c r="AV4" s="18">
        <f>COUNTIF(Customer_Analysis[Customer Type],AU4)</f>
        <v>568</v>
      </c>
      <c r="AW4" s="18">
        <f>SUMIF(Customer_Analysis[Customer Type],AU4,Customer_Analysis[Orders])</f>
        <v>1551</v>
      </c>
      <c r="AX4" s="18">
        <f>SUMIF(Customer_Analysis[Customer Type],AU4,Customer_Analysis[Units Sold])</f>
        <v>4622</v>
      </c>
      <c r="AY4" s="20">
        <f>SUMIF(Customer_Analysis[Customer Type],AU4,Customer_Analysis[Revenue])</f>
        <v>64466271.220000058</v>
      </c>
      <c r="AZ4" s="20">
        <f>SUMIF(Customer_Analysis[Customer Type],AU4,Customer_Analysis[Profit])</f>
        <v>8910939.7799999993</v>
      </c>
      <c r="BA4" s="18">
        <f t="shared" ref="BA4:BA5" si="8">AZ4/AY4</f>
        <v>0.13822638740171875</v>
      </c>
      <c r="BB4" s="21">
        <f t="shared" ref="BB4:BB6" si="9">AY4/AV4</f>
        <v>113496.95637323953</v>
      </c>
      <c r="BC4" s="21">
        <f t="shared" ref="BC4:BC6" si="10">AZ4/AV4</f>
        <v>15688.274260563379</v>
      </c>
      <c r="BD4" s="16">
        <f t="shared" ref="BD4:BD6" si="11">AW4/AV4</f>
        <v>2.7306338028169015</v>
      </c>
      <c r="BE4" s="16" t="str">
        <f>"₹"&amp;TEXT(Customer_Segment_Analysis[[#This Row],[Revenue]]/10000000,"0.00")&amp;" Cr"</f>
        <v>₹6.45 Cr</v>
      </c>
      <c r="BG4" s="17">
        <v>2</v>
      </c>
      <c r="BH4" s="17" t="s">
        <v>2145</v>
      </c>
      <c r="BI4" s="17" t="s">
        <v>761</v>
      </c>
      <c r="BJ4" s="17">
        <v>8</v>
      </c>
      <c r="BK4" s="22">
        <v>638645.89</v>
      </c>
      <c r="BL4" s="21">
        <v>65781.599999999977</v>
      </c>
      <c r="BN4" s="17">
        <v>2</v>
      </c>
      <c r="BO4" s="28" t="s">
        <v>1513</v>
      </c>
      <c r="BP4" s="29" t="s">
        <v>647</v>
      </c>
      <c r="BQ4" s="29">
        <v>7</v>
      </c>
      <c r="BR4" s="30">
        <v>513962.99000000005</v>
      </c>
      <c r="BS4" s="30">
        <v>88176.919999999984</v>
      </c>
      <c r="BU4" s="17" t="s">
        <v>1249</v>
      </c>
      <c r="BV4" s="18">
        <f>COUNTIF(RawData[Sales_Channel],BU4)</f>
        <v>201</v>
      </c>
      <c r="BW4" s="18">
        <f>SUMIF(RawData[Sales_Channel],BU4,RawData[Quantity])</f>
        <v>595</v>
      </c>
      <c r="BX4" s="20">
        <f>SUMIF(RawData[Sales_Channel],BU4,RawData[Revenue])</f>
        <v>7696048.1300000008</v>
      </c>
      <c r="BY4" s="20">
        <f>SUMIF(RawData[Sales_Channel],BU4,RawData[Profit])</f>
        <v>1110137.6099999996</v>
      </c>
      <c r="BZ4" s="18">
        <f t="shared" ref="BZ4:BZ5" si="12">BY4/BX4</f>
        <v>0.1442477478373046</v>
      </c>
      <c r="CA4" s="18" t="str">
        <f>"₹"&amp;TEXT(Sales_Channel_Analysis[[#This Row],[Revenue]]/10000000,"0.00")&amp;" Cr"</f>
        <v>₹0.77 Cr</v>
      </c>
      <c r="CC4" s="17" t="s">
        <v>108</v>
      </c>
      <c r="CD4" s="18">
        <f>COUNTIF(RawData[Payment_Mode],CC4)</f>
        <v>743</v>
      </c>
      <c r="CE4" s="18">
        <f>SUMIF(RawData[Payment_Mode],CC4,RawData[Quantity])</f>
        <v>2207</v>
      </c>
      <c r="CF4" s="20">
        <f>SUMIF(RawData[Payment_Mode],CC4,RawData[Revenue])</f>
        <v>30885641.479999963</v>
      </c>
      <c r="CG4" s="20">
        <f>SUMIF(RawData[Payment_Mode],CC4,RawData[Profit])</f>
        <v>4374285.04</v>
      </c>
      <c r="CH4" s="18">
        <f t="shared" ref="CH4:CH7" si="13">CG4/CF4</f>
        <v>0.14162843413281781</v>
      </c>
      <c r="CI4" s="18" t="str">
        <f>"₹"&amp;TEXT(Payment_Mode_Analysis[[#This Row],[Revenue]]/10000000,"0.00")&amp;" Cr"</f>
        <v>₹3.09 Cr</v>
      </c>
      <c r="CK4" s="31" t="s">
        <v>1196</v>
      </c>
      <c r="CL4" s="29" t="s">
        <v>1197</v>
      </c>
      <c r="CM4" s="16">
        <f>COUNTIF(RawData[Salesperson_ID],CK4)</f>
        <v>287</v>
      </c>
      <c r="CN4" s="16">
        <f>SUMIF(RawData[Salesperson_ID],CK4,RawData[Quantity])</f>
        <v>854</v>
      </c>
      <c r="CO4" s="21">
        <f>SUMIF(RawData[Salesperson_ID],CK4,RawData[Revenue])</f>
        <v>11599042.680000005</v>
      </c>
      <c r="CP4" s="21">
        <f>SUMIF(RawData[Salesperson_ID],CK4,RawData[Profit])</f>
        <v>1558798.01</v>
      </c>
      <c r="CQ4" s="16">
        <f t="shared" ref="CQ4:CQ12" si="14">CP4/CO4</f>
        <v>0.13439022969436987</v>
      </c>
      <c r="CR4" s="16">
        <f t="shared" ref="CR4:CR12" si="15">IF(CM4=0,0,CO4/CM4)</f>
        <v>40414.782857142876</v>
      </c>
      <c r="CS4" s="16" t="str">
        <f>"₹"&amp;TEXT(Table29[[#This Row],[Revenue]]/10000000,"0.00")&amp;" Cr"</f>
        <v>₹1.16 Cr</v>
      </c>
      <c r="CU4" s="31" t="s">
        <v>4</v>
      </c>
      <c r="CV4" s="32" t="s">
        <v>3</v>
      </c>
      <c r="CW4" s="18">
        <f>COUNTIF(RawData[City],CU4)</f>
        <v>219</v>
      </c>
      <c r="CX4" s="18">
        <f>SUMIF(RawData[City],CU4,RawData[Quantity])</f>
        <v>653</v>
      </c>
      <c r="CY4" s="20">
        <f>SUMIF(RawData[City],CU4,RawData[Revenue])</f>
        <v>7436394.4700000016</v>
      </c>
      <c r="CZ4" s="20">
        <f>SUMIF(RawData[City],CU4,RawData[Profit])</f>
        <v>1043534.6699999999</v>
      </c>
      <c r="DA4" s="18">
        <f t="shared" ref="DA4:DA14" si="16">CZ4/CY4</f>
        <v>0.14032804125841372</v>
      </c>
      <c r="DC4" s="17" t="s">
        <v>15</v>
      </c>
      <c r="DD4" s="18">
        <f>SUMIF(City_Analysis[Region],DC4,City_Analysis[Orders])</f>
        <v>783</v>
      </c>
      <c r="DE4" s="18">
        <f>SUMIF(City_Analysis[Region],DC4,City_Analysis[Units Sold])</f>
        <v>2385</v>
      </c>
      <c r="DF4" s="20">
        <f>SUMIF(City_Analysis[Region],DC4,City_Analysis[Revenue])</f>
        <v>31841024.739999998</v>
      </c>
      <c r="DG4" s="20">
        <f>SUMIF(City_Analysis[Region],DC4,City_Analysis[Profit])</f>
        <v>4381866.9399999995</v>
      </c>
      <c r="DH4" s="18">
        <f t="shared" ref="DH4:DH6" si="17">IF(DF4=0,0,DG4/DF4)</f>
        <v>0.13761702004820589</v>
      </c>
      <c r="DI4" s="18" t="str">
        <f>"₹"&amp;TEXT(Region_Analysis[[#This Row],[Revenue]]/10000000,"0.00")&amp;" Cr"</f>
        <v>₹3.18 Cr</v>
      </c>
      <c r="DK4" s="2" t="s">
        <v>5137</v>
      </c>
      <c r="DL4" s="2" t="s">
        <v>43</v>
      </c>
      <c r="DM4" s="13">
        <f>SUMIFS(RawData[Revenue],RawData[Product_Category],DL4, RawData[Order_Date],"&gt;="&amp;DATE(2025,11,1),RawData[Order_Date],"&lt;"&amp;DATE(2025,12,1))</f>
        <v>3684981.1200000006</v>
      </c>
      <c r="DN4" s="13">
        <f>SUMIFS(RawData[Profit],RawData[Product_Category],Profit_Drop_Analysis[[#This Row],[Category]], RawData[Order_Date],"&gt;="&amp;DATE(2025,11,1),RawData[Order_Date],"&lt;"&amp;DATE(2025,12,1))</f>
        <v>284057.80999999994</v>
      </c>
      <c r="DO4" s="82">
        <f t="shared" ref="DO4:DO8" si="18">DN4/DM4</f>
        <v>7.7085282325679835E-2</v>
      </c>
      <c r="DQ4" t="s">
        <v>25</v>
      </c>
      <c r="DR4" s="21">
        <f>SUMIFS(RawData[Revenue],RawData[Product_Name],DQ4, RawData[Order_Date],"&gt;="&amp;DATE(2025,11,1),RawData[Order_Date],"&lt;"&amp;DATE(2025,12,1))</f>
        <v>2016614</v>
      </c>
      <c r="DS4" s="21">
        <f>SUMIFS(RawData[Profit],RawData[Product_Name],DQ4, RawData[Order_Date],"&gt;="&amp;DATE(2025,11,1),RawData[Order_Date],"&lt;"&amp;DATE(2025,12,1))</f>
        <v>155014</v>
      </c>
      <c r="DT4" s="84">
        <f t="shared" ref="DT4:DT18" si="19">DS4/DR4</f>
        <v>7.6868453754660032E-2</v>
      </c>
      <c r="DU4" s="21">
        <f>SUMIFS(RawData[Revenue],RawData[Product_Name],DQ4, RawData[Order_Date],"&gt;="&amp;DATE(2025,12,1),RawData[Order_Date],"&lt;"&amp;DATE(2026,1,1))</f>
        <v>1479972</v>
      </c>
      <c r="DV4" s="21">
        <f>SUMIFS(RawData[Profit],RawData[Product_Name],DQ4, RawData[Order_Date],"&gt;="&amp;DATE(2025,12,1),RawData[Order_Date],"&lt;"&amp;DATE(2026,1,1))</f>
        <v>105252</v>
      </c>
      <c r="DW4" s="84">
        <f>DV4/DU4</f>
        <v>7.1117561683599423E-2</v>
      </c>
      <c r="DX4" s="84"/>
      <c r="DY4" s="49" t="s">
        <v>5129</v>
      </c>
      <c r="DZ4" s="46">
        <f t="shared" ref="DZ4:DZ14" si="20">MONTH(DY4&amp;1)</f>
        <v>2</v>
      </c>
      <c r="EA4" s="47">
        <f>SUMPRODUCT(--(MONTH(RawData[Order_Date])= DZ4))</f>
        <v>222</v>
      </c>
      <c r="EB4" s="47">
        <f>SUMPRODUCT((MONTH(RawData[Order_Date])=DZ4)*RawData[Quantity])</f>
        <v>658</v>
      </c>
      <c r="EC4" s="48">
        <f>SUMPRODUCT((MONTH(RawData[Order_Date])=DZ4)*RawData[Revenue])</f>
        <v>9441583.4200000037</v>
      </c>
      <c r="ED4" s="48">
        <f>SUMPRODUCT((MONTH(RawData[Order_Date])=DZ4)*RawData[Profit])</f>
        <v>1413047.0899999996</v>
      </c>
      <c r="EE4" s="47">
        <f t="shared" si="3"/>
        <v>0.14966208814156715</v>
      </c>
      <c r="EG4" s="2" t="s">
        <v>25</v>
      </c>
      <c r="EH4" s="84">
        <f>VLOOKUP(EG4,Product_Analysis[[Product]:[Profit Margin]],7,FALSE)</f>
        <v>0.13212206738401835</v>
      </c>
      <c r="EI4" s="84">
        <v>7.6868453754660032E-2</v>
      </c>
      <c r="EJ4" s="3">
        <f>AVERAGEIFS(RawData[Discount%],RawData[Product_Name],EG4,RawData[Order_Date],"&gt;="&amp;DATE(2025,11,1),RawData[Order_Date],"&lt;"&amp;DATE(2025,12,1))</f>
        <v>13.7</v>
      </c>
      <c r="EK4" s="84">
        <v>7.1117561683599423E-2</v>
      </c>
      <c r="EL4" s="3">
        <f>AVERAGEIFS(RawData[Discount%],RawData[Product_Name],EG4,RawData[Order_Date],"&gt;="&amp;DATE(2025,12,1),RawData[Order_Date],"&lt;"&amp;DATE(2026,1,1))</f>
        <v>14.142857142857142</v>
      </c>
    </row>
    <row r="5" spans="1:142" ht="13.5" customHeight="1" x14ac:dyDescent="0.25">
      <c r="A5" s="17" t="s">
        <v>5113</v>
      </c>
      <c r="B5" s="18">
        <f>SUMPRODUCT((RawData[Salesperson_ID]&lt;&gt;"")/COUNTIF(RawData[Salesperson_ID],RawData[Salesperson_ID]&amp;""))</f>
        <v>10.000000000000066</v>
      </c>
      <c r="C5" s="18"/>
      <c r="D5" s="17" t="s">
        <v>64</v>
      </c>
      <c r="E5" s="18">
        <f>COUNTIF(RawData[Product_Category],"Office Supplies")</f>
        <v>712</v>
      </c>
      <c r="F5" s="18">
        <f>SUMIF(RawData[Product_Category],"Office Supplies",RawData[Quantity])</f>
        <v>2146</v>
      </c>
      <c r="G5" s="19">
        <f>SUMIF(RawData[Product_Category],"Office Supplies",RawData[Revenue])</f>
        <v>498079.20000000007</v>
      </c>
      <c r="H5" s="20">
        <f>SUMIF(RawData[Product_Category],"Office Supplies",RawData[Total_Cost])</f>
        <v>360491.70000000007</v>
      </c>
      <c r="I5" s="20">
        <f>SUMIF(RawData[Product_Category],"Office Supplies",RawData[Profit])</f>
        <v>137587.50000000003</v>
      </c>
      <c r="J5" s="18">
        <f t="shared" si="4"/>
        <v>0.27623618894344515</v>
      </c>
      <c r="L5" s="70" t="s">
        <v>5130</v>
      </c>
      <c r="M5" s="43">
        <f t="shared" si="5"/>
        <v>3</v>
      </c>
      <c r="N5" s="44">
        <f>SUMPRODUCT(--(MONTH(RawData[Order_Date])= M5))</f>
        <v>263</v>
      </c>
      <c r="O5" s="44">
        <f>SUMPRODUCT((MONTH(RawData[Order_Date])=M5)*RawData[Quantity])</f>
        <v>806</v>
      </c>
      <c r="P5" s="45">
        <f>SUMPRODUCT((MONTH(RawData[Order_Date])=M5)*RawData[Revenue])</f>
        <v>11872560.719999993</v>
      </c>
      <c r="Q5" s="45">
        <f>SUMPRODUCT((MONTH(RawData[Order_Date])=M5)*RawData[Profit])</f>
        <v>1756436.41</v>
      </c>
      <c r="R5" s="44">
        <f t="shared" si="0"/>
        <v>0.14794082350248033</v>
      </c>
      <c r="T5" s="17" t="s">
        <v>43</v>
      </c>
      <c r="U5" s="17" t="s">
        <v>1230</v>
      </c>
      <c r="V5" s="18">
        <f>COUNTIFS(RawData[Product_Category],"Furniture",RawData[Order_Date],"&lt;"&amp;DATE(2025,11,1))</f>
        <v>688</v>
      </c>
      <c r="W5" s="18">
        <f>SUMIFS(RawData[Quantity],RawData[Product_Category],"Furniture",RawData[Order_Date],"&lt;"&amp;DATE(2025,11,1))</f>
        <v>2037</v>
      </c>
      <c r="X5" s="20">
        <f>SUMIFS(RawData[Revenue],RawData[Product_Category],"Furniture",RawData[Order_Date],"&lt;"&amp;DATE(2025,11,1))</f>
        <v>42783268.579999968</v>
      </c>
      <c r="Y5" s="20">
        <f>SUMIFS(RawData[Profit],RawData[Product_Category],"Furniture",RawData[Order_Date],"&lt;"&amp;DATE(2025,11,1))</f>
        <v>7242049.799999997</v>
      </c>
      <c r="Z5" s="18">
        <f t="shared" si="6"/>
        <v>0.1692729433810829</v>
      </c>
      <c r="AA5" s="18" t="str">
        <f>"₹"&amp;TEXT(Category_and_Seasonal_Analysis[[#This Row],[Revenue]]/10000000,"0.00")&amp;" Cr"</f>
        <v>₹4.28 Cr</v>
      </c>
      <c r="AB5" s="18" t="str">
        <f>"₹"&amp;TEXT(Category_and_Seasonal_Analysis[[#This Row],[Profit]]/100000,"0.00")&amp;" L"</f>
        <v>₹72.42 L</v>
      </c>
      <c r="AD5" s="17" t="s">
        <v>27</v>
      </c>
      <c r="AE5" s="17" t="s">
        <v>22</v>
      </c>
      <c r="AF5" s="18">
        <f>COUNTIF(RawData[Product_Name],AD5)</f>
        <v>147</v>
      </c>
      <c r="AG5" s="18">
        <f>SUMIF(RawData[Product_Name],AD5,RawData[Quantity])</f>
        <v>439</v>
      </c>
      <c r="AH5" s="20">
        <f>SUMIF(RawData[Product_Name],AD5,RawData[Revenue])</f>
        <v>11092821.609999996</v>
      </c>
      <c r="AI5" s="20">
        <f>SUMIF(RawData[Product_Name],AD5,RawData[Profit])</f>
        <v>831569.76000000094</v>
      </c>
      <c r="AJ5" s="18">
        <f t="shared" si="7"/>
        <v>7.4964674384590715E-2</v>
      </c>
      <c r="AL5" s="16" t="s">
        <v>2031</v>
      </c>
      <c r="AM5" s="16" t="s">
        <v>363</v>
      </c>
      <c r="AN5" s="16">
        <f>COUNTIF(RawData[Customer_ID],AL5)</f>
        <v>5</v>
      </c>
      <c r="AO5" s="16">
        <f>SUMIF(RawData[Customer_ID],AL5,RawData[Quantity])</f>
        <v>19</v>
      </c>
      <c r="AP5" s="21">
        <f>SUMIF(RawData[Customer_ID],AL5,RawData[Revenue])</f>
        <v>403024.2</v>
      </c>
      <c r="AQ5" s="21">
        <f>SUMIF(RawData[Customer_ID],AL5,RawData[Profit])</f>
        <v>49883.300000000017</v>
      </c>
      <c r="AR5" s="16">
        <f t="shared" si="1"/>
        <v>80604.84</v>
      </c>
      <c r="AS5" s="16" t="str">
        <f t="shared" si="2"/>
        <v>Loyal</v>
      </c>
      <c r="AU5" s="17" t="s">
        <v>187</v>
      </c>
      <c r="AV5" s="18">
        <f>COUNTIF(Customer_Analysis[Customer Type],AU5)</f>
        <v>221</v>
      </c>
      <c r="AW5" s="18">
        <f>SUMIF(Customer_Analysis[Customer Type],AU5,Customer_Analysis[Orders])</f>
        <v>1255</v>
      </c>
      <c r="AX5" s="18">
        <f>SUMIF(Customer_Analysis[Customer Type],AU5,Customer_Analysis[Units Sold])</f>
        <v>3802</v>
      </c>
      <c r="AY5" s="20">
        <f>SUMIF(Customer_Analysis[Customer Type],AU5,Customer_Analysis[Revenue])</f>
        <v>52523827.599999979</v>
      </c>
      <c r="AZ5" s="20">
        <f>SUMIF(Customer_Analysis[Customer Type],AU5,Customer_Analysis[Profit])</f>
        <v>7267728.4500000002</v>
      </c>
      <c r="BA5" s="18">
        <f t="shared" si="8"/>
        <v>0.13837012232520546</v>
      </c>
      <c r="BB5" s="21">
        <f t="shared" si="9"/>
        <v>237664.37828054288</v>
      </c>
      <c r="BC5" s="21">
        <f t="shared" si="10"/>
        <v>32885.649095022629</v>
      </c>
      <c r="BD5" s="16">
        <f t="shared" si="11"/>
        <v>5.6787330316742084</v>
      </c>
      <c r="BE5" s="16" t="str">
        <f>"₹"&amp;TEXT(Customer_Segment_Analysis[[#This Row],[Revenue]]/10000000,"0.00")&amp;" Cr"</f>
        <v>₹5.25 Cr</v>
      </c>
      <c r="BG5" s="17">
        <v>3</v>
      </c>
      <c r="BH5" s="17" t="s">
        <v>3643</v>
      </c>
      <c r="BI5" s="17" t="s">
        <v>632</v>
      </c>
      <c r="BJ5" s="17">
        <v>5</v>
      </c>
      <c r="BK5" s="22">
        <v>613493.55000000005</v>
      </c>
      <c r="BL5" s="21">
        <v>85385.900000000009</v>
      </c>
      <c r="BN5" s="17">
        <v>3</v>
      </c>
      <c r="BO5" s="23" t="s">
        <v>3643</v>
      </c>
      <c r="BP5" s="24" t="s">
        <v>632</v>
      </c>
      <c r="BQ5" s="24">
        <v>5</v>
      </c>
      <c r="BR5" s="25">
        <v>613493.55000000005</v>
      </c>
      <c r="BS5" s="25">
        <v>85385.900000000009</v>
      </c>
      <c r="BU5" s="29" t="s">
        <v>1246</v>
      </c>
      <c r="BV5" s="18">
        <f>COUNTIF(RawData[Sales_Channel],BU5)</f>
        <v>1660</v>
      </c>
      <c r="BW5" s="18">
        <f>SUMIF(RawData[Sales_Channel],BU5,RawData[Quantity])</f>
        <v>5083</v>
      </c>
      <c r="BX5" s="20">
        <f>SUMIF(RawData[Sales_Channel],BU5,RawData[Revenue])</f>
        <v>70213180.23999995</v>
      </c>
      <c r="BY5" s="20">
        <f>SUMIF(RawData[Sales_Channel],BU5,RawData[Profit])</f>
        <v>9582905.4500000123</v>
      </c>
      <c r="BZ5" s="18">
        <f t="shared" si="12"/>
        <v>0.13648299959130322</v>
      </c>
      <c r="CA5" s="18" t="str">
        <f>"₹"&amp;TEXT(Sales_Channel_Analysis[[#This Row],[Revenue]]/10000000,"0.00")&amp;" Cr"</f>
        <v>₹7.02 Cr</v>
      </c>
      <c r="CC5" s="17" t="s">
        <v>109</v>
      </c>
      <c r="CD5" s="18">
        <f>COUNTIF(RawData[Payment_Mode],CC5)</f>
        <v>638</v>
      </c>
      <c r="CE5" s="18">
        <f>SUMIF(RawData[Payment_Mode],CC5,RawData[Quantity])</f>
        <v>1933</v>
      </c>
      <c r="CF5" s="20">
        <f>SUMIF(RawData[Payment_Mode],CC5,RawData[Revenue])</f>
        <v>27155932.219999988</v>
      </c>
      <c r="CG5" s="20">
        <f>SUMIF(RawData[Payment_Mode],CC5,RawData[Profit])</f>
        <v>3724089.6699999995</v>
      </c>
      <c r="CH5" s="18">
        <f t="shared" si="13"/>
        <v>0.13713724278841941</v>
      </c>
      <c r="CI5" s="18" t="str">
        <f>"₹"&amp;TEXT(Payment_Mode_Analysis[[#This Row],[Revenue]]/10000000,"0.00")&amp;" Cr"</f>
        <v>₹2.72 Cr</v>
      </c>
      <c r="CK5" s="26" t="s">
        <v>1198</v>
      </c>
      <c r="CL5" s="24" t="s">
        <v>87</v>
      </c>
      <c r="CM5" s="16">
        <f>COUNTIF(RawData[Salesperson_ID],CK5)</f>
        <v>303</v>
      </c>
      <c r="CN5" s="16">
        <f>SUMIF(RawData[Salesperson_ID],CK5,RawData[Quantity])</f>
        <v>932</v>
      </c>
      <c r="CO5" s="21">
        <f>SUMIF(RawData[Salesperson_ID],CK5,RawData[Revenue])</f>
        <v>10613170.109999998</v>
      </c>
      <c r="CP5" s="21">
        <f>SUMIF(RawData[Salesperson_ID],CK5,RawData[Profit])</f>
        <v>1477921.45</v>
      </c>
      <c r="CQ5" s="16">
        <f t="shared" si="14"/>
        <v>0.13925353449366321</v>
      </c>
      <c r="CR5" s="16">
        <f t="shared" si="15"/>
        <v>35026.964059405931</v>
      </c>
      <c r="CS5" s="16" t="str">
        <f>"₹"&amp;TEXT(Table29[[#This Row],[Revenue]]/10000000,"0.00")&amp;" Cr"</f>
        <v>₹1.06 Cr</v>
      </c>
      <c r="CU5" s="26" t="s">
        <v>5</v>
      </c>
      <c r="CV5" s="27" t="s">
        <v>3</v>
      </c>
      <c r="CW5" s="18">
        <f>COUNTIF(RawData[City],CU5)</f>
        <v>205</v>
      </c>
      <c r="CX5" s="18">
        <f>SUMIF(RawData[City],CU5,RawData[Quantity])</f>
        <v>609</v>
      </c>
      <c r="CY5" s="20">
        <f>SUMIF(RawData[City],CU5,RawData[Revenue])</f>
        <v>8732320.9700000025</v>
      </c>
      <c r="CZ5" s="20">
        <f>SUMIF(RawData[City],CU5,RawData[Profit])</f>
        <v>1189644.4900000002</v>
      </c>
      <c r="DA5" s="18">
        <f t="shared" si="16"/>
        <v>0.13623462697798658</v>
      </c>
      <c r="DC5" s="17" t="s">
        <v>12</v>
      </c>
      <c r="DD5" s="18">
        <f>SUMIF(City_Analysis[Region],DC5,City_Analysis[Orders])</f>
        <v>269</v>
      </c>
      <c r="DE5" s="18">
        <f>SUMIF(City_Analysis[Region],DC5,City_Analysis[Units Sold])</f>
        <v>792</v>
      </c>
      <c r="DF5" s="20">
        <f>SUMIF(City_Analysis[Region],DC5,City_Analysis[Revenue])</f>
        <v>10920468.850000001</v>
      </c>
      <c r="DG5" s="20">
        <f>SUMIF(City_Analysis[Region],DC5,City_Analysis[Profit])</f>
        <v>1516997.37</v>
      </c>
      <c r="DH5" s="18">
        <f t="shared" si="17"/>
        <v>0.13891320884084568</v>
      </c>
      <c r="DI5" s="18" t="str">
        <f>"₹"&amp;TEXT(Region_Analysis[[#This Row],[Revenue]]/10000000,"0.00")&amp;" Cr"</f>
        <v>₹1.09 Cr</v>
      </c>
      <c r="DK5" s="2" t="s">
        <v>5137</v>
      </c>
      <c r="DL5" s="2" t="s">
        <v>64</v>
      </c>
      <c r="DM5" s="13">
        <f>SUMIFS(RawData[Revenue],RawData[Product_Category],DL5, RawData[Order_Date],"&gt;="&amp;DATE(2025,11,1),RawData[Order_Date],"&lt;"&amp;DATE(2025,12,1))</f>
        <v>41029.5</v>
      </c>
      <c r="DN5" s="13">
        <f>SUMIFS(RawData[Profit],RawData[Product_Category],Profit_Drop_Analysis[[#This Row],[Category]], RawData[Order_Date],"&gt;="&amp;DATE(2025,11,1),RawData[Order_Date],"&lt;"&amp;DATE(2025,12,1))</f>
        <v>11104.500000000002</v>
      </c>
      <c r="DO5" s="82">
        <f t="shared" si="18"/>
        <v>0.27064672979197901</v>
      </c>
      <c r="DQ5" t="s">
        <v>27</v>
      </c>
      <c r="DR5" s="21">
        <f>SUMIFS(RawData[Revenue],RawData[Product_Name],DQ5, RawData[Order_Date],"&gt;="&amp;DATE(2025,11,1),RawData[Order_Date],"&lt;"&amp;DATE(2025,12,1))</f>
        <v>702599.45</v>
      </c>
      <c r="DS5" s="21">
        <f>SUMIFS(RawData[Profit],RawData[Product_Name],DQ5, RawData[Order_Date],"&gt;="&amp;DATE(2025,11,1),RawData[Order_Date],"&lt;"&amp;DATE(2025,12,1))</f>
        <v>1374.9500000000698</v>
      </c>
      <c r="DT5" s="84">
        <f t="shared" si="19"/>
        <v>1.9569471624267141E-3</v>
      </c>
      <c r="DU5" s="21">
        <f>SUMIFS(RawData[Revenue],RawData[Product_Name],DQ5, RawData[Order_Date],"&gt;="&amp;DATE(2025,12,1),RawData[Order_Date],"&lt;"&amp;DATE(2026,1,1))</f>
        <v>1507770.17</v>
      </c>
      <c r="DV5" s="21">
        <f>SUMIFS(RawData[Profit],RawData[Product_Name],DQ5, RawData[Order_Date],"&gt;="&amp;DATE(2025,12,1),RawData[Order_Date],"&lt;"&amp;DATE(2026,1,1))</f>
        <v>11824.570000000138</v>
      </c>
      <c r="DW5" s="84">
        <f>DV5/DU5</f>
        <v>7.8424220317345437E-3</v>
      </c>
      <c r="DX5" s="84"/>
      <c r="DY5" s="70" t="s">
        <v>5130</v>
      </c>
      <c r="DZ5" s="43">
        <f t="shared" si="20"/>
        <v>3</v>
      </c>
      <c r="EA5" s="44">
        <f>SUMPRODUCT(--(MONTH(RawData[Order_Date])= DZ5))</f>
        <v>263</v>
      </c>
      <c r="EB5" s="44">
        <f>SUMPRODUCT((MONTH(RawData[Order_Date])=DZ5)*RawData[Quantity])</f>
        <v>806</v>
      </c>
      <c r="EC5" s="45">
        <f>SUMPRODUCT((MONTH(RawData[Order_Date])=DZ5)*RawData[Revenue])</f>
        <v>11872560.719999993</v>
      </c>
      <c r="ED5" s="45">
        <f>SUMPRODUCT((MONTH(RawData[Order_Date])=DZ5)*RawData[Profit])</f>
        <v>1756436.41</v>
      </c>
      <c r="EE5" s="44">
        <f t="shared" si="3"/>
        <v>0.14794082350248033</v>
      </c>
      <c r="EG5" s="2" t="s">
        <v>27</v>
      </c>
      <c r="EH5" s="84">
        <f>VLOOKUP(EG5,Product_Analysis[[Product]:[Profit Margin]],7,FALSE)</f>
        <v>7.4964674384590715E-2</v>
      </c>
      <c r="EI5" s="84">
        <v>1.9569471624267141E-3</v>
      </c>
      <c r="EJ5" s="3">
        <f>AVERAGEIFS(RawData[Discount%],RawData[Product_Name],EG5,RawData[Order_Date],"&gt;="&amp;DATE(2025,11,1),RawData[Order_Date],"&lt;"&amp;DATE(2025,12,1))</f>
        <v>14.545454545454545</v>
      </c>
      <c r="EK5" s="84">
        <v>7.8424220317345437E-3</v>
      </c>
      <c r="EL5" s="3">
        <f>AVERAGEIFS(RawData[Discount%],RawData[Product_Name],EG5,RawData[Order_Date],"&gt;="&amp;DATE(2025,12,1),RawData[Order_Date],"&lt;"&amp;DATE(2026,1,1))</f>
        <v>14.421052631578947</v>
      </c>
    </row>
    <row r="6" spans="1:142" ht="14.25" customHeight="1" x14ac:dyDescent="0.25">
      <c r="A6" s="17" t="s">
        <v>5114</v>
      </c>
      <c r="B6" s="18">
        <f>SUM(RawData[Quantity])</f>
        <v>9029</v>
      </c>
      <c r="C6" s="18"/>
      <c r="L6" s="75" t="s">
        <v>5131</v>
      </c>
      <c r="M6" s="46">
        <f t="shared" si="5"/>
        <v>4</v>
      </c>
      <c r="N6" s="47">
        <f>SUMPRODUCT(--(MONTH(RawData[Order_Date])= M6))</f>
        <v>258</v>
      </c>
      <c r="O6" s="47">
        <f>SUMPRODUCT((MONTH(RawData[Order_Date])=M6)*RawData[Quantity])</f>
        <v>756</v>
      </c>
      <c r="P6" s="48">
        <f>SUMPRODUCT((MONTH(RawData[Order_Date])=M6)*RawData[Revenue])</f>
        <v>10348639.500000002</v>
      </c>
      <c r="Q6" s="48">
        <f>SUMPRODUCT((MONTH(RawData[Order_Date])=M6)*RawData[Profit])</f>
        <v>1585968.5600000008</v>
      </c>
      <c r="R6" s="47">
        <f t="shared" si="0"/>
        <v>0.15325382239858684</v>
      </c>
      <c r="T6" s="17" t="s">
        <v>43</v>
      </c>
      <c r="U6" s="17" t="s">
        <v>1231</v>
      </c>
      <c r="V6" s="18">
        <f>COUNTIFS(RawData[Product_Category],"Furniture",RawData[Order_Date],"&gt;="&amp;DATE(2025,11,1))</f>
        <v>128</v>
      </c>
      <c r="W6" s="18">
        <f>SUMIFS(RawData[Quantity],RawData[Product_Category],"Furniture",RawData[Order_Date],"&gt;="&amp;DATE(2025,11,1))</f>
        <v>386</v>
      </c>
      <c r="X6" s="20">
        <f>SUMIFS(RawData[Revenue],RawData[Product_Category],"Furniture",RawData[Order_Date],"&gt;="&amp;DATE(2025,11,1))</f>
        <v>6935300.0799999991</v>
      </c>
      <c r="Y6" s="20">
        <f>SUMIFS(RawData[Profit],RawData[Product_Category],"Furniture",RawData[Order_Date],"&gt;="&amp;DATE(2025,11,1))</f>
        <v>555861.23999999987</v>
      </c>
      <c r="Z6" s="18">
        <f t="shared" si="6"/>
        <v>8.0149558575409174E-2</v>
      </c>
      <c r="AA6" s="18" t="str">
        <f>"₹"&amp;TEXT(Category_and_Seasonal_Analysis[[#This Row],[Revenue]]/10000000,"0.00")&amp;" Cr"</f>
        <v>₹0.69 Cr</v>
      </c>
      <c r="AB6" s="18" t="str">
        <f>"₹"&amp;TEXT(Category_and_Seasonal_Analysis[[#This Row],[Profit]]/100000,"0.00")&amp;" L"</f>
        <v>₹5.56 L</v>
      </c>
      <c r="AD6" s="17" t="s">
        <v>35</v>
      </c>
      <c r="AE6" s="17" t="s">
        <v>22</v>
      </c>
      <c r="AF6" s="18">
        <f>COUNTIF(RawData[Product_Name],AD6)</f>
        <v>156</v>
      </c>
      <c r="AG6" s="18">
        <f>SUMIF(RawData[Product_Name],AD6,RawData[Quantity])</f>
        <v>459</v>
      </c>
      <c r="AH6" s="20">
        <f>SUMIF(RawData[Product_Name],AD6,RawData[Revenue])</f>
        <v>7016694.7200000035</v>
      </c>
      <c r="AI6" s="20">
        <f>SUMIF(RawData[Product_Name],AD6,RawData[Profit])</f>
        <v>352418.63999999943</v>
      </c>
      <c r="AJ6" s="18">
        <f t="shared" si="7"/>
        <v>5.0225733634311404E-2</v>
      </c>
      <c r="AL6" s="16" t="s">
        <v>1474</v>
      </c>
      <c r="AM6" s="16" t="s">
        <v>364</v>
      </c>
      <c r="AN6" s="16">
        <f>COUNTIF(RawData[Customer_ID],AL6)</f>
        <v>4</v>
      </c>
      <c r="AO6" s="16">
        <f>SUMIF(RawData[Customer_ID],AL6,RawData[Quantity])</f>
        <v>19</v>
      </c>
      <c r="AP6" s="21">
        <f>SUMIF(RawData[Customer_ID],AL6,RawData[Revenue])</f>
        <v>426610.64999999997</v>
      </c>
      <c r="AQ6" s="21">
        <f>SUMIF(RawData[Customer_ID],AL6,RawData[Profit])</f>
        <v>65613.699999999953</v>
      </c>
      <c r="AR6" s="16">
        <f t="shared" si="1"/>
        <v>106652.66249999999</v>
      </c>
      <c r="AS6" s="16" t="str">
        <f t="shared" si="2"/>
        <v>Occasional</v>
      </c>
      <c r="AU6" s="17" t="s">
        <v>5186</v>
      </c>
      <c r="AV6" s="18">
        <f>COUNTIF(Customer_Analysis[Customer Type],AU6)</f>
        <v>10</v>
      </c>
      <c r="AW6" s="18">
        <f>SUMIF(Customer_Analysis[Customer Type],AU6,Customer_Analysis[Orders])</f>
        <v>93</v>
      </c>
      <c r="AX6" s="18">
        <f>SUMIF(Customer_Analysis[Customer Type],AU6,Customer_Analysis[Units Sold])</f>
        <v>284</v>
      </c>
      <c r="AY6" s="20">
        <f>SUMIF(Customer_Analysis[Customer Type],AU6,Customer_Analysis[Revenue])</f>
        <v>3239528.15</v>
      </c>
      <c r="AZ6" s="20">
        <f>SUMIF(Customer_Analysis[Customer Type],AU6,Customer_Analysis[Profit])</f>
        <v>430379.4599999999</v>
      </c>
      <c r="BA6" s="18">
        <f t="shared" ref="BA6:BA7" si="21">AZ6/AY6</f>
        <v>0.13285251433916384</v>
      </c>
      <c r="BB6" s="21">
        <f t="shared" si="9"/>
        <v>323952.815</v>
      </c>
      <c r="BC6" s="21">
        <f t="shared" si="10"/>
        <v>43037.945999999989</v>
      </c>
      <c r="BD6" s="16">
        <f t="shared" si="11"/>
        <v>9.3000000000000007</v>
      </c>
      <c r="BE6" s="16" t="str">
        <f>"₹"&amp;TEXT(Customer_Segment_Analysis[[#This Row],[Revenue]]/10000000,"0.00")&amp;" Cr"</f>
        <v>₹0.32 Cr</v>
      </c>
      <c r="BG6" s="17">
        <v>4</v>
      </c>
      <c r="BH6" s="17" t="s">
        <v>4601</v>
      </c>
      <c r="BI6" s="17" t="s">
        <v>1147</v>
      </c>
      <c r="BJ6" s="17">
        <v>7</v>
      </c>
      <c r="BK6" s="22">
        <v>586628.80000000005</v>
      </c>
      <c r="BL6" s="21">
        <v>89714.140000000014</v>
      </c>
      <c r="BN6" s="17">
        <v>4</v>
      </c>
      <c r="BO6" s="28" t="s">
        <v>2392</v>
      </c>
      <c r="BP6" s="29" t="s">
        <v>667</v>
      </c>
      <c r="BQ6" s="29">
        <v>10</v>
      </c>
      <c r="BR6" s="30">
        <v>506960.31000000006</v>
      </c>
      <c r="BS6" s="30">
        <v>83565.66</v>
      </c>
      <c r="BU6" s="16" t="s">
        <v>5187</v>
      </c>
      <c r="BV6" s="16">
        <f>SUM(BV3:BV5)</f>
        <v>3000</v>
      </c>
      <c r="BW6" s="16">
        <f t="shared" ref="BW6:BZ6" si="22">SUM(BW3:BW5)</f>
        <v>9029</v>
      </c>
      <c r="BX6" s="21">
        <f t="shared" si="22"/>
        <v>124079067.76000002</v>
      </c>
      <c r="BY6" s="21">
        <f t="shared" si="22"/>
        <v>17118773.170000009</v>
      </c>
      <c r="BZ6" s="16">
        <f t="shared" si="22"/>
        <v>0.41990667255412922</v>
      </c>
      <c r="CA6" s="18" t="str">
        <f>"₹"&amp;TEXT(Sales_Channel_Analysis[[#This Row],[Revenue]]/10000000,"0.00")&amp;" Cr"</f>
        <v>₹12.41 Cr</v>
      </c>
      <c r="CC6" s="17" t="s">
        <v>110</v>
      </c>
      <c r="CD6" s="18">
        <f>COUNTIF(RawData[Payment_Mode],CC6)</f>
        <v>307</v>
      </c>
      <c r="CE6" s="18">
        <f>SUMIF(RawData[Payment_Mode],CC6,RawData[Quantity])</f>
        <v>881</v>
      </c>
      <c r="CF6" s="20">
        <f>SUMIF(RawData[Payment_Mode],CC6,RawData[Revenue])</f>
        <v>11258890.119999997</v>
      </c>
      <c r="CG6" s="20">
        <f>SUMIF(RawData[Payment_Mode],CC6,RawData[Profit])</f>
        <v>1493053.4499999997</v>
      </c>
      <c r="CH6" s="18">
        <f t="shared" si="13"/>
        <v>0.13261106859438823</v>
      </c>
      <c r="CI6" s="18" t="str">
        <f>"₹"&amp;TEXT(Payment_Mode_Analysis[[#This Row],[Revenue]]/10000000,"0.00")&amp;" Cr"</f>
        <v>₹1.13 Cr</v>
      </c>
      <c r="CK6" s="31" t="s">
        <v>1199</v>
      </c>
      <c r="CL6" s="29" t="s">
        <v>1200</v>
      </c>
      <c r="CM6" s="16">
        <f>COUNTIF(RawData[Salesperson_ID],CK6)</f>
        <v>299</v>
      </c>
      <c r="CN6" s="16">
        <f>SUMIF(RawData[Salesperson_ID],CK6,RawData[Quantity])</f>
        <v>900</v>
      </c>
      <c r="CO6" s="21">
        <f>SUMIF(RawData[Salesperson_ID],CK6,RawData[Revenue])</f>
        <v>12620581.079999996</v>
      </c>
      <c r="CP6" s="21">
        <f>SUMIF(RawData[Salesperson_ID],CK6,RawData[Profit])</f>
        <v>1805729.8100000003</v>
      </c>
      <c r="CQ6" s="16">
        <f t="shared" si="14"/>
        <v>0.14307818305304218</v>
      </c>
      <c r="CR6" s="16">
        <f t="shared" si="15"/>
        <v>42209.301270903001</v>
      </c>
      <c r="CS6" s="16" t="str">
        <f>"₹"&amp;TEXT(Table29[[#This Row],[Revenue]]/10000000,"0.00")&amp;" Cr"</f>
        <v>₹1.26 Cr</v>
      </c>
      <c r="CU6" s="31" t="s">
        <v>289</v>
      </c>
      <c r="CV6" s="32" t="s">
        <v>3</v>
      </c>
      <c r="CW6" s="18">
        <f>COUNTIF(RawData[City],CU6)</f>
        <v>272</v>
      </c>
      <c r="CX6" s="18">
        <f>SUMIF(RawData[City],CU6,RawData[Quantity])</f>
        <v>871</v>
      </c>
      <c r="CY6" s="20">
        <f>SUMIF(RawData[City],CU6,RawData[Revenue])</f>
        <v>13301066.310000001</v>
      </c>
      <c r="CZ6" s="20">
        <f>SUMIF(RawData[City],CU6,RawData[Profit])</f>
        <v>1834841.43</v>
      </c>
      <c r="DA6" s="18">
        <f t="shared" si="16"/>
        <v>0.13794694254102999</v>
      </c>
      <c r="DC6" s="17" t="s">
        <v>3</v>
      </c>
      <c r="DD6" s="18">
        <f>SUMIF(City_Analysis[Region],DC6,City_Analysis[Orders])</f>
        <v>1199</v>
      </c>
      <c r="DE6" s="18">
        <f>SUMIF(City_Analysis[Region],DC6,City_Analysis[Units Sold])</f>
        <v>3581</v>
      </c>
      <c r="DF6" s="20">
        <f>SUMIF(City_Analysis[Region],DC6,City_Analysis[Revenue])</f>
        <v>50096317.190000005</v>
      </c>
      <c r="DG6" s="20">
        <f>SUMIF(City_Analysis[Region],DC6,City_Analysis[Profit])</f>
        <v>6874817.870000001</v>
      </c>
      <c r="DH6" s="18">
        <f t="shared" si="17"/>
        <v>0.13723200138497046</v>
      </c>
      <c r="DI6" s="18" t="str">
        <f>"₹"&amp;TEXT(Region_Analysis[[#This Row],[Revenue]]/10000000,"0.00")&amp;" Cr"</f>
        <v>₹5.01 Cr</v>
      </c>
      <c r="DK6" s="2" t="s">
        <v>5138</v>
      </c>
      <c r="DL6" s="2" t="s">
        <v>22</v>
      </c>
      <c r="DM6" s="13">
        <f>SUMIFS(RawData[Revenue],RawData[Product_Category],DL6, RawData[Order_Date],"&gt;="&amp;DATE(2025,12,1),RawData[Order_Date],"&lt;"&amp;DATE(2026,1,1))</f>
        <v>5965907.6100000003</v>
      </c>
      <c r="DN6" s="13">
        <f>SUMIFS(RawData[Profit],RawData[Product_Category],Profit_Drop_Analysis[[#This Row],[Category]], RawData[Order_Date],"&gt;="&amp;DATE(2025,12,1),RawData[Order_Date],"&lt;"&amp;DATE(2026,1,1))</f>
        <v>280477.73000000004</v>
      </c>
      <c r="DO6" s="82">
        <f t="shared" si="18"/>
        <v>4.7013421651026878E-2</v>
      </c>
      <c r="DQ6" t="s">
        <v>35</v>
      </c>
      <c r="DR6" s="21">
        <f>SUMIFS(RawData[Revenue],RawData[Product_Name],DQ6, RawData[Order_Date],"&gt;="&amp;DATE(2025,11,1),RawData[Order_Date],"&lt;"&amp;DATE(2025,12,1))</f>
        <v>501239.62</v>
      </c>
      <c r="DS6" s="21">
        <f>SUMIFS(RawData[Profit],RawData[Product_Name],DQ6, RawData[Order_Date],"&gt;="&amp;DATE(2025,11,1),RawData[Order_Date],"&lt;"&amp;DATE(2025,12,1))</f>
        <v>-6929.580000000029</v>
      </c>
      <c r="DT6" s="84">
        <f t="shared" si="19"/>
        <v>-1.3824884792626786E-2</v>
      </c>
      <c r="DU6" s="21">
        <f>SUMIFS(RawData[Revenue],RawData[Product_Name],DQ6, RawData[Order_Date],"&gt;="&amp;DATE(2025,12,1),RawData[Order_Date],"&lt;"&amp;DATE(2026,1,1))</f>
        <v>725626.02</v>
      </c>
      <c r="DV6" s="21">
        <f>SUMIFS(RawData[Profit],RawData[Product_Name],DQ6, RawData[Order_Date],"&gt;="&amp;DATE(2025,12,1),RawData[Order_Date],"&lt;"&amp;DATE(2026,1,1))</f>
        <v>-14849.100000000044</v>
      </c>
      <c r="DW6" s="84">
        <f>DV6/DU6</f>
        <v>-2.0463847203274276E-2</v>
      </c>
      <c r="DX6" s="84"/>
      <c r="DY6" s="75" t="s">
        <v>5131</v>
      </c>
      <c r="DZ6" s="46">
        <f t="shared" si="20"/>
        <v>4</v>
      </c>
      <c r="EA6" s="47">
        <f>SUMPRODUCT(--(MONTH(RawData[Order_Date])= DZ6))</f>
        <v>258</v>
      </c>
      <c r="EB6" s="47">
        <f>SUMPRODUCT((MONTH(RawData[Order_Date])=DZ6)*RawData[Quantity])</f>
        <v>756</v>
      </c>
      <c r="EC6" s="48">
        <f>SUMPRODUCT((MONTH(RawData[Order_Date])=DZ6)*RawData[Revenue])</f>
        <v>10348639.500000002</v>
      </c>
      <c r="ED6" s="48">
        <f>SUMPRODUCT((MONTH(RawData[Order_Date])=DZ6)*RawData[Profit])</f>
        <v>1585968.5600000008</v>
      </c>
      <c r="EE6" s="47">
        <f t="shared" si="3"/>
        <v>0.15325382239858684</v>
      </c>
      <c r="EG6" s="2" t="s">
        <v>35</v>
      </c>
      <c r="EH6" s="84">
        <f>VLOOKUP(EG6,Product_Analysis[[Product]:[Profit Margin]],7,FALSE)</f>
        <v>5.0225733634311404E-2</v>
      </c>
      <c r="EI6" s="84">
        <v>-1.3824884792626786E-2</v>
      </c>
      <c r="EJ6" s="3">
        <f>AVERAGEIFS(RawData[Discount%],RawData[Product_Name],EG6,RawData[Order_Date],"&gt;="&amp;DATE(2025,11,1),RawData[Order_Date],"&lt;"&amp;DATE(2025,12,1))</f>
        <v>13.25</v>
      </c>
      <c r="EK6" s="84">
        <v>-2.0463847203274276E-2</v>
      </c>
      <c r="EL6" s="3">
        <f>AVERAGEIFS(RawData[Discount%],RawData[Product_Name],EG6,RawData[Order_Date],"&gt;="&amp;DATE(2025,12,1),RawData[Order_Date],"&lt;"&amp;DATE(2026,1,1))</f>
        <v>13.666666666666666</v>
      </c>
    </row>
    <row r="7" spans="1:142" s="35" customFormat="1" x14ac:dyDescent="0.25">
      <c r="A7" s="2" t="s">
        <v>5120</v>
      </c>
      <c r="B7" s="9">
        <f>MIN(RawData[Order_Date])</f>
        <v>45658</v>
      </c>
      <c r="C7" s="3"/>
      <c r="L7" s="43" t="s">
        <v>176</v>
      </c>
      <c r="M7" s="43">
        <f t="shared" si="5"/>
        <v>5</v>
      </c>
      <c r="N7" s="44">
        <f>SUMPRODUCT(--(MONTH(RawData[Order_Date])= M7))</f>
        <v>229</v>
      </c>
      <c r="O7" s="44">
        <f>SUMPRODUCT((MONTH(RawData[Order_Date])=M7)*RawData[Quantity])</f>
        <v>674</v>
      </c>
      <c r="P7" s="45">
        <f>SUMPRODUCT((MONTH(RawData[Order_Date])=M7)*RawData[Revenue])</f>
        <v>8656122.3099999968</v>
      </c>
      <c r="Q7" s="45">
        <f>SUMPRODUCT((MONTH(RawData[Order_Date])=M7)*RawData[Profit])</f>
        <v>1332230.4900000002</v>
      </c>
      <c r="R7" s="44">
        <f t="shared" si="0"/>
        <v>0.15390615362041951</v>
      </c>
      <c r="T7" s="2" t="s">
        <v>64</v>
      </c>
      <c r="U7" s="2" t="s">
        <v>1230</v>
      </c>
      <c r="V7" s="3">
        <f>COUNTIFS(RawData[Product_Category],"Office Supplies",RawData[Order_Date],"&lt;"&amp;DATE(2025,11,1))</f>
        <v>597</v>
      </c>
      <c r="W7" s="3">
        <f>SUMIFS(RawData[Quantity],RawData[Product_Category],"Office Supplies",RawData[Order_Date],"&lt;"&amp;DATE(2025,11,1))</f>
        <v>1795</v>
      </c>
      <c r="X7" s="13">
        <f>SUMIFS(RawData[Revenue],RawData[Product_Category],"Office Supplies",RawData[Order_Date],"&lt;"&amp;DATE(2025,11,1))</f>
        <v>407947</v>
      </c>
      <c r="Y7" s="13">
        <f>SUMIFS(RawData[Profit],RawData[Product_Category],"Office Supplies",RawData[Order_Date],"&lt;"&amp;DATE(2025,11,1))</f>
        <v>113119</v>
      </c>
      <c r="Z7" s="3">
        <f t="shared" si="6"/>
        <v>0.27728847129651646</v>
      </c>
      <c r="AA7" s="18" t="str">
        <f>"₹"&amp;TEXT(Category_and_Seasonal_Analysis[[#This Row],[Revenue]]/10000000,"0.00")&amp;" Cr"</f>
        <v>₹0.04 Cr</v>
      </c>
      <c r="AB7" s="18" t="str">
        <f>"₹"&amp;TEXT(Category_and_Seasonal_Analysis[[#This Row],[Profit]]/100000,"0.00")&amp;" L"</f>
        <v>₹1.13 L</v>
      </c>
      <c r="AD7" s="2" t="s">
        <v>41</v>
      </c>
      <c r="AE7" s="2" t="s">
        <v>22</v>
      </c>
      <c r="AF7" s="3">
        <f>COUNTIF(RawData[Product_Name],AD7)</f>
        <v>129</v>
      </c>
      <c r="AG7" s="3">
        <f>SUMIF(RawData[Product_Name],AD7,RawData[Quantity])</f>
        <v>382</v>
      </c>
      <c r="AH7" s="13">
        <f>SUMIF(RawData[Product_Name],AD7,RawData[Revenue])</f>
        <v>4902068.4600000018</v>
      </c>
      <c r="AI7" s="13">
        <f>SUMIF(RawData[Product_Name],AD7,RawData[Profit])</f>
        <v>700374.05999999936</v>
      </c>
      <c r="AJ7" s="3">
        <f t="shared" si="7"/>
        <v>0.14287316991080926</v>
      </c>
      <c r="AL7" s="35" t="s">
        <v>2695</v>
      </c>
      <c r="AM7" s="35" t="s">
        <v>365</v>
      </c>
      <c r="AN7" s="35">
        <f>COUNTIF(RawData[Customer_ID],AL7)</f>
        <v>2</v>
      </c>
      <c r="AO7" s="35">
        <f>SUMIF(RawData[Customer_ID],AL7,RawData[Quantity])</f>
        <v>8</v>
      </c>
      <c r="AP7" s="36">
        <f>SUMIF(RawData[Customer_ID],AL7,RawData[Revenue])</f>
        <v>116842.69</v>
      </c>
      <c r="AQ7" s="36">
        <f>SUMIF(RawData[Customer_ID],AL7,RawData[Profit])</f>
        <v>19273.660000000007</v>
      </c>
      <c r="AR7" s="35">
        <f t="shared" si="1"/>
        <v>58421.345000000001</v>
      </c>
      <c r="AS7" s="35" t="str">
        <f t="shared" si="2"/>
        <v>Occasional</v>
      </c>
      <c r="AU7" s="2" t="s">
        <v>5187</v>
      </c>
      <c r="AV7" s="3">
        <f>SUM(AV3:AV6)</f>
        <v>900</v>
      </c>
      <c r="AW7" s="3">
        <f>SUM(AW3:AW6)</f>
        <v>3000</v>
      </c>
      <c r="AX7" s="3">
        <f>SUM(AX3:AX6)</f>
        <v>9029</v>
      </c>
      <c r="AY7" s="13">
        <f>SUM(AY3:AY6)</f>
        <v>124079067.76000005</v>
      </c>
      <c r="AZ7" s="13">
        <f>SUM(AZ3:AZ6)</f>
        <v>17118773.170000002</v>
      </c>
      <c r="BA7" s="3">
        <f t="shared" si="21"/>
        <v>0.13796664883968979</v>
      </c>
      <c r="BG7" s="2">
        <v>5</v>
      </c>
      <c r="BH7" s="35" t="s">
        <v>2250</v>
      </c>
      <c r="BI7" s="35" t="s">
        <v>983</v>
      </c>
      <c r="BJ7" s="35">
        <v>6</v>
      </c>
      <c r="BK7" s="36">
        <v>582797.78999999992</v>
      </c>
      <c r="BL7" s="36">
        <v>73254.609999999971</v>
      </c>
      <c r="BN7" s="2">
        <v>5</v>
      </c>
      <c r="BO7" s="37" t="s">
        <v>5044</v>
      </c>
      <c r="BP7" s="38" t="s">
        <v>1104</v>
      </c>
      <c r="BQ7" s="38">
        <v>6</v>
      </c>
      <c r="BR7" s="39">
        <v>569033.94999999995</v>
      </c>
      <c r="BS7" s="39">
        <v>83347.989999999962</v>
      </c>
      <c r="CC7" s="2" t="s">
        <v>111</v>
      </c>
      <c r="CD7" s="3">
        <f>COUNTIF(RawData[Payment_Mode],CC7)</f>
        <v>152</v>
      </c>
      <c r="CE7" s="3">
        <f>SUMIF(RawData[Payment_Mode],CC7,RawData[Quantity])</f>
        <v>460</v>
      </c>
      <c r="CF7" s="13">
        <f>SUMIF(RawData[Payment_Mode],CC7,RawData[Revenue])</f>
        <v>6334631.4000000022</v>
      </c>
      <c r="CG7" s="13">
        <f>SUMIF(RawData[Payment_Mode],CC7,RawData[Profit])</f>
        <v>911660.62999999942</v>
      </c>
      <c r="CH7" s="3">
        <f t="shared" si="13"/>
        <v>0.14391691835455478</v>
      </c>
      <c r="CI7" s="18" t="str">
        <f>"₹"&amp;TEXT(Payment_Mode_Analysis[[#This Row],[Revenue]]/10000000,"0.00")&amp;" Cr"</f>
        <v>₹0.63 Cr</v>
      </c>
      <c r="CK7" s="10" t="s">
        <v>1201</v>
      </c>
      <c r="CL7" s="38" t="s">
        <v>1202</v>
      </c>
      <c r="CM7" s="35">
        <f>COUNTIF(RawData[Salesperson_ID],CK7)</f>
        <v>325</v>
      </c>
      <c r="CN7" s="35">
        <f>SUMIF(RawData[Salesperson_ID],CK7,RawData[Quantity])</f>
        <v>1002</v>
      </c>
      <c r="CO7" s="36">
        <f>SUMIF(RawData[Salesperson_ID],CK7,RawData[Revenue])</f>
        <v>14075883.229999989</v>
      </c>
      <c r="CP7" s="36">
        <f>SUMIF(RawData[Salesperson_ID],CK7,RawData[Profit])</f>
        <v>1954828.7600000002</v>
      </c>
      <c r="CQ7" s="35">
        <f t="shared" si="14"/>
        <v>0.13887787558749176</v>
      </c>
      <c r="CR7" s="35">
        <f t="shared" si="15"/>
        <v>43310.409938461504</v>
      </c>
      <c r="CS7" s="16" t="str">
        <f>"₹"&amp;TEXT(Table29[[#This Row],[Revenue]]/10000000,"0.00")&amp;" Cr"</f>
        <v>₹1.41 Cr</v>
      </c>
      <c r="CU7" s="10" t="s">
        <v>290</v>
      </c>
      <c r="CV7" s="11" t="s">
        <v>3</v>
      </c>
      <c r="CW7" s="3">
        <f>COUNTIF(RawData[City],CU7)</f>
        <v>265</v>
      </c>
      <c r="CX7" s="3">
        <f>SUMIF(RawData[City],CU7,RawData[Quantity])</f>
        <v>754</v>
      </c>
      <c r="CY7" s="13">
        <f>SUMIF(RawData[City],CU7,RawData[Revenue])</f>
        <v>10790921.470000001</v>
      </c>
      <c r="CZ7" s="13">
        <f>SUMIF(RawData[City],CU7,RawData[Profit])</f>
        <v>1471183.3000000007</v>
      </c>
      <c r="DA7" s="3">
        <f t="shared" si="16"/>
        <v>0.13633527999347034</v>
      </c>
      <c r="DD7" s="3">
        <f>SUM(DD3:DD6)</f>
        <v>3000</v>
      </c>
      <c r="DE7" s="3">
        <f t="shared" ref="DE7:DG7" si="23">SUM(DE3:DE6)</f>
        <v>9029</v>
      </c>
      <c r="DF7" s="13">
        <f t="shared" si="23"/>
        <v>124079067.75999999</v>
      </c>
      <c r="DG7" s="13">
        <f t="shared" si="23"/>
        <v>17118773.170000002</v>
      </c>
      <c r="DK7" s="2" t="s">
        <v>5138</v>
      </c>
      <c r="DL7" s="2" t="s">
        <v>43</v>
      </c>
      <c r="DM7" s="13">
        <f>SUMIFS(RawData[Revenue],RawData[Product_Category],Profit_Drop_Analysis[[#This Row],[Category]], RawData[Order_Date],"&gt;="&amp;DATE(2025,12,1),RawData[Order_Date],"&lt;"&amp;DATE(2026,1,1))</f>
        <v>3250318.96</v>
      </c>
      <c r="DN7" s="13">
        <f>SUMIFS(RawData[Profit],RawData[Product_Category],Profit_Drop_Analysis[[#This Row],[Category]], RawData[Order_Date],"&gt;="&amp;DATE(2025,12,1),RawData[Order_Date],"&lt;"&amp;DATE(2026,1,1))</f>
        <v>271803.42999999993</v>
      </c>
      <c r="DO7" s="82">
        <f t="shared" si="18"/>
        <v>8.3623617664895247E-2</v>
      </c>
      <c r="DQ7" t="s">
        <v>41</v>
      </c>
      <c r="DR7" s="21">
        <f>SUMIFS(RawData[Revenue],RawData[Product_Name],DQ7, RawData[Order_Date],"&gt;="&amp;DATE(2025,11,1),RawData[Order_Date],"&lt;"&amp;DATE(2025,12,1))</f>
        <v>310727.40000000002</v>
      </c>
      <c r="DS7" s="21">
        <f>SUMIFS(RawData[Profit],RawData[Product_Name],DQ7, RawData[Order_Date],"&gt;="&amp;DATE(2025,11,1),RawData[Order_Date],"&lt;"&amp;DATE(2025,12,1))</f>
        <v>24748.199999999975</v>
      </c>
      <c r="DT7" s="84">
        <f t="shared" si="19"/>
        <v>7.964601769911496E-2</v>
      </c>
      <c r="DU7" s="21">
        <f>SUMIFS(RawData[Revenue],RawData[Product_Name],DQ7, RawData[Order_Date],"&gt;="&amp;DATE(2025,12,1),RawData[Order_Date],"&lt;"&amp;DATE(2026,1,1))</f>
        <v>287904.06</v>
      </c>
      <c r="DV7" s="21">
        <f>SUMIFS(RawData[Profit],RawData[Product_Name],DQ7, RawData[Order_Date],"&gt;="&amp;DATE(2025,12,1),RawData[Order_Date],"&lt;"&amp;DATE(2026,1,1))</f>
        <v>23923.259999999984</v>
      </c>
      <c r="DW7" s="84">
        <f>DV7/DU7</f>
        <v>8.3094555873925446E-2</v>
      </c>
      <c r="DX7" s="84"/>
      <c r="DY7" s="43" t="s">
        <v>176</v>
      </c>
      <c r="DZ7" s="43">
        <f t="shared" si="20"/>
        <v>5</v>
      </c>
      <c r="EA7" s="44">
        <f>SUMPRODUCT(--(MONTH(RawData[Order_Date])= DZ7))</f>
        <v>229</v>
      </c>
      <c r="EB7" s="44">
        <f>SUMPRODUCT((MONTH(RawData[Order_Date])=DZ7)*RawData[Quantity])</f>
        <v>674</v>
      </c>
      <c r="EC7" s="45">
        <f>SUMPRODUCT((MONTH(RawData[Order_Date])=DZ7)*RawData[Revenue])</f>
        <v>8656122.3099999968</v>
      </c>
      <c r="ED7" s="45">
        <f>SUMPRODUCT((MONTH(RawData[Order_Date])=DZ7)*RawData[Profit])</f>
        <v>1332230.4900000002</v>
      </c>
      <c r="EE7" s="44">
        <f t="shared" si="3"/>
        <v>0.15390615362041951</v>
      </c>
      <c r="EG7" s="2" t="s">
        <v>52</v>
      </c>
      <c r="EH7" s="84">
        <f>VLOOKUP(EG7,Product_Analysis[[Product]:[Profit Margin]],7,FALSE)</f>
        <v>0.15169884366563094</v>
      </c>
      <c r="EI7" s="89">
        <v>7.1171420659097179E-2</v>
      </c>
      <c r="EJ7" s="3">
        <f>AVERAGEIFS(RawData[Discount%],RawData[Product_Name],EG7,RawData[Order_Date],"&gt;="&amp;DATE(2025,11,1),RawData[Order_Date],"&lt;"&amp;DATE(2025,12,1))</f>
        <v>16.333333333333332</v>
      </c>
      <c r="EK7" s="89">
        <v>8.16</v>
      </c>
      <c r="EL7" s="3">
        <f>AVERAGEIFS(RawData[Discount%],RawData[Product_Name],EG7,RawData[Order_Date],"&gt;="&amp;DATE(2025,12,1),RawData[Order_Date],"&lt;"&amp;DATE(2026,1,1))</f>
        <v>14.916666666666666</v>
      </c>
    </row>
    <row r="8" spans="1:142" ht="13.5" customHeight="1" x14ac:dyDescent="0.25">
      <c r="A8" s="17" t="s">
        <v>5121</v>
      </c>
      <c r="B8" s="33">
        <f>MAX(RawData[Order_Date])</f>
        <v>46022</v>
      </c>
      <c r="C8" s="18"/>
      <c r="L8" s="49" t="s">
        <v>5132</v>
      </c>
      <c r="M8" s="46">
        <f t="shared" si="5"/>
        <v>6</v>
      </c>
      <c r="N8" s="47">
        <f>SUMPRODUCT(--(MONTH(RawData[Order_Date])= M8))</f>
        <v>236</v>
      </c>
      <c r="O8" s="47">
        <f>SUMPRODUCT((MONTH(RawData[Order_Date])=M8)*RawData[Quantity])</f>
        <v>720</v>
      </c>
      <c r="P8" s="48">
        <f>SUMPRODUCT((MONTH(RawData[Order_Date])=M8)*RawData[Revenue])</f>
        <v>10428619.619999997</v>
      </c>
      <c r="Q8" s="48">
        <f>SUMPRODUCT((MONTH(RawData[Order_Date])=M8)*RawData[Profit])</f>
        <v>1539638.1199999987</v>
      </c>
      <c r="R8" s="47">
        <f t="shared" si="0"/>
        <v>0.14763584981537559</v>
      </c>
      <c r="T8" s="17" t="s">
        <v>64</v>
      </c>
      <c r="U8" s="17" t="s">
        <v>1231</v>
      </c>
      <c r="V8" s="18">
        <f>COUNTIFS(RawData[Product_Category],"Office Supplies",RawData[Order_Date],"&gt;="&amp;DATE(2025,11,1))</f>
        <v>115</v>
      </c>
      <c r="W8" s="18">
        <f>SUMIFS(RawData[Quantity],RawData[Product_Category],"Office Supplies",RawData[Order_Date],"&gt;="&amp;DATE(2025,11,1))</f>
        <v>351</v>
      </c>
      <c r="X8" s="20">
        <f>SUMIFS(RawData[Revenue],RawData[Product_Category],"Office Supplies",RawData[Order_Date],"&gt;="&amp;DATE(2025,11,1))</f>
        <v>90132.2</v>
      </c>
      <c r="Y8" s="20">
        <f>SUMIFS(RawData[Profit],RawData[Product_Category],"Office Supplies",RawData[Order_Date],"&gt;="&amp;DATE(2025,11,1))</f>
        <v>24468.499999999989</v>
      </c>
      <c r="Z8" s="18">
        <f t="shared" si="6"/>
        <v>0.27147345787631932</v>
      </c>
      <c r="AA8" s="18" t="str">
        <f>"₹"&amp;TEXT(Category_and_Seasonal_Analysis[[#This Row],[Revenue]]/10000000,"0.00")&amp;" Cr"</f>
        <v>₹0.01 Cr</v>
      </c>
      <c r="AB8" s="18" t="str">
        <f>"₹"&amp;TEXT(Category_and_Seasonal_Analysis[[#This Row],[Profit]]/100000,"0.00")&amp;" L"</f>
        <v>₹0.24 L</v>
      </c>
      <c r="AD8" s="17" t="s">
        <v>29</v>
      </c>
      <c r="AE8" s="17" t="s">
        <v>22</v>
      </c>
      <c r="AF8" s="18">
        <f>COUNTIF(RawData[Product_Name],AD8)</f>
        <v>165</v>
      </c>
      <c r="AG8" s="18">
        <f>SUMIF(RawData[Product_Name],AD8,RawData[Quantity])</f>
        <v>508</v>
      </c>
      <c r="AH8" s="20">
        <f>SUMIF(RawData[Product_Name],AD8,RawData[Revenue])</f>
        <v>4503000</v>
      </c>
      <c r="AI8" s="20">
        <f>SUMIF(RawData[Product_Name],AD8,RawData[Profit])</f>
        <v>1124800</v>
      </c>
      <c r="AJ8" s="18">
        <f t="shared" si="7"/>
        <v>0.24978902953586499</v>
      </c>
      <c r="AL8" s="16" t="s">
        <v>3101</v>
      </c>
      <c r="AM8" s="16" t="s">
        <v>366</v>
      </c>
      <c r="AN8" s="16">
        <f>COUNTIF(RawData[Customer_ID],AL8)</f>
        <v>3</v>
      </c>
      <c r="AO8" s="16">
        <f>SUMIF(RawData[Customer_ID],AL8,RawData[Quantity])</f>
        <v>4</v>
      </c>
      <c r="AP8" s="21">
        <f>SUMIF(RawData[Customer_ID],AL8,RawData[Revenue])</f>
        <v>163266.31999999998</v>
      </c>
      <c r="AQ8" s="21">
        <f>SUMIF(RawData[Customer_ID],AL8,RawData[Profit])</f>
        <v>18969.529999999995</v>
      </c>
      <c r="AR8" s="16">
        <f t="shared" si="1"/>
        <v>54422.106666666659</v>
      </c>
      <c r="AS8" s="16" t="str">
        <f t="shared" si="2"/>
        <v>Occasional</v>
      </c>
      <c r="BG8" s="17">
        <v>6</v>
      </c>
      <c r="BH8" s="16" t="s">
        <v>5044</v>
      </c>
      <c r="BI8" s="16" t="s">
        <v>1104</v>
      </c>
      <c r="BJ8" s="16">
        <v>6</v>
      </c>
      <c r="BK8" s="21">
        <v>569033.94999999995</v>
      </c>
      <c r="BL8" s="21">
        <v>83347.989999999962</v>
      </c>
      <c r="BN8" s="17">
        <v>6</v>
      </c>
      <c r="BO8" s="28" t="s">
        <v>3701</v>
      </c>
      <c r="BP8" s="29" t="s">
        <v>372</v>
      </c>
      <c r="BQ8" s="29">
        <v>4</v>
      </c>
      <c r="BR8" s="30">
        <v>688035.24</v>
      </c>
      <c r="BS8" s="30">
        <v>83323.209999999977</v>
      </c>
      <c r="CK8" s="31" t="s">
        <v>1203</v>
      </c>
      <c r="CL8" s="29" t="s">
        <v>1204</v>
      </c>
      <c r="CM8" s="16">
        <f>COUNTIF(RawData[Salesperson_ID],CK8)</f>
        <v>317</v>
      </c>
      <c r="CN8" s="16">
        <f>SUMIF(RawData[Salesperson_ID],CK8,RawData[Quantity])</f>
        <v>923</v>
      </c>
      <c r="CO8" s="21">
        <f>SUMIF(RawData[Salesperson_ID],CK8,RawData[Revenue])</f>
        <v>13496038.07</v>
      </c>
      <c r="CP8" s="21">
        <f>SUMIF(RawData[Salesperson_ID],CK8,RawData[Profit])</f>
        <v>1765422.1400000001</v>
      </c>
      <c r="CQ8" s="16">
        <f t="shared" si="14"/>
        <v>0.13081040012211526</v>
      </c>
      <c r="CR8" s="16">
        <f t="shared" si="15"/>
        <v>42574.252586750787</v>
      </c>
      <c r="CS8" s="16" t="str">
        <f>"₹"&amp;TEXT(Table29[[#This Row],[Revenue]]/10000000,"0.00")&amp;" Cr"</f>
        <v>₹1.35 Cr</v>
      </c>
      <c r="CU8" s="31" t="s">
        <v>7</v>
      </c>
      <c r="CV8" s="32" t="s">
        <v>8</v>
      </c>
      <c r="CW8" s="18">
        <f>COUNTIF(RawData[City],CU8)</f>
        <v>251</v>
      </c>
      <c r="CX8" s="18">
        <f>SUMIF(RawData[City],CU8,RawData[Quantity])</f>
        <v>777</v>
      </c>
      <c r="CY8" s="20">
        <f>SUMIF(RawData[City],CU8,RawData[Revenue])</f>
        <v>11014918.529999988</v>
      </c>
      <c r="CZ8" s="20">
        <f>SUMIF(RawData[City],CU8,RawData[Profit])</f>
        <v>1580572.9100000001</v>
      </c>
      <c r="DA8" s="18">
        <f t="shared" si="16"/>
        <v>0.1434938357188196</v>
      </c>
      <c r="DK8" s="2" t="s">
        <v>5138</v>
      </c>
      <c r="DL8" s="2" t="s">
        <v>64</v>
      </c>
      <c r="DM8" s="13">
        <f>SUMIFS(RawData[Revenue],RawData[Product_Category],Profit_Drop_Analysis[[#This Row],[Category]], RawData[Order_Date],"&gt;="&amp;DATE(2025,12,1),RawData[Order_Date],"&lt;"&amp;DATE(2026,1,1))</f>
        <v>49102.69999999999</v>
      </c>
      <c r="DN8" s="13">
        <f>SUMIFS(RawData[Profit],RawData[Product_Category],Profit_Drop_Analysis[[#This Row],[Category]], RawData[Order_Date],"&gt;="&amp;DATE(2025,12,1),RawData[Order_Date],"&lt;"&amp;DATE(2026,1,1))</f>
        <v>13364.000000000004</v>
      </c>
      <c r="DO8" s="82">
        <f t="shared" si="18"/>
        <v>0.27216425980648734</v>
      </c>
      <c r="DQ8" t="s">
        <v>29</v>
      </c>
      <c r="DR8" s="21">
        <f>SUMIFS(RawData[Revenue],RawData[Product_Name],DQ8, RawData[Order_Date],"&gt;="&amp;DATE(2025,11,1),RawData[Order_Date],"&lt;"&amp;DATE(2025,12,1))</f>
        <v>230470</v>
      </c>
      <c r="DS8" s="21">
        <f>SUMIFS(RawData[Profit],RawData[Product_Name],DQ8, RawData[Order_Date],"&gt;="&amp;DATE(2025,11,1),RawData[Order_Date],"&lt;"&amp;DATE(2025,12,1))</f>
        <v>44270</v>
      </c>
      <c r="DT8" s="84">
        <f t="shared" si="19"/>
        <v>0.19208573784006594</v>
      </c>
      <c r="DU8" s="21">
        <f>SUMIFS(RawData[Revenue],RawData[Product_Name],DQ8, RawData[Order_Date],"&gt;="&amp;DATE(2025,12,1),RawData[Order_Date],"&lt;"&amp;DATE(2026,1,1))</f>
        <v>354825</v>
      </c>
      <c r="DV8" s="21">
        <f>SUMIFS(RawData[Profit],RawData[Product_Name],DQ8, RawData[Order_Date],"&gt;="&amp;DATE(2025,12,1),RawData[Order_Date],"&lt;"&amp;DATE(2026,1,1))</f>
        <v>68875</v>
      </c>
      <c r="DW8" s="84">
        <f>DV8/DU8</f>
        <v>0.19410977242302543</v>
      </c>
      <c r="DX8" s="84"/>
      <c r="DY8" s="49" t="s">
        <v>5132</v>
      </c>
      <c r="DZ8" s="46">
        <f t="shared" si="20"/>
        <v>6</v>
      </c>
      <c r="EA8" s="47">
        <f>SUMPRODUCT(--(MONTH(RawData[Order_Date])= DZ8))</f>
        <v>236</v>
      </c>
      <c r="EB8" s="47">
        <f>SUMPRODUCT((MONTH(RawData[Order_Date])=DZ8)*RawData[Quantity])</f>
        <v>720</v>
      </c>
      <c r="EC8" s="48">
        <f>SUMPRODUCT((MONTH(RawData[Order_Date])=DZ8)*RawData[Revenue])</f>
        <v>10428619.619999997</v>
      </c>
      <c r="ED8" s="48">
        <f>SUMPRODUCT((MONTH(RawData[Order_Date])=DZ8)*RawData[Profit])</f>
        <v>1539638.1199999987</v>
      </c>
      <c r="EE8" s="47">
        <f t="shared" si="3"/>
        <v>0.14763584981537559</v>
      </c>
      <c r="EG8" s="2" t="s">
        <v>54</v>
      </c>
      <c r="EH8" s="84">
        <f>VLOOKUP(EG8,Product_Analysis[[Product]:[Profit Margin]],7,FALSE)</f>
        <v>0.1419721084555963</v>
      </c>
      <c r="EI8" s="86">
        <v>5.4940186087726939E-2</v>
      </c>
      <c r="EJ8" s="3">
        <f>AVERAGEIFS(RawData[Discount%],RawData[Product_Name],EG8,RawData[Order_Date],"&gt;="&amp;DATE(2025,11,1),RawData[Order_Date],"&lt;"&amp;DATE(2025,12,1))</f>
        <v>17</v>
      </c>
      <c r="EK8" s="88">
        <v>5.9203810820006683E-2</v>
      </c>
      <c r="EL8" s="3">
        <f>AVERAGEIFS(RawData[Discount%],RawData[Product_Name],EG8,RawData[Order_Date],"&gt;="&amp;DATE(2025,12,1),RawData[Order_Date],"&lt;"&amp;DATE(2026,1,1))</f>
        <v>15.5</v>
      </c>
    </row>
    <row r="9" spans="1:142" s="35" customFormat="1" ht="14.25" customHeight="1" x14ac:dyDescent="0.25">
      <c r="A9" s="35" t="s">
        <v>5115</v>
      </c>
      <c r="B9" s="40">
        <f>SUM(RawData[Revenue])</f>
        <v>124079067.76000008</v>
      </c>
      <c r="C9" s="3"/>
      <c r="L9" s="43" t="s">
        <v>5133</v>
      </c>
      <c r="M9" s="43">
        <f t="shared" si="5"/>
        <v>7</v>
      </c>
      <c r="N9" s="44">
        <f>SUMPRODUCT(--(MONTH(RawData[Order_Date])= M9))</f>
        <v>246</v>
      </c>
      <c r="O9" s="44">
        <f>SUMPRODUCT((MONTH(RawData[Order_Date])=M9)*RawData[Quantity])</f>
        <v>754</v>
      </c>
      <c r="P9" s="45">
        <f>SUMPRODUCT((MONTH(RawData[Order_Date])=M9)*RawData[Revenue])</f>
        <v>11213253.190000001</v>
      </c>
      <c r="Q9" s="45">
        <f>SUMPRODUCT((MONTH(RawData[Order_Date])=M9)*RawData[Profit])</f>
        <v>1653414.4099999995</v>
      </c>
      <c r="R9" s="44">
        <f t="shared" si="0"/>
        <v>0.1474518038596076</v>
      </c>
      <c r="AD9" s="2" t="s">
        <v>137</v>
      </c>
      <c r="AE9" s="2" t="s">
        <v>22</v>
      </c>
      <c r="AF9" s="3">
        <f>COUNTIF(RawData[Product_Name],AD9)</f>
        <v>146</v>
      </c>
      <c r="AG9" s="3">
        <f>SUMIF(RawData[Product_Name],AD9,RawData[Quantity])</f>
        <v>474</v>
      </c>
      <c r="AH9" s="13">
        <f>SUMIF(RawData[Product_Name],AD9,RawData[Revenue])</f>
        <v>3027513</v>
      </c>
      <c r="AI9" s="13">
        <f>SUMIF(RawData[Product_Name],AD9,RawData[Profit])</f>
        <v>312915</v>
      </c>
      <c r="AJ9" s="3">
        <f t="shared" si="7"/>
        <v>0.10335711192652187</v>
      </c>
      <c r="AL9" s="35" t="s">
        <v>2444</v>
      </c>
      <c r="AM9" s="35" t="s">
        <v>367</v>
      </c>
      <c r="AN9" s="35">
        <f>COUNTIF(RawData[Customer_ID],AL9)</f>
        <v>2</v>
      </c>
      <c r="AO9" s="35">
        <f>SUMIF(RawData[Customer_ID],AL9,RawData[Quantity])</f>
        <v>7</v>
      </c>
      <c r="AP9" s="36">
        <f>SUMIF(RawData[Customer_ID],AL9,RawData[Revenue])</f>
        <v>18424.5</v>
      </c>
      <c r="AQ9" s="36">
        <f>SUMIF(RawData[Customer_ID],AL9,RawData[Profit])</f>
        <v>5327</v>
      </c>
      <c r="AR9" s="35">
        <f t="shared" si="1"/>
        <v>9212.25</v>
      </c>
      <c r="AS9" s="35" t="str">
        <f t="shared" si="2"/>
        <v>Occasional</v>
      </c>
      <c r="AW9" s="41">
        <f>SUM(Top_10_customers_by_revenue[Revenue])/SUM(Customer_Analysis[Revenue])</f>
        <v>4.6139923061588248E-2</v>
      </c>
      <c r="AX9" s="42"/>
      <c r="BG9" s="2">
        <v>7</v>
      </c>
      <c r="BH9" s="35" t="s">
        <v>2371</v>
      </c>
      <c r="BI9" s="35" t="s">
        <v>681</v>
      </c>
      <c r="BJ9" s="35">
        <v>5</v>
      </c>
      <c r="BK9" s="36">
        <v>519493.95999999996</v>
      </c>
      <c r="BL9" s="36">
        <v>59319.53</v>
      </c>
      <c r="BN9" s="2">
        <v>7</v>
      </c>
      <c r="BO9" s="37" t="s">
        <v>2390</v>
      </c>
      <c r="BP9" s="38" t="s">
        <v>994</v>
      </c>
      <c r="BQ9" s="38">
        <v>6</v>
      </c>
      <c r="BR9" s="39">
        <v>464198.70999999996</v>
      </c>
      <c r="BS9" s="39">
        <v>79057.389999999985</v>
      </c>
      <c r="CK9" s="10" t="s">
        <v>1205</v>
      </c>
      <c r="CL9" s="38" t="s">
        <v>1206</v>
      </c>
      <c r="CM9" s="35">
        <f>COUNTIF(RawData[Salesperson_ID],CK9)</f>
        <v>309</v>
      </c>
      <c r="CN9" s="35">
        <f>SUMIF(RawData[Salesperson_ID],CK9,RawData[Quantity])</f>
        <v>948</v>
      </c>
      <c r="CO9" s="36">
        <f>SUMIF(RawData[Salesperson_ID],CK9,RawData[Revenue])</f>
        <v>13439274.909999998</v>
      </c>
      <c r="CP9" s="36">
        <f>SUMIF(RawData[Salesperson_ID],CK9,RawData[Profit])</f>
        <v>1868245.7199999995</v>
      </c>
      <c r="CQ9" s="35">
        <f t="shared" si="14"/>
        <v>0.13901387779558411</v>
      </c>
      <c r="CR9" s="35">
        <f t="shared" si="15"/>
        <v>43492.799061488666</v>
      </c>
      <c r="CS9" s="16" t="str">
        <f>"₹"&amp;TEXT(Table29[[#This Row],[Revenue]]/10000000,"0.00")&amp;" Cr"</f>
        <v>₹1.34 Cr</v>
      </c>
      <c r="CU9" s="10" t="s">
        <v>9</v>
      </c>
      <c r="CV9" s="11" t="s">
        <v>8</v>
      </c>
      <c r="CW9" s="3">
        <f>COUNTIF(RawData[City],CU9)</f>
        <v>245</v>
      </c>
      <c r="CX9" s="3">
        <f>SUMIF(RawData[City],CU9,RawData[Quantity])</f>
        <v>733</v>
      </c>
      <c r="CY9" s="13">
        <f>SUMIF(RawData[City],CU9,RawData[Revenue])</f>
        <v>9979978.299999997</v>
      </c>
      <c r="CZ9" s="13">
        <f>SUMIF(RawData[City],CU9,RawData[Profit])</f>
        <v>1382733.6099999996</v>
      </c>
      <c r="DA9" s="3">
        <f t="shared" si="16"/>
        <v>0.13855076318151915</v>
      </c>
      <c r="DQ9" t="s">
        <v>137</v>
      </c>
      <c r="DR9" s="21">
        <f>SUMIFS(RawData[Revenue],RawData[Product_Name],DQ9, RawData[Order_Date],"&gt;="&amp;DATE(2025,11,1),RawData[Order_Date],"&lt;"&amp;DATE(2025,12,1))</f>
        <v>260751</v>
      </c>
      <c r="DS9" s="21">
        <f>SUMIFS(RawData[Profit],RawData[Product_Name],DQ9, RawData[Order_Date],"&gt;="&amp;DATE(2025,11,1),RawData[Order_Date],"&lt;"&amp;DATE(2025,12,1))</f>
        <v>8763</v>
      </c>
      <c r="DT9" s="84">
        <f t="shared" si="19"/>
        <v>3.3606774278909762E-2</v>
      </c>
      <c r="DU9" s="21">
        <f>SUMIFS(RawData[Revenue],RawData[Product_Name],DQ9, RawData[Order_Date],"&gt;="&amp;DATE(2025,12,1),RawData[Order_Date],"&lt;"&amp;DATE(2026,1,1))</f>
        <v>202929</v>
      </c>
      <c r="DV9" s="21">
        <f>SUMIFS(RawData[Profit],RawData[Product_Name],DQ9, RawData[Order_Date],"&gt;="&amp;DATE(2025,12,1),RawData[Order_Date],"&lt;"&amp;DATE(2026,1,1))</f>
        <v>8211</v>
      </c>
      <c r="DW9" s="84">
        <f>DV9/DU9</f>
        <v>4.046242774566474E-2</v>
      </c>
      <c r="DX9" s="84"/>
      <c r="DY9" s="43" t="s">
        <v>5133</v>
      </c>
      <c r="DZ9" s="43">
        <f t="shared" si="20"/>
        <v>7</v>
      </c>
      <c r="EA9" s="44">
        <f>SUMPRODUCT(--(MONTH(RawData[Order_Date])= DZ9))</f>
        <v>246</v>
      </c>
      <c r="EB9" s="44">
        <f>SUMPRODUCT((MONTH(RawData[Order_Date])=DZ9)*RawData[Quantity])</f>
        <v>754</v>
      </c>
      <c r="EC9" s="45">
        <f>SUMPRODUCT((MONTH(RawData[Order_Date])=DZ9)*RawData[Revenue])</f>
        <v>11213253.190000001</v>
      </c>
      <c r="ED9" s="45">
        <f>SUMPRODUCT((MONTH(RawData[Order_Date])=DZ9)*RawData[Profit])</f>
        <v>1653414.4099999995</v>
      </c>
      <c r="EE9" s="44">
        <f t="shared" si="3"/>
        <v>0.1474518038596076</v>
      </c>
      <c r="EG9" s="2" t="s">
        <v>56</v>
      </c>
      <c r="EH9" s="84">
        <f>VLOOKUP(EG9,Product_Analysis[[Product]:[Profit Margin]],7,FALSE)</f>
        <v>0.1369055282333857</v>
      </c>
      <c r="EI9" s="89">
        <v>3.75</v>
      </c>
      <c r="EJ9" s="3">
        <f>AVERAGEIFS(RawData[Discount%],RawData[Product_Name],EG9,RawData[Order_Date],"&gt;="&amp;DATE(2025,11,1),RawData[Order_Date],"&lt;"&amp;DATE(2025,12,1))</f>
        <v>16.75</v>
      </c>
      <c r="EK9" s="87">
        <v>5.6300268096514706E-2</v>
      </c>
      <c r="EL9" s="3">
        <f>AVERAGEIFS(RawData[Discount%],RawData[Product_Name],EG9,RawData[Order_Date],"&gt;="&amp;DATE(2025,12,1),RawData[Order_Date],"&lt;"&amp;DATE(2026,1,1))</f>
        <v>15.125</v>
      </c>
    </row>
    <row r="10" spans="1:142" x14ac:dyDescent="0.25">
      <c r="A10" s="16" t="s">
        <v>5116</v>
      </c>
      <c r="B10" s="34">
        <f>SUM(RawData[Total_Cost])</f>
        <v>106960294.58999996</v>
      </c>
      <c r="C10" s="18"/>
      <c r="L10" s="49" t="s">
        <v>5134</v>
      </c>
      <c r="M10" s="46">
        <f t="shared" si="5"/>
        <v>8</v>
      </c>
      <c r="N10" s="47">
        <f>SUMPRODUCT(--(MONTH(RawData[Order_Date])= M10))</f>
        <v>246</v>
      </c>
      <c r="O10" s="47">
        <f>SUMPRODUCT((MONTH(RawData[Order_Date])=M10)*RawData[Quantity])</f>
        <v>738</v>
      </c>
      <c r="P10" s="48">
        <f>SUMPRODUCT((MONTH(RawData[Order_Date])=M10)*RawData[Revenue])</f>
        <v>10899166.059999993</v>
      </c>
      <c r="Q10" s="48">
        <f>SUMPRODUCT((MONTH(RawData[Order_Date])=M10)*RawData[Profit])</f>
        <v>1601285.8299999998</v>
      </c>
      <c r="R10" s="47">
        <f t="shared" si="0"/>
        <v>0.14691819733591627</v>
      </c>
      <c r="AD10" s="17" t="s">
        <v>136</v>
      </c>
      <c r="AE10" s="17" t="s">
        <v>22</v>
      </c>
      <c r="AF10" s="18">
        <f>COUNTIF(RawData[Product_Name],AD10)</f>
        <v>126</v>
      </c>
      <c r="AG10" s="18">
        <f>SUMIF(RawData[Product_Name],AD10,RawData[Quantity])</f>
        <v>366</v>
      </c>
      <c r="AH10" s="20">
        <f>SUMIF(RawData[Product_Name],AD10,RawData[Revenue])</f>
        <v>1221138.5</v>
      </c>
      <c r="AI10" s="20">
        <f>SUMIF(RawData[Product_Name],AD10,RawData[Profit])</f>
        <v>367077.50000000006</v>
      </c>
      <c r="AJ10" s="18">
        <f t="shared" si="7"/>
        <v>0.30060267529031315</v>
      </c>
      <c r="AL10" s="16" t="s">
        <v>2129</v>
      </c>
      <c r="AM10" s="16" t="s">
        <v>368</v>
      </c>
      <c r="AN10" s="16">
        <f>COUNTIF(RawData[Customer_ID],AL10)</f>
        <v>3</v>
      </c>
      <c r="AO10" s="16">
        <f>SUMIF(RawData[Customer_ID],AL10,RawData[Quantity])</f>
        <v>8</v>
      </c>
      <c r="AP10" s="21">
        <f>SUMIF(RawData[Customer_ID],AL10,RawData[Revenue])</f>
        <v>40020.050000000003</v>
      </c>
      <c r="AQ10" s="21">
        <f>SUMIF(RawData[Customer_ID],AL10,RawData[Profit])</f>
        <v>10503.25</v>
      </c>
      <c r="AR10" s="16">
        <f t="shared" si="1"/>
        <v>13340.016666666668</v>
      </c>
      <c r="AS10" s="16" t="str">
        <f t="shared" si="2"/>
        <v>Occasional</v>
      </c>
      <c r="BG10" s="17">
        <v>8</v>
      </c>
      <c r="BH10" s="16" t="s">
        <v>1513</v>
      </c>
      <c r="BI10" s="16" t="s">
        <v>647</v>
      </c>
      <c r="BJ10" s="16">
        <v>7</v>
      </c>
      <c r="BK10" s="21">
        <v>513962.99000000005</v>
      </c>
      <c r="BL10" s="21">
        <v>88176.919999999984</v>
      </c>
      <c r="BN10" s="17">
        <v>8</v>
      </c>
      <c r="BO10" s="28" t="s">
        <v>1376</v>
      </c>
      <c r="BP10" s="29" t="s">
        <v>1011</v>
      </c>
      <c r="BQ10" s="29">
        <v>7</v>
      </c>
      <c r="BR10" s="30">
        <v>427904.55</v>
      </c>
      <c r="BS10" s="30">
        <v>74736.75</v>
      </c>
      <c r="CK10" s="31" t="s">
        <v>1207</v>
      </c>
      <c r="CL10" s="29" t="s">
        <v>1208</v>
      </c>
      <c r="CM10" s="16">
        <f>COUNTIF(RawData[Salesperson_ID],CK10)</f>
        <v>305</v>
      </c>
      <c r="CN10" s="16">
        <f>SUMIF(RawData[Salesperson_ID],CK10,RawData[Quantity])</f>
        <v>926</v>
      </c>
      <c r="CO10" s="21">
        <f>SUMIF(RawData[Salesperson_ID],CK10,RawData[Revenue])</f>
        <v>14729426.799999997</v>
      </c>
      <c r="CP10" s="21">
        <f>SUMIF(RawData[Salesperson_ID],CK10,RawData[Profit])</f>
        <v>2074756.4199999981</v>
      </c>
      <c r="CQ10" s="16">
        <f t="shared" si="14"/>
        <v>0.14085791987506252</v>
      </c>
      <c r="CR10" s="16">
        <f t="shared" si="15"/>
        <v>48293.202622950812</v>
      </c>
      <c r="CS10" s="16" t="str">
        <f>"₹"&amp;TEXT(Table29[[#This Row],[Revenue]]/10000000,"0.00")&amp;" Cr"</f>
        <v>₹1.47 Cr</v>
      </c>
      <c r="CU10" s="31" t="s">
        <v>10</v>
      </c>
      <c r="CV10" s="32" t="s">
        <v>8</v>
      </c>
      <c r="CW10" s="18">
        <f>COUNTIF(RawData[City],CU10)</f>
        <v>253</v>
      </c>
      <c r="CX10" s="18">
        <f>SUMIF(RawData[City],CU10,RawData[Quantity])</f>
        <v>761</v>
      </c>
      <c r="CY10" s="20">
        <f>SUMIF(RawData[City],CU10,RawData[Revenue])</f>
        <v>10226360.149999999</v>
      </c>
      <c r="CZ10" s="20">
        <f>SUMIF(RawData[City],CU10,RawData[Profit])</f>
        <v>1381784.4699999995</v>
      </c>
      <c r="DA10" s="18">
        <f t="shared" si="16"/>
        <v>0.13511987156055713</v>
      </c>
      <c r="DQ10" t="s">
        <v>136</v>
      </c>
      <c r="DR10" s="21">
        <f>SUMIFS(RawData[Revenue],RawData[Product_Name],DQ10, RawData[Order_Date],"&gt;="&amp;DATE(2025,11,1),RawData[Order_Date],"&lt;"&amp;DATE(2025,12,1))</f>
        <v>110248.90000000001</v>
      </c>
      <c r="DS10" s="21">
        <f>SUMIFS(RawData[Profit],RawData[Product_Name],DQ10, RawData[Order_Date],"&gt;="&amp;DATE(2025,11,1),RawData[Order_Date],"&lt;"&amp;DATE(2025,12,1))</f>
        <v>26242.900000000005</v>
      </c>
      <c r="DT10" s="84">
        <f t="shared" si="19"/>
        <v>0.23803321393682841</v>
      </c>
      <c r="DU10" s="21">
        <f>SUMIFS(RawData[Revenue],RawData[Product_Name],DQ10, RawData[Order_Date],"&gt;="&amp;DATE(2025,12,1),RawData[Order_Date],"&lt;"&amp;DATE(2026,1,1))</f>
        <v>78010.7</v>
      </c>
      <c r="DV10" s="21">
        <f>SUMIFS(RawData[Profit],RawData[Product_Name],DQ10, RawData[Order_Date],"&gt;="&amp;DATE(2025,12,1),RawData[Order_Date],"&lt;"&amp;DATE(2026,1,1))</f>
        <v>19673.199999999997</v>
      </c>
      <c r="DW10" s="84">
        <f>DV10/DU10</f>
        <v>0.25218591808559593</v>
      </c>
      <c r="DX10" s="84"/>
      <c r="DY10" s="49" t="s">
        <v>5134</v>
      </c>
      <c r="DZ10" s="46">
        <f t="shared" si="20"/>
        <v>8</v>
      </c>
      <c r="EA10" s="47">
        <f>SUMPRODUCT(--(MONTH(RawData[Order_Date])= DZ10))</f>
        <v>246</v>
      </c>
      <c r="EB10" s="47">
        <f>SUMPRODUCT((MONTH(RawData[Order_Date])=DZ10)*RawData[Quantity])</f>
        <v>738</v>
      </c>
      <c r="EC10" s="48">
        <f>SUMPRODUCT((MONTH(RawData[Order_Date])=DZ10)*RawData[Revenue])</f>
        <v>10899166.059999993</v>
      </c>
      <c r="ED10" s="48">
        <f>SUMPRODUCT((MONTH(RawData[Order_Date])=DZ10)*RawData[Profit])</f>
        <v>1601285.8299999998</v>
      </c>
      <c r="EE10" s="47">
        <f t="shared" si="3"/>
        <v>0.14691819733591627</v>
      </c>
    </row>
    <row r="11" spans="1:142" ht="30" x14ac:dyDescent="0.25">
      <c r="A11" s="16" t="s">
        <v>5117</v>
      </c>
      <c r="B11" s="34">
        <f>SUM(RawData[Profit])</f>
        <v>17118773.169999994</v>
      </c>
      <c r="C11" s="18"/>
      <c r="L11" s="43" t="s">
        <v>5135</v>
      </c>
      <c r="M11" s="43">
        <f t="shared" si="5"/>
        <v>9</v>
      </c>
      <c r="N11" s="44">
        <f>SUMPRODUCT(--(MONTH(RawData[Order_Date])= M11))</f>
        <v>252</v>
      </c>
      <c r="O11" s="44">
        <f>SUMPRODUCT((MONTH(RawData[Order_Date])=M11)*RawData[Quantity])</f>
        <v>762</v>
      </c>
      <c r="P11" s="45">
        <f>SUMPRODUCT((MONTH(RawData[Order_Date])=M11)*RawData[Revenue])</f>
        <v>10035486.329999998</v>
      </c>
      <c r="Q11" s="45">
        <f>SUMPRODUCT((MONTH(RawData[Order_Date])=M11)*RawData[Profit])</f>
        <v>1510084.0099999998</v>
      </c>
      <c r="R11" s="44">
        <f t="shared" si="0"/>
        <v>0.1504744224986653</v>
      </c>
      <c r="AD11" s="17" t="s">
        <v>37</v>
      </c>
      <c r="AE11" s="17" t="s">
        <v>22</v>
      </c>
      <c r="AF11" s="18">
        <f>COUNTIF(RawData[Product_Name],AD11)</f>
        <v>149</v>
      </c>
      <c r="AG11" s="18">
        <f>SUMIF(RawData[Product_Name],AD11,RawData[Quantity])</f>
        <v>431</v>
      </c>
      <c r="AH11" s="20">
        <f>SUMIF(RawData[Product_Name],AD11,RawData[Revenue])</f>
        <v>658581</v>
      </c>
      <c r="AI11" s="20">
        <f>SUMIF(RawData[Product_Name],AD11,RawData[Profit])</f>
        <v>231891</v>
      </c>
      <c r="AJ11" s="18">
        <f t="shared" si="7"/>
        <v>0.3521070301147467</v>
      </c>
      <c r="AL11" s="16" t="s">
        <v>2027</v>
      </c>
      <c r="AM11" s="16" t="s">
        <v>369</v>
      </c>
      <c r="AN11" s="16">
        <f>COUNTIF(RawData[Customer_ID],AL11)</f>
        <v>3</v>
      </c>
      <c r="AO11" s="16">
        <f>SUMIF(RawData[Customer_ID],AL11,RawData[Quantity])</f>
        <v>13</v>
      </c>
      <c r="AP11" s="21">
        <f>SUMIF(RawData[Customer_ID],AL11,RawData[Revenue])</f>
        <v>366981.94</v>
      </c>
      <c r="AQ11" s="21">
        <f>SUMIF(RawData[Customer_ID],AL11,RawData[Profit])</f>
        <v>38469.239999999991</v>
      </c>
      <c r="AR11" s="16">
        <f t="shared" si="1"/>
        <v>122327.31333333334</v>
      </c>
      <c r="AS11" s="16" t="str">
        <f t="shared" si="2"/>
        <v>Occasional</v>
      </c>
      <c r="BG11" s="17">
        <v>9</v>
      </c>
      <c r="BH11" s="16" t="s">
        <v>2392</v>
      </c>
      <c r="BI11" s="16" t="s">
        <v>667</v>
      </c>
      <c r="BJ11" s="16">
        <v>10</v>
      </c>
      <c r="BK11" s="21">
        <v>506960.31000000006</v>
      </c>
      <c r="BL11" s="21">
        <v>83565.66</v>
      </c>
      <c r="BN11" s="17">
        <v>9</v>
      </c>
      <c r="BO11" s="23" t="s">
        <v>2250</v>
      </c>
      <c r="BP11" s="24" t="s">
        <v>983</v>
      </c>
      <c r="BQ11" s="24">
        <v>6</v>
      </c>
      <c r="BR11" s="25">
        <v>582797.78999999992</v>
      </c>
      <c r="BS11" s="25">
        <v>73254.609999999971</v>
      </c>
      <c r="CK11" s="26" t="s">
        <v>1209</v>
      </c>
      <c r="CL11" s="24" t="s">
        <v>1210</v>
      </c>
      <c r="CM11" s="16">
        <f>COUNTIF(RawData[Salesperson_ID],CK11)</f>
        <v>281</v>
      </c>
      <c r="CN11" s="16">
        <f>SUMIF(RawData[Salesperson_ID],CK11,RawData[Quantity])</f>
        <v>850</v>
      </c>
      <c r="CO11" s="21">
        <f>SUMIF(RawData[Salesperson_ID],CK11,RawData[Revenue])</f>
        <v>11373642.599999996</v>
      </c>
      <c r="CP11" s="21">
        <f>SUMIF(RawData[Salesperson_ID],CK11,RawData[Profit])</f>
        <v>1570241.9899999995</v>
      </c>
      <c r="CQ11" s="16">
        <f t="shared" si="14"/>
        <v>0.13805972679324388</v>
      </c>
      <c r="CR11" s="16">
        <f t="shared" si="15"/>
        <v>40475.596441281123</v>
      </c>
      <c r="CS11" s="16" t="str">
        <f>"₹"&amp;TEXT(Table29[[#This Row],[Revenue]]/10000000,"0.00")&amp;" Cr"</f>
        <v>₹1.14 Cr</v>
      </c>
      <c r="CU11" s="26" t="s">
        <v>16</v>
      </c>
      <c r="CV11" s="27" t="s">
        <v>15</v>
      </c>
      <c r="CW11" s="18">
        <f>COUNTIF(RawData[City],CU11)</f>
        <v>242</v>
      </c>
      <c r="CX11" s="18">
        <f>SUMIF(RawData[City],CU11,RawData[Quantity])</f>
        <v>759</v>
      </c>
      <c r="CY11" s="20">
        <f>SUMIF(RawData[City],CU11,RawData[Revenue])</f>
        <v>11141384.450000005</v>
      </c>
      <c r="CZ11" s="20">
        <f>SUMIF(RawData[City],CU11,RawData[Profit])</f>
        <v>1452416.1099999999</v>
      </c>
      <c r="DA11" s="18">
        <f t="shared" si="16"/>
        <v>0.1303622648081226</v>
      </c>
      <c r="DQ11" t="s">
        <v>37</v>
      </c>
      <c r="DR11" s="21">
        <f>SUMIFS(RawData[Revenue],RawData[Product_Name],DQ11, RawData[Order_Date],"&gt;="&amp;DATE(2025,11,1),RawData[Order_Date],"&lt;"&amp;DATE(2025,12,1))</f>
        <v>67534.5</v>
      </c>
      <c r="DS11" s="21">
        <f>SUMIFS(RawData[Profit],RawData[Product_Name],DQ11, RawData[Order_Date],"&gt;="&amp;DATE(2025,11,1),RawData[Order_Date],"&lt;"&amp;DATE(2025,12,1))</f>
        <v>21004.5</v>
      </c>
      <c r="DT11" s="84">
        <f t="shared" si="19"/>
        <v>0.31101881260688979</v>
      </c>
      <c r="DU11" s="21">
        <f>SUMIFS(RawData[Revenue],RawData[Product_Name],DQ11, RawData[Order_Date],"&gt;="&amp;DATE(2025,12,1),RawData[Order_Date],"&lt;"&amp;DATE(2026,1,1))</f>
        <v>36514.5</v>
      </c>
      <c r="DV11" s="21">
        <f>SUMIFS(RawData[Profit],RawData[Product_Name],DQ11, RawData[Order_Date],"&gt;="&amp;DATE(2025,12,1),RawData[Order_Date],"&lt;"&amp;DATE(2026,1,1))</f>
        <v>10774.5</v>
      </c>
      <c r="DW11" s="84">
        <f>DV11/DU11</f>
        <v>0.29507455942159966</v>
      </c>
      <c r="DX11" s="84"/>
      <c r="DY11" s="43" t="s">
        <v>5135</v>
      </c>
      <c r="DZ11" s="43">
        <f t="shared" si="20"/>
        <v>9</v>
      </c>
      <c r="EA11" s="44">
        <f>SUMPRODUCT(--(MONTH(RawData[Order_Date])= DZ11))</f>
        <v>252</v>
      </c>
      <c r="EB11" s="44">
        <f>SUMPRODUCT((MONTH(RawData[Order_Date])=DZ11)*RawData[Quantity])</f>
        <v>762</v>
      </c>
      <c r="EC11" s="45">
        <f>SUMPRODUCT((MONTH(RawData[Order_Date])=DZ11)*RawData[Revenue])</f>
        <v>10035486.329999998</v>
      </c>
      <c r="ED11" s="45">
        <f>SUMPRODUCT((MONTH(RawData[Order_Date])=DZ11)*RawData[Profit])</f>
        <v>1510084.0099999998</v>
      </c>
      <c r="EE11" s="44">
        <f t="shared" si="3"/>
        <v>0.1504744224986653</v>
      </c>
    </row>
    <row r="12" spans="1:142" x14ac:dyDescent="0.25">
      <c r="A12" s="16" t="s">
        <v>5118</v>
      </c>
      <c r="B12" s="16">
        <f>SUM(RawData[Revenue])/COUNTA(RawData[Order_ID])</f>
        <v>41359.689253333359</v>
      </c>
      <c r="L12" s="49" t="s">
        <v>5136</v>
      </c>
      <c r="M12" s="46">
        <f t="shared" si="5"/>
        <v>10</v>
      </c>
      <c r="N12" s="47">
        <f>SUMPRODUCT(--(MONTH(RawData[Order_Date])= M12))</f>
        <v>270</v>
      </c>
      <c r="O12" s="47">
        <f>SUMPRODUCT((MONTH(RawData[Order_Date])=M12)*RawData[Quantity])</f>
        <v>814</v>
      </c>
      <c r="P12" s="48">
        <f>SUMPRODUCT((MONTH(RawData[Order_Date])=M12)*RawData[Revenue])</f>
        <v>11273306.720000003</v>
      </c>
      <c r="Q12" s="48">
        <f>SUMPRODUCT((MONTH(RawData[Order_Date])=M12)*RawData[Profit])</f>
        <v>1741041.3800000001</v>
      </c>
      <c r="R12" s="47">
        <f t="shared" si="0"/>
        <v>0.15443928061597173</v>
      </c>
      <c r="AD12" s="17" t="s">
        <v>39</v>
      </c>
      <c r="AE12" s="17" t="s">
        <v>22</v>
      </c>
      <c r="AF12" s="18">
        <f>COUNTIF(RawData[Product_Name],AD12)</f>
        <v>139</v>
      </c>
      <c r="AG12" s="18">
        <f>SUMIF(RawData[Product_Name],AD12,RawData[Quantity])</f>
        <v>426</v>
      </c>
      <c r="AH12" s="20">
        <f>SUMIF(RawData[Product_Name],AD12,RawData[Revenue])</f>
        <v>433587</v>
      </c>
      <c r="AI12" s="20">
        <f>SUMIF(RawData[Product_Name],AD12,RawData[Profit])</f>
        <v>128997</v>
      </c>
      <c r="AJ12" s="18">
        <f t="shared" si="7"/>
        <v>0.29751122612070935</v>
      </c>
      <c r="AL12" s="16" t="s">
        <v>3438</v>
      </c>
      <c r="AM12" s="16" t="s">
        <v>370</v>
      </c>
      <c r="AN12" s="16">
        <f>COUNTIF(RawData[Customer_ID],AL12)</f>
        <v>3</v>
      </c>
      <c r="AO12" s="16">
        <f>SUMIF(RawData[Customer_ID],AL12,RawData[Quantity])</f>
        <v>8</v>
      </c>
      <c r="AP12" s="21">
        <f>SUMIF(RawData[Customer_ID],AL12,RawData[Revenue])</f>
        <v>33153.4</v>
      </c>
      <c r="AQ12" s="21">
        <f>SUMIF(RawData[Customer_ID],AL12,RawData[Profit])</f>
        <v>6731.2800000000025</v>
      </c>
      <c r="AR12" s="16">
        <f t="shared" si="1"/>
        <v>11051.133333333333</v>
      </c>
      <c r="AS12" s="16" t="str">
        <f t="shared" si="2"/>
        <v>Occasional</v>
      </c>
      <c r="BG12" s="17">
        <v>10</v>
      </c>
      <c r="BH12" s="16" t="s">
        <v>1975</v>
      </c>
      <c r="BI12" s="16" t="s">
        <v>431</v>
      </c>
      <c r="BJ12" s="16">
        <v>7</v>
      </c>
      <c r="BK12" s="21">
        <v>505946.16000000003</v>
      </c>
      <c r="BL12" s="21">
        <v>62247.41</v>
      </c>
      <c r="BN12" s="17">
        <v>10</v>
      </c>
      <c r="BO12" s="28" t="s">
        <v>1981</v>
      </c>
      <c r="BP12" s="29" t="s">
        <v>1137</v>
      </c>
      <c r="BQ12" s="29">
        <v>6</v>
      </c>
      <c r="BR12" s="30">
        <v>476531.68</v>
      </c>
      <c r="BS12" s="30">
        <v>70147.100000000006</v>
      </c>
      <c r="CK12" s="31" t="s">
        <v>1211</v>
      </c>
      <c r="CL12" s="29" t="s">
        <v>1212</v>
      </c>
      <c r="CM12" s="16">
        <f>COUNTIF(RawData[Salesperson_ID],CK12)</f>
        <v>266</v>
      </c>
      <c r="CN12" s="16">
        <f>SUMIF(RawData[Salesperson_ID],CK12,RawData[Quantity])</f>
        <v>833</v>
      </c>
      <c r="CO12" s="21">
        <f>SUMIF(RawData[Salesperson_ID],CK12,RawData[Revenue])</f>
        <v>10408076.679999994</v>
      </c>
      <c r="CP12" s="21">
        <f>SUMIF(RawData[Salesperson_ID],CK12,RawData[Profit])</f>
        <v>1439303.17</v>
      </c>
      <c r="CQ12" s="16">
        <f t="shared" si="14"/>
        <v>0.13828714125115388</v>
      </c>
      <c r="CR12" s="16">
        <f t="shared" si="15"/>
        <v>39128.107819548852</v>
      </c>
      <c r="CS12" s="16" t="str">
        <f>"₹"&amp;TEXT(Table29[[#This Row],[Revenue]]/10000000,"0.00")&amp;" Cr"</f>
        <v>₹1.04 Cr</v>
      </c>
      <c r="CU12" s="31" t="s">
        <v>17</v>
      </c>
      <c r="CV12" s="32" t="s">
        <v>15</v>
      </c>
      <c r="CW12" s="18">
        <f>COUNTIF(RawData[City],CU12)</f>
        <v>267</v>
      </c>
      <c r="CX12" s="18">
        <f>SUMIF(RawData[City],CU12,RawData[Quantity])</f>
        <v>831</v>
      </c>
      <c r="CY12" s="20">
        <f>SUMIF(RawData[City],CU12,RawData[Revenue])</f>
        <v>11216201.489999995</v>
      </c>
      <c r="CZ12" s="20">
        <f>SUMIF(RawData[City],CU12,RawData[Profit])</f>
        <v>1548696.33</v>
      </c>
      <c r="DA12" s="18">
        <f t="shared" si="16"/>
        <v>0.13807672155147785</v>
      </c>
      <c r="DQ12" t="s">
        <v>39</v>
      </c>
      <c r="DR12" s="21">
        <f>SUMIFS(RawData[Revenue],RawData[Product_Name],DQ12, RawData[Order_Date],"&gt;="&amp;DATE(2025,11,1),RawData[Order_Date],"&lt;"&amp;DATE(2025,12,1))</f>
        <v>36091</v>
      </c>
      <c r="DS12" s="21">
        <f>SUMIFS(RawData[Profit],RawData[Product_Name],DQ12, RawData[Order_Date],"&gt;="&amp;DATE(2025,11,1),RawData[Order_Date],"&lt;"&amp;DATE(2025,12,1))</f>
        <v>8921</v>
      </c>
      <c r="DT12" s="84">
        <f t="shared" si="19"/>
        <v>0.24718073758000608</v>
      </c>
      <c r="DU12" s="21">
        <f>SUMIFS(RawData[Revenue],RawData[Product_Name],DQ12, RawData[Order_Date],"&gt;="&amp;DATE(2025,12,1),RawData[Order_Date],"&lt;"&amp;DATE(2026,1,1))</f>
        <v>36179</v>
      </c>
      <c r="DV12" s="21">
        <f>SUMIFS(RawData[Profit],RawData[Product_Name],DQ12, RawData[Order_Date],"&gt;="&amp;DATE(2025,12,1),RawData[Order_Date],"&lt;"&amp;DATE(2026,1,1))</f>
        <v>8294</v>
      </c>
      <c r="DW12" s="84">
        <f>DV12/DU12</f>
        <v>0.22924901185770752</v>
      </c>
      <c r="DX12" s="84"/>
      <c r="DY12" s="49" t="s">
        <v>5136</v>
      </c>
      <c r="DZ12" s="46">
        <f t="shared" si="20"/>
        <v>10</v>
      </c>
      <c r="EA12" s="47">
        <f>SUMPRODUCT(--(MONTH(RawData[Order_Date])= DZ12))</f>
        <v>270</v>
      </c>
      <c r="EB12" s="47">
        <f>SUMPRODUCT((MONTH(RawData[Order_Date])=DZ12)*RawData[Quantity])</f>
        <v>814</v>
      </c>
      <c r="EC12" s="48">
        <f>SUMPRODUCT((MONTH(RawData[Order_Date])=DZ12)*RawData[Revenue])</f>
        <v>11273306.720000003</v>
      </c>
      <c r="ED12" s="48">
        <f>SUMPRODUCT((MONTH(RawData[Order_Date])=DZ12)*RawData[Profit])</f>
        <v>1741041.3800000001</v>
      </c>
      <c r="EE12" s="47">
        <f t="shared" si="3"/>
        <v>0.15443928061597173</v>
      </c>
    </row>
    <row r="13" spans="1:142" ht="30" x14ac:dyDescent="0.25">
      <c r="A13" s="16" t="s">
        <v>5123</v>
      </c>
      <c r="B13" s="16">
        <f>SUM(RawData[Profit])/SUM(RawData[Revenue])</f>
        <v>0.1379666488396897</v>
      </c>
      <c r="L13" s="43" t="s">
        <v>5137</v>
      </c>
      <c r="M13" s="43">
        <f t="shared" si="5"/>
        <v>11</v>
      </c>
      <c r="N13" s="44">
        <f>SUMPRODUCT(--(MONTH(RawData[Order_Date])= M13))</f>
        <v>234</v>
      </c>
      <c r="O13" s="44">
        <f>SUMPRODUCT((MONTH(RawData[Order_Date])=M13)*RawData[Quantity])</f>
        <v>721</v>
      </c>
      <c r="P13" s="45">
        <f>SUMPRODUCT((MONTH(RawData[Order_Date])=M13)*RawData[Revenue])</f>
        <v>8908819.2800000012</v>
      </c>
      <c r="Q13" s="45">
        <f>SUMPRODUCT((MONTH(RawData[Order_Date])=M13)*RawData[Profit])</f>
        <v>623120.46999999962</v>
      </c>
      <c r="R13" s="44">
        <f t="shared" si="0"/>
        <v>6.9944226099510634E-2</v>
      </c>
      <c r="AD13" s="17" t="s">
        <v>52</v>
      </c>
      <c r="AE13" s="17" t="s">
        <v>43</v>
      </c>
      <c r="AF13" s="18">
        <f>COUNTIF(RawData[Product_Name],AD13)</f>
        <v>142</v>
      </c>
      <c r="AG13" s="18">
        <f>SUMIF(RawData[Product_Name],AD13,RawData[Quantity])</f>
        <v>427</v>
      </c>
      <c r="AH13" s="20">
        <f>SUMIF(RawData[Product_Name],AD13,RawData[Revenue])</f>
        <v>16882267.379999995</v>
      </c>
      <c r="AI13" s="20">
        <f>SUMIF(RawData[Product_Name],AD13,RawData[Profit])</f>
        <v>2561020.44</v>
      </c>
      <c r="AJ13" s="18">
        <f t="shared" si="7"/>
        <v>0.15169884366563094</v>
      </c>
      <c r="AL13" s="16" t="s">
        <v>2272</v>
      </c>
      <c r="AM13" s="16" t="s">
        <v>371</v>
      </c>
      <c r="AN13" s="16">
        <f>COUNTIF(RawData[Customer_ID],AL13)</f>
        <v>5</v>
      </c>
      <c r="AO13" s="16">
        <f>SUMIF(RawData[Customer_ID],AL13,RawData[Quantity])</f>
        <v>9</v>
      </c>
      <c r="AP13" s="21">
        <f>SUMIF(RawData[Customer_ID],AL13,RawData[Revenue])</f>
        <v>122879.73</v>
      </c>
      <c r="AQ13" s="21">
        <f>SUMIF(RawData[Customer_ID],AL13,RawData[Profit])</f>
        <v>18158.229999999996</v>
      </c>
      <c r="AR13" s="16">
        <f t="shared" si="1"/>
        <v>24575.946</v>
      </c>
      <c r="AS13" s="16" t="str">
        <f t="shared" si="2"/>
        <v>Loyal</v>
      </c>
      <c r="CM13" s="16">
        <f>SUM(CM3:CM12)</f>
        <v>3000</v>
      </c>
      <c r="CN13" s="16">
        <f t="shared" ref="CN13:CP13" si="24">SUM(CN3:CN12)</f>
        <v>9029</v>
      </c>
      <c r="CO13" s="21">
        <f t="shared" si="24"/>
        <v>124079067.75999998</v>
      </c>
      <c r="CP13" s="21">
        <f t="shared" si="24"/>
        <v>17118773.170000002</v>
      </c>
      <c r="CU13" s="26" t="s">
        <v>14</v>
      </c>
      <c r="CV13" s="27" t="s">
        <v>15</v>
      </c>
      <c r="CW13" s="18">
        <f>COUNTIF(RawData[City],CU13)</f>
        <v>274</v>
      </c>
      <c r="CX13" s="18">
        <f>SUMIF(RawData[City],CU13,RawData[Quantity])</f>
        <v>795</v>
      </c>
      <c r="CY13" s="20">
        <f>SUMIF(RawData[City],CU13,RawData[Revenue])</f>
        <v>9483438.8000000007</v>
      </c>
      <c r="CZ13" s="20">
        <f>SUMIF(RawData[City],CU13,RawData[Profit])</f>
        <v>1380754.4999999995</v>
      </c>
      <c r="DA13" s="18">
        <f t="shared" si="16"/>
        <v>0.14559639484360878</v>
      </c>
      <c r="DQ13" t="s">
        <v>52</v>
      </c>
      <c r="DR13" s="21">
        <f>SUMIFS(RawData[Revenue],RawData[Product_Name],DQ13, RawData[Order_Date],"&gt;="&amp;DATE(2025,11,1),RawData[Order_Date],"&lt;"&amp;DATE(2025,12,1))</f>
        <v>1552693.8900000001</v>
      </c>
      <c r="DS13" s="21">
        <f>SUMIFS(RawData[Profit],RawData[Product_Name],DQ13, RawData[Order_Date],"&gt;="&amp;DATE(2025,11,1),RawData[Order_Date],"&lt;"&amp;DATE(2025,12,1))</f>
        <v>110507.42999999998</v>
      </c>
      <c r="DT13" s="84">
        <f t="shared" si="19"/>
        <v>7.1171420659097179E-2</v>
      </c>
      <c r="DU13" s="21">
        <f>SUMIFS(RawData[Revenue],RawData[Product_Name],DQ13, RawData[Order_Date],"&gt;="&amp;DATE(2025,12,1),RawData[Order_Date],"&lt;"&amp;DATE(2026,1,1))</f>
        <v>1095614.52</v>
      </c>
      <c r="DV13" s="21">
        <f>SUMIFS(RawData[Profit],RawData[Product_Name],DQ13, RawData[Order_Date],"&gt;="&amp;DATE(2025,12,1),RawData[Order_Date],"&lt;"&amp;DATE(2026,1,1))</f>
        <v>89437.919999999969</v>
      </c>
      <c r="DW13" s="84">
        <f>DV13/DU13</f>
        <v>8.1632653061224456E-2</v>
      </c>
      <c r="DX13" s="84"/>
      <c r="DY13" s="43" t="s">
        <v>5137</v>
      </c>
      <c r="DZ13" s="43">
        <f t="shared" si="20"/>
        <v>11</v>
      </c>
      <c r="EA13" s="44">
        <f>SUMPRODUCT(--(MONTH(RawData[Order_Date])= DZ13))</f>
        <v>234</v>
      </c>
      <c r="EB13" s="44">
        <f>SUMPRODUCT((MONTH(RawData[Order_Date])=DZ13)*RawData[Quantity])</f>
        <v>721</v>
      </c>
      <c r="EC13" s="45">
        <f>SUMPRODUCT((MONTH(RawData[Order_Date])=DZ13)*RawData[Revenue])</f>
        <v>8908819.2800000012</v>
      </c>
      <c r="ED13" s="45">
        <f>SUMPRODUCT((MONTH(RawData[Order_Date])=DZ13)*RawData[Profit])</f>
        <v>623120.46999999962</v>
      </c>
      <c r="EE13" s="44">
        <f t="shared" si="3"/>
        <v>6.9944226099510634E-2</v>
      </c>
    </row>
    <row r="14" spans="1:142" ht="30" x14ac:dyDescent="0.25">
      <c r="L14" s="49" t="s">
        <v>5138</v>
      </c>
      <c r="M14" s="46">
        <f t="shared" si="5"/>
        <v>12</v>
      </c>
      <c r="N14" s="47">
        <f>SUMPRODUCT(--(MONTH(RawData[Order_Date])= M14))</f>
        <v>252</v>
      </c>
      <c r="O14" s="47">
        <f>SUMPRODUCT((MONTH(RawData[Order_Date])=M14)*RawData[Quantity])</f>
        <v>766</v>
      </c>
      <c r="P14" s="48">
        <f>SUMPRODUCT((MONTH(RawData[Order_Date])=M14)*RawData[Revenue])</f>
        <v>9265329.2699999996</v>
      </c>
      <c r="Q14" s="48">
        <f>SUMPRODUCT((MONTH(RawData[Order_Date])=M14)*RawData[Profit])</f>
        <v>565645.16</v>
      </c>
      <c r="R14" s="47">
        <f t="shared" si="0"/>
        <v>6.1049655497024777E-2</v>
      </c>
      <c r="AD14" s="17" t="s">
        <v>46</v>
      </c>
      <c r="AE14" s="17" t="s">
        <v>43</v>
      </c>
      <c r="AF14" s="18">
        <f>COUNTIF(RawData[Product_Name],AD14)</f>
        <v>130</v>
      </c>
      <c r="AG14" s="18">
        <f>SUMIF(RawData[Product_Name],AD14,RawData[Quantity])</f>
        <v>405</v>
      </c>
      <c r="AH14" s="20">
        <f>SUMIF(RawData[Product_Name],AD14,RawData[Revenue])</f>
        <v>4462908.0600000005</v>
      </c>
      <c r="AI14" s="20">
        <f>SUMIF(RawData[Product_Name],AD14,RawData[Profit])</f>
        <v>818211.81</v>
      </c>
      <c r="AJ14" s="18">
        <f t="shared" si="7"/>
        <v>0.1833360219390224</v>
      </c>
      <c r="AL14" s="16" t="s">
        <v>3701</v>
      </c>
      <c r="AM14" s="16" t="s">
        <v>372</v>
      </c>
      <c r="AN14" s="16">
        <f>COUNTIF(RawData[Customer_ID],AL14)</f>
        <v>4</v>
      </c>
      <c r="AO14" s="16">
        <f>SUMIF(RawData[Customer_ID],AL14,RawData[Quantity])</f>
        <v>16</v>
      </c>
      <c r="AP14" s="21">
        <f>SUMIF(RawData[Customer_ID],AL14,RawData[Revenue])</f>
        <v>688035.24</v>
      </c>
      <c r="AQ14" s="21">
        <f>SUMIF(RawData[Customer_ID],AL14,RawData[Profit])</f>
        <v>83323.209999999977</v>
      </c>
      <c r="AR14" s="16">
        <f t="shared" si="1"/>
        <v>172008.81</v>
      </c>
      <c r="AS14" s="16" t="str">
        <f t="shared" si="2"/>
        <v>Occasional</v>
      </c>
      <c r="CU14" s="31" t="s">
        <v>11</v>
      </c>
      <c r="CV14" s="32" t="s">
        <v>12</v>
      </c>
      <c r="CW14" s="18">
        <f>COUNTIF(RawData[City],CU14)</f>
        <v>269</v>
      </c>
      <c r="CX14" s="18">
        <f>SUMIF(RawData[City],CU14,RawData[Quantity])</f>
        <v>792</v>
      </c>
      <c r="CY14" s="20">
        <f>SUMIF(RawData[City],CU14,RawData[Revenue])</f>
        <v>10920468.850000001</v>
      </c>
      <c r="CZ14" s="20">
        <f>SUMIF(RawData[City],CU14,RawData[Profit])</f>
        <v>1516997.37</v>
      </c>
      <c r="DA14" s="18">
        <f t="shared" si="16"/>
        <v>0.13891320884084568</v>
      </c>
      <c r="DL14" s="83"/>
      <c r="DQ14" t="s">
        <v>46</v>
      </c>
      <c r="DR14" s="21">
        <f>SUMIFS(RawData[Revenue],RawData[Product_Name],DQ14, RawData[Order_Date],"&gt;="&amp;DATE(2025,11,1),RawData[Order_Date],"&lt;"&amp;DATE(2025,12,1))</f>
        <v>389727.51999999996</v>
      </c>
      <c r="DS14" s="21">
        <f>SUMIFS(RawData[Profit],RawData[Product_Name],DQ14, RawData[Order_Date],"&gt;="&amp;DATE(2025,11,1),RawData[Order_Date],"&lt;"&amp;DATE(2025,12,1))</f>
        <v>47756.020000000004</v>
      </c>
      <c r="DT14" s="84">
        <f t="shared" si="19"/>
        <v>0.1225369458128079</v>
      </c>
      <c r="DU14" s="21">
        <f>SUMIFS(RawData[Revenue],RawData[Product_Name],DQ14, RawData[Order_Date],"&gt;="&amp;DATE(2025,12,1),RawData[Order_Date],"&lt;"&amp;DATE(2026,1,1))</f>
        <v>296495.29000000004</v>
      </c>
      <c r="DV14" s="21">
        <f>SUMIFS(RawData[Profit],RawData[Product_Name],DQ14, RawData[Order_Date],"&gt;="&amp;DATE(2025,12,1),RawData[Order_Date],"&lt;"&amp;DATE(2026,1,1))</f>
        <v>26517.790000000019</v>
      </c>
      <c r="DW14" s="84">
        <f>DV14/DU14</f>
        <v>8.9437474706596576E-2</v>
      </c>
      <c r="DX14" s="84"/>
      <c r="DY14" s="49" t="s">
        <v>5138</v>
      </c>
      <c r="DZ14" s="46">
        <f t="shared" si="20"/>
        <v>12</v>
      </c>
      <c r="EA14" s="47">
        <f>SUMPRODUCT(--(MONTH(RawData[Order_Date])= DZ14))</f>
        <v>252</v>
      </c>
      <c r="EB14" s="47">
        <f>SUMPRODUCT((MONTH(RawData[Order_Date])=DZ14)*RawData[Quantity])</f>
        <v>766</v>
      </c>
      <c r="EC14" s="48">
        <f>SUMPRODUCT((MONTH(RawData[Order_Date])=DZ14)*RawData[Revenue])</f>
        <v>9265329.2699999996</v>
      </c>
      <c r="ED14" s="48">
        <f>SUMPRODUCT((MONTH(RawData[Order_Date])=DZ14)*RawData[Profit])</f>
        <v>565645.16</v>
      </c>
      <c r="EE14" s="47">
        <f t="shared" si="3"/>
        <v>6.1049655497024777E-2</v>
      </c>
    </row>
    <row r="15" spans="1:142" x14ac:dyDescent="0.25">
      <c r="L15" s="73"/>
      <c r="M15" s="73"/>
      <c r="N15" s="62">
        <f>SUM(N3:N14)</f>
        <v>3000</v>
      </c>
      <c r="O15" s="62">
        <f t="shared" ref="O15:R15" si="25">SUM(O3:O14)</f>
        <v>9029</v>
      </c>
      <c r="P15" s="74">
        <f t="shared" si="25"/>
        <v>124079067.75999996</v>
      </c>
      <c r="Q15" s="74">
        <f t="shared" si="25"/>
        <v>17118773.169999998</v>
      </c>
      <c r="R15" s="62">
        <f t="shared" si="25"/>
        <v>1.6357807436343106</v>
      </c>
      <c r="AD15" s="17" t="s">
        <v>44</v>
      </c>
      <c r="AE15" s="17" t="s">
        <v>43</v>
      </c>
      <c r="AF15" s="18">
        <f>COUNTIF(RawData[Product_Name],AD15)</f>
        <v>118</v>
      </c>
      <c r="AG15" s="18">
        <f>SUMIF(RawData[Product_Name],AD15,RawData[Quantity])</f>
        <v>363</v>
      </c>
      <c r="AH15" s="20">
        <f>SUMIF(RawData[Product_Name],AD15,RawData[Revenue])</f>
        <v>3009175.61</v>
      </c>
      <c r="AI15" s="20">
        <f>SUMIF(RawData[Product_Name],AD15,RawData[Profit])</f>
        <v>657196.97000000032</v>
      </c>
      <c r="AJ15" s="18">
        <f t="shared" si="7"/>
        <v>0.21839767935644019</v>
      </c>
      <c r="AL15" s="16" t="s">
        <v>1722</v>
      </c>
      <c r="AM15" s="16" t="s">
        <v>373</v>
      </c>
      <c r="AN15" s="16">
        <f>COUNTIF(RawData[Customer_ID],AL15)</f>
        <v>4</v>
      </c>
      <c r="AO15" s="16">
        <f>SUMIF(RawData[Customer_ID],AL15,RawData[Quantity])</f>
        <v>9</v>
      </c>
      <c r="AP15" s="21">
        <f>SUMIF(RawData[Customer_ID],AL15,RawData[Revenue])</f>
        <v>154449.33000000002</v>
      </c>
      <c r="AQ15" s="21">
        <f>SUMIF(RawData[Customer_ID],AL15,RawData[Profit])</f>
        <v>25295.329999999994</v>
      </c>
      <c r="AR15" s="16">
        <f t="shared" si="1"/>
        <v>38612.332500000004</v>
      </c>
      <c r="AS15" s="16" t="str">
        <f t="shared" si="2"/>
        <v>Occasional</v>
      </c>
      <c r="CW15" s="18">
        <f>SUM(CW3:CW14)</f>
        <v>3000</v>
      </c>
      <c r="CX15" s="18">
        <f t="shared" ref="CX15:CZ15" si="26">SUM(CX3:CX14)</f>
        <v>9029</v>
      </c>
      <c r="CY15" s="18">
        <f t="shared" si="26"/>
        <v>124079067.75999999</v>
      </c>
      <c r="CZ15" s="18">
        <f t="shared" si="26"/>
        <v>17118773.169999998</v>
      </c>
      <c r="DL15" s="83"/>
      <c r="DQ15" t="s">
        <v>44</v>
      </c>
      <c r="DR15" s="21">
        <f>SUMIFS(RawData[Revenue],RawData[Product_Name],DQ15, RawData[Order_Date],"&gt;="&amp;DATE(2025,11,1),RawData[Order_Date],"&lt;"&amp;DATE(2025,12,1))</f>
        <v>236673.70000000004</v>
      </c>
      <c r="DS15" s="21">
        <f>SUMIFS(RawData[Profit],RawData[Product_Name],DQ15, RawData[Order_Date],"&gt;="&amp;DATE(2025,11,1),RawData[Order_Date],"&lt;"&amp;DATE(2025,12,1))</f>
        <v>35816.020000000011</v>
      </c>
      <c r="DT15" s="84">
        <f t="shared" si="19"/>
        <v>0.15133079847908748</v>
      </c>
      <c r="DU15" s="21">
        <f>SUMIFS(RawData[Revenue],RawData[Product_Name],DQ15, RawData[Order_Date],"&gt;="&amp;DATE(2025,12,1),RawData[Order_Date],"&lt;"&amp;DATE(2026,1,1))</f>
        <v>279058.99</v>
      </c>
      <c r="DV15" s="21">
        <f>SUMIFS(RawData[Profit],RawData[Product_Name],DQ15, RawData[Order_Date],"&gt;="&amp;DATE(2025,12,1),RawData[Order_Date],"&lt;"&amp;DATE(2026,1,1))</f>
        <v>45804.91</v>
      </c>
      <c r="DW15" s="84">
        <f>DV15/DU15</f>
        <v>0.16414059980651405</v>
      </c>
      <c r="DX15" s="84"/>
      <c r="DY15" s="73"/>
      <c r="DZ15" s="73"/>
      <c r="EA15" s="62">
        <f>SUM(EA3:EA14)</f>
        <v>3000</v>
      </c>
      <c r="EB15" s="62">
        <f t="shared" ref="EB15:EE15" si="27">SUM(EB3:EB14)</f>
        <v>9029</v>
      </c>
      <c r="EC15" s="74">
        <f t="shared" si="27"/>
        <v>124079067.75999996</v>
      </c>
      <c r="ED15" s="74">
        <f t="shared" si="27"/>
        <v>17118773.169999998</v>
      </c>
      <c r="EE15" s="62">
        <f t="shared" si="27"/>
        <v>1.6357807436343106</v>
      </c>
    </row>
    <row r="16" spans="1:142" x14ac:dyDescent="0.25">
      <c r="L16" s="56"/>
      <c r="M16" s="60"/>
      <c r="N16" s="61"/>
      <c r="O16" s="61"/>
      <c r="P16" s="67"/>
      <c r="Q16" s="66"/>
      <c r="R16" s="64"/>
      <c r="AD16" s="17" t="s">
        <v>54</v>
      </c>
      <c r="AE16" s="17" t="s">
        <v>43</v>
      </c>
      <c r="AF16" s="18">
        <f>COUNTIF(RawData[Product_Name],AD16)</f>
        <v>136</v>
      </c>
      <c r="AG16" s="18">
        <f>SUMIF(RawData[Product_Name],AD16,RawData[Quantity])</f>
        <v>419</v>
      </c>
      <c r="AH16" s="20">
        <f>SUMIF(RawData[Product_Name],AD16,RawData[Revenue])</f>
        <v>10608564.220000001</v>
      </c>
      <c r="AI16" s="20">
        <f>SUMIF(RawData[Product_Name],AD16,RawData[Profit])</f>
        <v>1506120.2299999984</v>
      </c>
      <c r="AJ16" s="18">
        <f t="shared" si="7"/>
        <v>0.1419721084555963</v>
      </c>
      <c r="AL16" s="16" t="s">
        <v>1534</v>
      </c>
      <c r="AM16" s="16" t="s">
        <v>374</v>
      </c>
      <c r="AN16" s="16">
        <f>COUNTIF(RawData[Customer_ID],AL16)</f>
        <v>1</v>
      </c>
      <c r="AO16" s="16">
        <f>SUMIF(RawData[Customer_ID],AL16,RawData[Quantity])</f>
        <v>3</v>
      </c>
      <c r="AP16" s="21">
        <f>SUMIF(RawData[Customer_ID],AL16,RawData[Revenue])</f>
        <v>1872</v>
      </c>
      <c r="AQ16" s="21">
        <f>SUMIF(RawData[Customer_ID],AL16,RawData[Profit])</f>
        <v>468</v>
      </c>
      <c r="AR16" s="16">
        <f t="shared" si="1"/>
        <v>1872</v>
      </c>
      <c r="AS16" s="16" t="str">
        <f t="shared" si="2"/>
        <v>One-time</v>
      </c>
      <c r="DQ16" t="s">
        <v>54</v>
      </c>
      <c r="DR16" s="21">
        <f>SUMIFS(RawData[Revenue],RawData[Product_Name],DQ16, RawData[Order_Date],"&gt;="&amp;DATE(2025,11,1),RawData[Order_Date],"&lt;"&amp;DATE(2025,12,1))</f>
        <v>620652.42999999993</v>
      </c>
      <c r="DS16" s="21">
        <f>SUMIFS(RawData[Profit],RawData[Product_Name],DQ16, RawData[Order_Date],"&gt;="&amp;DATE(2025,11,1),RawData[Order_Date],"&lt;"&amp;DATE(2025,12,1))</f>
        <v>34098.759999999915</v>
      </c>
      <c r="DT16" s="84">
        <f t="shared" si="19"/>
        <v>5.4940186087726939E-2</v>
      </c>
      <c r="DU16" s="21">
        <f>SUMIFS(RawData[Revenue],RawData[Product_Name],DQ16, RawData[Order_Date],"&gt;="&amp;DATE(2025,12,1),RawData[Order_Date],"&lt;"&amp;DATE(2026,1,1))</f>
        <v>808195.61</v>
      </c>
      <c r="DV16" s="21">
        <f>SUMIFS(RawData[Profit],RawData[Product_Name],DQ16, RawData[Order_Date],"&gt;="&amp;DATE(2025,12,1),RawData[Order_Date],"&lt;"&amp;DATE(2026,1,1))</f>
        <v>47848.2599999999</v>
      </c>
      <c r="DW16" s="84">
        <f>DV16/DU16</f>
        <v>5.9203810820006683E-2</v>
      </c>
      <c r="DX16" s="84"/>
    </row>
    <row r="17" spans="11:128" x14ac:dyDescent="0.25">
      <c r="K17" s="55"/>
      <c r="L17" s="57"/>
      <c r="M17" s="58"/>
      <c r="N17" s="62"/>
      <c r="O17" s="65"/>
      <c r="P17" s="68"/>
      <c r="Q17" s="69"/>
      <c r="R17" s="63"/>
      <c r="AD17" s="17" t="s">
        <v>56</v>
      </c>
      <c r="AE17" s="17" t="s">
        <v>43</v>
      </c>
      <c r="AF17" s="18">
        <f>COUNTIF(RawData[Product_Name],AD17)</f>
        <v>146</v>
      </c>
      <c r="AG17" s="18">
        <f>SUMIF(RawData[Product_Name],AD17,RawData[Quantity])</f>
        <v>419</v>
      </c>
      <c r="AH17" s="20">
        <f>SUMIF(RawData[Product_Name],AD17,RawData[Revenue])</f>
        <v>12427451.629999995</v>
      </c>
      <c r="AI17" s="20">
        <f>SUMIF(RawData[Product_Name],AD17,RawData[Profit])</f>
        <v>1701386.8299999994</v>
      </c>
      <c r="AJ17" s="18">
        <f t="shared" si="7"/>
        <v>0.1369055282333857</v>
      </c>
      <c r="AL17" s="16" t="s">
        <v>1605</v>
      </c>
      <c r="AM17" s="16" t="s">
        <v>375</v>
      </c>
      <c r="AN17" s="16">
        <f>COUNTIF(RawData[Customer_ID],AL17)</f>
        <v>1</v>
      </c>
      <c r="AO17" s="16">
        <f>SUMIF(RawData[Customer_ID],AL17,RawData[Quantity])</f>
        <v>2</v>
      </c>
      <c r="AP17" s="21">
        <f>SUMIF(RawData[Customer_ID],AL17,RawData[Revenue])</f>
        <v>152</v>
      </c>
      <c r="AQ17" s="21">
        <f>SUMIF(RawData[Customer_ID],AL17,RawData[Profit])</f>
        <v>40</v>
      </c>
      <c r="AR17" s="16">
        <f t="shared" si="1"/>
        <v>152</v>
      </c>
      <c r="AS17" s="16" t="str">
        <f t="shared" si="2"/>
        <v>One-time</v>
      </c>
      <c r="DQ17" t="s">
        <v>56</v>
      </c>
      <c r="DR17" s="21">
        <f>SUMIFS(RawData[Revenue],RawData[Product_Name],DQ17, RawData[Order_Date],"&gt;="&amp;DATE(2025,11,1),RawData[Order_Date],"&lt;"&amp;DATE(2025,12,1))</f>
        <v>691498.39</v>
      </c>
      <c r="DS17" s="21">
        <f>SUMIFS(RawData[Profit],RawData[Product_Name],DQ17, RawData[Order_Date],"&gt;="&amp;DATE(2025,11,1),RawData[Order_Date],"&lt;"&amp;DATE(2025,12,1))</f>
        <v>25919.19</v>
      </c>
      <c r="DT17" s="84">
        <f t="shared" si="19"/>
        <v>3.7482646922720957E-2</v>
      </c>
      <c r="DU17" s="21">
        <f>SUMIFS(RawData[Revenue],RawData[Product_Name],DQ17, RawData[Order_Date],"&gt;="&amp;DATE(2025,12,1),RawData[Order_Date],"&lt;"&amp;DATE(2026,1,1))</f>
        <v>596781.35</v>
      </c>
      <c r="DV17" s="21">
        <f>SUMIFS(RawData[Profit],RawData[Product_Name],DQ17, RawData[Order_Date],"&gt;="&amp;DATE(2025,12,1),RawData[Order_Date],"&lt;"&amp;DATE(2026,1,1))</f>
        <v>33598.949999999975</v>
      </c>
      <c r="DW17" s="84">
        <f>DV17/DU17</f>
        <v>5.6300268096514706E-2</v>
      </c>
      <c r="DX17" s="84"/>
    </row>
    <row r="18" spans="11:128" x14ac:dyDescent="0.25">
      <c r="L18" s="54"/>
      <c r="M18" s="50"/>
      <c r="N18" s="59"/>
      <c r="O18" s="51"/>
      <c r="P18" s="52"/>
      <c r="Q18" s="52"/>
      <c r="R18" s="53"/>
      <c r="AD18" s="17" t="s">
        <v>48</v>
      </c>
      <c r="AE18" s="17" t="s">
        <v>43</v>
      </c>
      <c r="AF18" s="18">
        <f>COUNTIF(RawData[Product_Name],AD18)</f>
        <v>144</v>
      </c>
      <c r="AG18" s="18">
        <f>SUMIF(RawData[Product_Name],AD18,RawData[Quantity])</f>
        <v>390</v>
      </c>
      <c r="AH18" s="20">
        <f>SUMIF(RawData[Product_Name],AD18,RawData[Revenue])</f>
        <v>2328201.7600000012</v>
      </c>
      <c r="AI18" s="20">
        <f>SUMIF(RawData[Product_Name],AD18,RawData[Profit])</f>
        <v>553974.76000000036</v>
      </c>
      <c r="AJ18" s="18">
        <f t="shared" si="7"/>
        <v>0.23794104510942388</v>
      </c>
      <c r="AL18" s="16" t="s">
        <v>3532</v>
      </c>
      <c r="AM18" s="16" t="s">
        <v>376</v>
      </c>
      <c r="AN18" s="16">
        <f>COUNTIF(RawData[Customer_ID],AL18)</f>
        <v>1</v>
      </c>
      <c r="AO18" s="16">
        <f>SUMIF(RawData[Customer_ID],AL18,RawData[Quantity])</f>
        <v>5</v>
      </c>
      <c r="AP18" s="21">
        <f>SUMIF(RawData[Customer_ID],AL18,RawData[Revenue])</f>
        <v>130620.25</v>
      </c>
      <c r="AQ18" s="21">
        <f>SUMIF(RawData[Customer_ID],AL18,RawData[Profit])</f>
        <v>13749.500000000015</v>
      </c>
      <c r="AR18" s="16">
        <f t="shared" si="1"/>
        <v>130620.25</v>
      </c>
      <c r="AS18" s="16" t="str">
        <f t="shared" si="2"/>
        <v>One-time</v>
      </c>
      <c r="DQ18" t="s">
        <v>48</v>
      </c>
      <c r="DR18" s="21">
        <f>SUMIFS(RawData[Revenue],RawData[Product_Name],DQ18, RawData[Order_Date],"&gt;="&amp;DATE(2025,11,1),RawData[Order_Date],"&lt;"&amp;DATE(2025,12,1))</f>
        <v>193735.19000000003</v>
      </c>
      <c r="DS18" s="21">
        <f>SUMIFS(RawData[Profit],RawData[Product_Name],DQ18, RawData[Order_Date],"&gt;="&amp;DATE(2025,11,1),RawData[Order_Date],"&lt;"&amp;DATE(2025,12,1))</f>
        <v>29960.390000000029</v>
      </c>
      <c r="DT18" s="84">
        <f t="shared" si="19"/>
        <v>0.15464609191546475</v>
      </c>
      <c r="DU18" s="21">
        <f>SUMIFS(RawData[Revenue],RawData[Product_Name],DQ18, RawData[Order_Date],"&gt;="&amp;DATE(2025,12,1),RawData[Order_Date],"&lt;"&amp;DATE(2026,1,1))</f>
        <v>174173.2</v>
      </c>
      <c r="DV18" s="21">
        <f>SUMIFS(RawData[Profit],RawData[Product_Name],DQ18, RawData[Order_Date],"&gt;="&amp;DATE(2025,12,1),RawData[Order_Date],"&lt;"&amp;DATE(2026,1,1))</f>
        <v>28595.600000000028</v>
      </c>
      <c r="DW18" s="84">
        <f>DV18/DU18</f>
        <v>0.16417910447761208</v>
      </c>
      <c r="DX18" s="84"/>
    </row>
    <row r="19" spans="11:128" x14ac:dyDescent="0.25">
      <c r="AD19" s="17" t="s">
        <v>77</v>
      </c>
      <c r="AE19" s="17" t="s">
        <v>64</v>
      </c>
      <c r="AF19" s="18">
        <f>COUNTIF(RawData[Product_Name],AD19)</f>
        <v>139</v>
      </c>
      <c r="AG19" s="18">
        <f>SUMIF(RawData[Product_Name],AD19,RawData[Quantity])</f>
        <v>411</v>
      </c>
      <c r="AH19" s="20">
        <f>SUMIF(RawData[Product_Name],AD19,RawData[Revenue])</f>
        <v>253799</v>
      </c>
      <c r="AI19" s="20">
        <f>SUMIF(RawData[Product_Name],AD19,RawData[Profit])</f>
        <v>61451</v>
      </c>
      <c r="AJ19" s="18">
        <f t="shared" si="7"/>
        <v>0.24212467346207037</v>
      </c>
      <c r="AL19" s="16" t="s">
        <v>2902</v>
      </c>
      <c r="AM19" s="16" t="s">
        <v>377</v>
      </c>
      <c r="AN19" s="16">
        <f>COUNTIF(RawData[Customer_ID],AL19)</f>
        <v>2</v>
      </c>
      <c r="AO19" s="16">
        <f>SUMIF(RawData[Customer_ID],AL19,RawData[Quantity])</f>
        <v>8</v>
      </c>
      <c r="AP19" s="21">
        <f>SUMIF(RawData[Customer_ID],AL19,RawData[Revenue])</f>
        <v>189616.19999999998</v>
      </c>
      <c r="AQ19" s="21">
        <f>SUMIF(RawData[Customer_ID],AL19,RawData[Profit])</f>
        <v>32551.319999999978</v>
      </c>
      <c r="AR19" s="16">
        <f t="shared" si="1"/>
        <v>94808.099999999991</v>
      </c>
      <c r="AS19" s="16" t="str">
        <f t="shared" si="2"/>
        <v>Occasional</v>
      </c>
    </row>
    <row r="20" spans="11:128" x14ac:dyDescent="0.25">
      <c r="AD20" s="17" t="s">
        <v>65</v>
      </c>
      <c r="AE20" s="17" t="s">
        <v>64</v>
      </c>
      <c r="AF20" s="18">
        <f>COUNTIF(RawData[Product_Name],AD20)</f>
        <v>148</v>
      </c>
      <c r="AG20" s="18">
        <f>SUMIF(RawData[Product_Name],AD20,RawData[Quantity])</f>
        <v>430</v>
      </c>
      <c r="AH20" s="20">
        <f>SUMIF(RawData[Product_Name],AD20,RawData[Revenue])</f>
        <v>32497.599999999999</v>
      </c>
      <c r="AI20" s="20">
        <f>SUMIF(RawData[Product_Name],AD20,RawData[Profit])</f>
        <v>8417.5999999999985</v>
      </c>
      <c r="AJ20" s="18">
        <f t="shared" si="7"/>
        <v>0.25902220471665599</v>
      </c>
      <c r="AL20" s="16" t="s">
        <v>2163</v>
      </c>
      <c r="AM20" s="16" t="s">
        <v>378</v>
      </c>
      <c r="AN20" s="16">
        <f>COUNTIF(RawData[Customer_ID],AL20)</f>
        <v>4</v>
      </c>
      <c r="AO20" s="16">
        <f>SUMIF(RawData[Customer_ID],AL20,RawData[Quantity])</f>
        <v>14</v>
      </c>
      <c r="AP20" s="21">
        <f>SUMIF(RawData[Customer_ID],AL20,RawData[Revenue])</f>
        <v>151428.44</v>
      </c>
      <c r="AQ20" s="21">
        <f>SUMIF(RawData[Customer_ID],AL20,RawData[Profit])</f>
        <v>24295.08</v>
      </c>
      <c r="AR20" s="16">
        <f t="shared" si="1"/>
        <v>37857.11</v>
      </c>
      <c r="AS20" s="16" t="str">
        <f t="shared" si="2"/>
        <v>Occasional</v>
      </c>
    </row>
    <row r="21" spans="11:128" x14ac:dyDescent="0.25">
      <c r="AD21" s="17" t="s">
        <v>67</v>
      </c>
      <c r="AE21" s="17" t="s">
        <v>64</v>
      </c>
      <c r="AF21" s="18">
        <f>COUNTIF(RawData[Product_Name],AD21)</f>
        <v>134</v>
      </c>
      <c r="AG21" s="18">
        <f>SUMIF(RawData[Product_Name],AD21,RawData[Quantity])</f>
        <v>429</v>
      </c>
      <c r="AH21" s="20">
        <f>SUMIF(RawData[Product_Name],AD21,RawData[Revenue])</f>
        <v>60961.5</v>
      </c>
      <c r="AI21" s="20">
        <f>SUMIF(RawData[Product_Name],AD21,RawData[Profit])</f>
        <v>19134</v>
      </c>
      <c r="AJ21" s="18">
        <f t="shared" si="7"/>
        <v>0.31387022957112276</v>
      </c>
      <c r="AL21" s="16" t="s">
        <v>2308</v>
      </c>
      <c r="AM21" s="16" t="s">
        <v>95</v>
      </c>
      <c r="AN21" s="16">
        <f>COUNTIF(RawData[Customer_ID],AL21)</f>
        <v>2</v>
      </c>
      <c r="AO21" s="16">
        <f>SUMIF(RawData[Customer_ID],AL21,RawData[Quantity])</f>
        <v>4</v>
      </c>
      <c r="AP21" s="21">
        <f>SUMIF(RawData[Customer_ID],AL21,RawData[Revenue])</f>
        <v>27171.08</v>
      </c>
      <c r="AQ21" s="21">
        <f>SUMIF(RawData[Customer_ID],AL21,RawData[Profit])</f>
        <v>4042.869999999999</v>
      </c>
      <c r="AR21" s="16">
        <f t="shared" si="1"/>
        <v>13585.54</v>
      </c>
      <c r="AS21" s="16" t="str">
        <f t="shared" si="2"/>
        <v>Occasional</v>
      </c>
    </row>
    <row r="22" spans="11:128" x14ac:dyDescent="0.25">
      <c r="AD22" s="17" t="s">
        <v>146</v>
      </c>
      <c r="AE22" s="17" t="s">
        <v>64</v>
      </c>
      <c r="AF22" s="18">
        <f>COUNTIF(RawData[Product_Name],AD22)</f>
        <v>136</v>
      </c>
      <c r="AG22" s="18">
        <f>SUMIF(RawData[Product_Name],AD22,RawData[Quantity])</f>
        <v>419</v>
      </c>
      <c r="AH22" s="20">
        <f>SUMIF(RawData[Product_Name],AD22,RawData[Revenue])</f>
        <v>98857.5</v>
      </c>
      <c r="AI22" s="20">
        <f>SUMIF(RawData[Product_Name],AD22,RawData[Profit])</f>
        <v>33912.5</v>
      </c>
      <c r="AJ22" s="18">
        <f t="shared" si="7"/>
        <v>0.34304428090938976</v>
      </c>
      <c r="AL22" s="16" t="s">
        <v>3251</v>
      </c>
      <c r="AM22" s="16" t="s">
        <v>379</v>
      </c>
      <c r="AN22" s="16">
        <f>COUNTIF(RawData[Customer_ID],AL22)</f>
        <v>2</v>
      </c>
      <c r="AO22" s="16">
        <f>SUMIF(RawData[Customer_ID],AL22,RawData[Quantity])</f>
        <v>3</v>
      </c>
      <c r="AP22" s="21">
        <f>SUMIF(RawData[Customer_ID],AL22,RawData[Revenue])</f>
        <v>80163.16</v>
      </c>
      <c r="AQ22" s="21">
        <f>SUMIF(RawData[Customer_ID],AL22,RawData[Profit])</f>
        <v>12369.720000000001</v>
      </c>
      <c r="AR22" s="16">
        <f t="shared" si="1"/>
        <v>40081.58</v>
      </c>
      <c r="AS22" s="16" t="str">
        <f t="shared" si="2"/>
        <v>Occasional</v>
      </c>
    </row>
    <row r="23" spans="11:128" x14ac:dyDescent="0.25">
      <c r="AD23" s="17" t="s">
        <v>73</v>
      </c>
      <c r="AE23" s="17" t="s">
        <v>64</v>
      </c>
      <c r="AF23" s="18">
        <f>COUNTIF(RawData[Product_Name],AD23)</f>
        <v>155</v>
      </c>
      <c r="AG23" s="18">
        <f>SUMIF(RawData[Product_Name],AD23,RawData[Quantity])</f>
        <v>457</v>
      </c>
      <c r="AH23" s="20">
        <f>SUMIF(RawData[Product_Name],AD23,RawData[Revenue])</f>
        <v>51963.6</v>
      </c>
      <c r="AI23" s="20">
        <f>SUMIF(RawData[Product_Name],AD23,RawData[Profit])</f>
        <v>14672.400000000005</v>
      </c>
      <c r="AJ23" s="18">
        <f t="shared" si="7"/>
        <v>0.28235918989446468</v>
      </c>
      <c r="AL23" s="16" t="s">
        <v>2567</v>
      </c>
      <c r="AM23" s="16" t="s">
        <v>380</v>
      </c>
      <c r="AN23" s="16">
        <f>COUNTIF(RawData[Customer_ID],AL23)</f>
        <v>8</v>
      </c>
      <c r="AO23" s="16">
        <f>SUMIF(RawData[Customer_ID],AL23,RawData[Quantity])</f>
        <v>20</v>
      </c>
      <c r="AP23" s="21">
        <f>SUMIF(RawData[Customer_ID],AL23,RawData[Revenue])</f>
        <v>173727.31</v>
      </c>
      <c r="AQ23" s="21">
        <f>SUMIF(RawData[Customer_ID],AL23,RawData[Profit])</f>
        <v>25996.339999999989</v>
      </c>
      <c r="AR23" s="16">
        <f t="shared" si="1"/>
        <v>21715.91375</v>
      </c>
      <c r="AS23" s="16" t="str">
        <f t="shared" si="2"/>
        <v>Loyal</v>
      </c>
    </row>
    <row r="24" spans="11:128" x14ac:dyDescent="0.25">
      <c r="AL24" s="16" t="s">
        <v>1366</v>
      </c>
      <c r="AM24" s="16" t="s">
        <v>381</v>
      </c>
      <c r="AN24" s="16">
        <f>COUNTIF(RawData[Customer_ID],AL24)</f>
        <v>6</v>
      </c>
      <c r="AO24" s="16">
        <f>SUMIF(RawData[Customer_ID],AL24,RawData[Quantity])</f>
        <v>16</v>
      </c>
      <c r="AP24" s="21">
        <f>SUMIF(RawData[Customer_ID],AL24,RawData[Revenue])</f>
        <v>353550.42</v>
      </c>
      <c r="AQ24" s="21">
        <f>SUMIF(RawData[Customer_ID],AL24,RawData[Profit])</f>
        <v>32709.649999999994</v>
      </c>
      <c r="AR24" s="16">
        <f t="shared" si="1"/>
        <v>58925.07</v>
      </c>
      <c r="AS24" s="16" t="str">
        <f t="shared" si="2"/>
        <v>Loyal</v>
      </c>
    </row>
    <row r="25" spans="11:128" x14ac:dyDescent="0.25">
      <c r="AL25" s="16" t="s">
        <v>2165</v>
      </c>
      <c r="AM25" s="16" t="s">
        <v>382</v>
      </c>
      <c r="AN25" s="16">
        <f>COUNTIF(RawData[Customer_ID],AL25)</f>
        <v>2</v>
      </c>
      <c r="AO25" s="16">
        <f>SUMIF(RawData[Customer_ID],AL25,RawData[Quantity])</f>
        <v>5</v>
      </c>
      <c r="AP25" s="21">
        <f>SUMIF(RawData[Customer_ID],AL25,RawData[Revenue])</f>
        <v>175775.15999999997</v>
      </c>
      <c r="AQ25" s="21">
        <f>SUMIF(RawData[Customer_ID],AL25,RawData[Profit])</f>
        <v>31899.119999999981</v>
      </c>
      <c r="AR25" s="16">
        <f t="shared" si="1"/>
        <v>87887.579999999987</v>
      </c>
      <c r="AS25" s="16" t="str">
        <f t="shared" si="2"/>
        <v>Occasional</v>
      </c>
    </row>
    <row r="26" spans="11:128" x14ac:dyDescent="0.25">
      <c r="AL26" s="16" t="s">
        <v>4123</v>
      </c>
      <c r="AM26" s="16" t="s">
        <v>383</v>
      </c>
      <c r="AN26" s="16">
        <f>COUNTIF(RawData[Customer_ID],AL26)</f>
        <v>4</v>
      </c>
      <c r="AO26" s="16">
        <f>SUMIF(RawData[Customer_ID],AL26,RawData[Quantity])</f>
        <v>11</v>
      </c>
      <c r="AP26" s="21">
        <f>SUMIF(RawData[Customer_ID],AL26,RawData[Revenue])</f>
        <v>125738.77999999998</v>
      </c>
      <c r="AQ26" s="21">
        <f>SUMIF(RawData[Customer_ID],AL26,RawData[Profit])</f>
        <v>13750.299999999992</v>
      </c>
      <c r="AR26" s="16">
        <f t="shared" si="1"/>
        <v>31434.694999999996</v>
      </c>
      <c r="AS26" s="16" t="str">
        <f t="shared" si="2"/>
        <v>Occasional</v>
      </c>
    </row>
    <row r="27" spans="11:128" x14ac:dyDescent="0.25">
      <c r="AL27" s="16" t="s">
        <v>3189</v>
      </c>
      <c r="AM27" s="16" t="s">
        <v>384</v>
      </c>
      <c r="AN27" s="16">
        <f>COUNTIF(RawData[Customer_ID],AL27)</f>
        <v>3</v>
      </c>
      <c r="AO27" s="16">
        <f>SUMIF(RawData[Customer_ID],AL27,RawData[Quantity])</f>
        <v>9</v>
      </c>
      <c r="AP27" s="21">
        <f>SUMIF(RawData[Customer_ID],AL27,RawData[Revenue])</f>
        <v>72503.459999999992</v>
      </c>
      <c r="AQ27" s="21">
        <f>SUMIF(RawData[Customer_ID],AL27,RawData[Profit])</f>
        <v>17091.859999999997</v>
      </c>
      <c r="AR27" s="16">
        <f t="shared" si="1"/>
        <v>24167.819999999996</v>
      </c>
      <c r="AS27" s="16" t="str">
        <f t="shared" si="2"/>
        <v>Occasional</v>
      </c>
    </row>
    <row r="28" spans="11:128" x14ac:dyDescent="0.25">
      <c r="AL28" s="16" t="s">
        <v>3366</v>
      </c>
      <c r="AM28" s="16" t="s">
        <v>385</v>
      </c>
      <c r="AN28" s="16">
        <f>COUNTIF(RawData[Customer_ID],AL28)</f>
        <v>2</v>
      </c>
      <c r="AO28" s="16">
        <f>SUMIF(RawData[Customer_ID],AL28,RawData[Quantity])</f>
        <v>5</v>
      </c>
      <c r="AP28" s="21">
        <f>SUMIF(RawData[Customer_ID],AL28,RawData[Revenue])</f>
        <v>1182.5</v>
      </c>
      <c r="AQ28" s="21">
        <f>SUMIF(RawData[Customer_ID],AL28,RawData[Profit])</f>
        <v>407.5</v>
      </c>
      <c r="AR28" s="16">
        <f t="shared" si="1"/>
        <v>591.25</v>
      </c>
      <c r="AS28" s="16" t="str">
        <f t="shared" si="2"/>
        <v>Occasional</v>
      </c>
    </row>
    <row r="29" spans="11:128" x14ac:dyDescent="0.25">
      <c r="AL29" s="16" t="s">
        <v>1341</v>
      </c>
      <c r="AM29" s="16" t="s">
        <v>386</v>
      </c>
      <c r="AN29" s="16">
        <f>COUNTIF(RawData[Customer_ID],AL29)</f>
        <v>1</v>
      </c>
      <c r="AO29" s="16">
        <f>SUMIF(RawData[Customer_ID],AL29,RawData[Quantity])</f>
        <v>5</v>
      </c>
      <c r="AP29" s="21">
        <f>SUMIF(RawData[Customer_ID],AL29,RawData[Revenue])</f>
        <v>5115</v>
      </c>
      <c r="AQ29" s="21">
        <f>SUMIF(RawData[Customer_ID],AL29,RawData[Profit])</f>
        <v>1540</v>
      </c>
      <c r="AR29" s="16">
        <f t="shared" si="1"/>
        <v>5115</v>
      </c>
      <c r="AS29" s="16" t="str">
        <f t="shared" si="2"/>
        <v>One-time</v>
      </c>
    </row>
    <row r="30" spans="11:128" x14ac:dyDescent="0.25">
      <c r="AL30" s="16" t="s">
        <v>3139</v>
      </c>
      <c r="AM30" s="16" t="s">
        <v>387</v>
      </c>
      <c r="AN30" s="16">
        <f>COUNTIF(RawData[Customer_ID],AL30)</f>
        <v>4</v>
      </c>
      <c r="AO30" s="16">
        <f>SUMIF(RawData[Customer_ID],AL30,RawData[Quantity])</f>
        <v>15</v>
      </c>
      <c r="AP30" s="21">
        <f>SUMIF(RawData[Customer_ID],AL30,RawData[Revenue])</f>
        <v>86425.25</v>
      </c>
      <c r="AQ30" s="21">
        <f>SUMIF(RawData[Customer_ID],AL30,RawData[Profit])</f>
        <v>16208</v>
      </c>
      <c r="AR30" s="16">
        <f t="shared" si="1"/>
        <v>21606.3125</v>
      </c>
      <c r="AS30" s="16" t="str">
        <f t="shared" si="2"/>
        <v>Occasional</v>
      </c>
    </row>
    <row r="31" spans="11:128" x14ac:dyDescent="0.25">
      <c r="AL31" s="16" t="s">
        <v>1768</v>
      </c>
      <c r="AM31" s="16" t="s">
        <v>388</v>
      </c>
      <c r="AN31" s="16">
        <f>COUNTIF(RawData[Customer_ID],AL31)</f>
        <v>4</v>
      </c>
      <c r="AO31" s="16">
        <f>SUMIF(RawData[Customer_ID],AL31,RawData[Quantity])</f>
        <v>11</v>
      </c>
      <c r="AP31" s="21">
        <f>SUMIF(RawData[Customer_ID],AL31,RawData[Revenue])</f>
        <v>59627.88</v>
      </c>
      <c r="AQ31" s="21">
        <f>SUMIF(RawData[Customer_ID],AL31,RawData[Profit])</f>
        <v>11137.92</v>
      </c>
      <c r="AR31" s="16">
        <f t="shared" si="1"/>
        <v>14906.97</v>
      </c>
      <c r="AS31" s="16" t="str">
        <f t="shared" si="2"/>
        <v>Occasional</v>
      </c>
    </row>
    <row r="32" spans="11:128" x14ac:dyDescent="0.25">
      <c r="AL32" s="16" t="s">
        <v>5147</v>
      </c>
      <c r="AM32" s="16" t="s">
        <v>389</v>
      </c>
      <c r="AN32" s="16">
        <f>COUNTIF(RawData[Customer_ID],AL32)</f>
        <v>0</v>
      </c>
      <c r="AO32" s="16">
        <f>SUMIF(RawData[Customer_ID],AL32,RawData[Quantity])</f>
        <v>0</v>
      </c>
      <c r="AP32" s="21">
        <f>SUMIF(RawData[Customer_ID],AL32,RawData[Revenue])</f>
        <v>0</v>
      </c>
      <c r="AQ32" s="21">
        <f>SUMIF(RawData[Customer_ID],AL32,RawData[Profit])</f>
        <v>0</v>
      </c>
      <c r="AR32" s="16">
        <f t="shared" si="1"/>
        <v>0</v>
      </c>
      <c r="AS32" s="16" t="str">
        <f t="shared" si="2"/>
        <v>Occasional</v>
      </c>
    </row>
    <row r="33" spans="38:45" x14ac:dyDescent="0.25">
      <c r="AL33" s="16" t="s">
        <v>1539</v>
      </c>
      <c r="AM33" s="16" t="s">
        <v>390</v>
      </c>
      <c r="AN33" s="16">
        <f>COUNTIF(RawData[Customer_ID],AL33)</f>
        <v>2</v>
      </c>
      <c r="AO33" s="16">
        <f>SUMIF(RawData[Customer_ID],AL33,RawData[Quantity])</f>
        <v>4</v>
      </c>
      <c r="AP33" s="21">
        <f>SUMIF(RawData[Customer_ID],AL33,RawData[Revenue])</f>
        <v>102474</v>
      </c>
      <c r="AQ33" s="21">
        <f>SUMIF(RawData[Customer_ID],AL33,RawData[Profit])</f>
        <v>15564</v>
      </c>
      <c r="AR33" s="16">
        <f t="shared" si="1"/>
        <v>51237</v>
      </c>
      <c r="AS33" s="16" t="str">
        <f t="shared" si="2"/>
        <v>Occasional</v>
      </c>
    </row>
    <row r="34" spans="38:45" x14ac:dyDescent="0.25">
      <c r="AL34" s="16" t="s">
        <v>2212</v>
      </c>
      <c r="AM34" s="16" t="s">
        <v>391</v>
      </c>
      <c r="AN34" s="16">
        <f>COUNTIF(RawData[Customer_ID],AL34)</f>
        <v>4</v>
      </c>
      <c r="AO34" s="16">
        <f>SUMIF(RawData[Customer_ID],AL34,RawData[Quantity])</f>
        <v>14</v>
      </c>
      <c r="AP34" s="21">
        <f>SUMIF(RawData[Customer_ID],AL34,RawData[Revenue])</f>
        <v>176057.53999999998</v>
      </c>
      <c r="AQ34" s="21">
        <f>SUMIF(RawData[Customer_ID],AL34,RawData[Profit])</f>
        <v>27900.299999999981</v>
      </c>
      <c r="AR34" s="16">
        <f t="shared" si="1"/>
        <v>44014.384999999995</v>
      </c>
      <c r="AS34" s="16" t="str">
        <f t="shared" si="2"/>
        <v>Occasional</v>
      </c>
    </row>
    <row r="35" spans="38:45" x14ac:dyDescent="0.25">
      <c r="AL35" s="16" t="s">
        <v>3006</v>
      </c>
      <c r="AM35" s="16" t="s">
        <v>392</v>
      </c>
      <c r="AN35" s="16">
        <f>COUNTIF(RawData[Customer_ID],AL35)</f>
        <v>3</v>
      </c>
      <c r="AO35" s="16">
        <f>SUMIF(RawData[Customer_ID],AL35,RawData[Quantity])</f>
        <v>9</v>
      </c>
      <c r="AP35" s="21">
        <f>SUMIF(RawData[Customer_ID],AL35,RawData[Revenue])</f>
        <v>939.6</v>
      </c>
      <c r="AQ35" s="21">
        <f>SUMIF(RawData[Customer_ID],AL35,RawData[Profit])</f>
        <v>282</v>
      </c>
      <c r="AR35" s="16">
        <f t="shared" si="1"/>
        <v>313.2</v>
      </c>
      <c r="AS35" s="16" t="str">
        <f t="shared" si="2"/>
        <v>Occasional</v>
      </c>
    </row>
    <row r="36" spans="38:45" x14ac:dyDescent="0.25">
      <c r="AL36" s="16" t="s">
        <v>1971</v>
      </c>
      <c r="AM36" s="16" t="s">
        <v>393</v>
      </c>
      <c r="AN36" s="16">
        <f>COUNTIF(RawData[Customer_ID],AL36)</f>
        <v>6</v>
      </c>
      <c r="AO36" s="16">
        <f>SUMIF(RawData[Customer_ID],AL36,RawData[Quantity])</f>
        <v>12</v>
      </c>
      <c r="AP36" s="21">
        <f>SUMIF(RawData[Customer_ID],AL36,RawData[Revenue])</f>
        <v>94294.959999999992</v>
      </c>
      <c r="AQ36" s="21">
        <f>SUMIF(RawData[Customer_ID],AL36,RawData[Profit])</f>
        <v>13247.639999999996</v>
      </c>
      <c r="AR36" s="16">
        <f t="shared" si="1"/>
        <v>15715.826666666666</v>
      </c>
      <c r="AS36" s="16" t="str">
        <f t="shared" si="2"/>
        <v>Loyal</v>
      </c>
    </row>
    <row r="37" spans="38:45" x14ac:dyDescent="0.25">
      <c r="AL37" s="16" t="s">
        <v>1287</v>
      </c>
      <c r="AM37" s="16" t="s">
        <v>394</v>
      </c>
      <c r="AN37" s="16">
        <f>COUNTIF(RawData[Customer_ID],AL37)</f>
        <v>5</v>
      </c>
      <c r="AO37" s="16">
        <f>SUMIF(RawData[Customer_ID],AL37,RawData[Quantity])</f>
        <v>16</v>
      </c>
      <c r="AP37" s="21">
        <f>SUMIF(RawData[Customer_ID],AL37,RawData[Revenue])</f>
        <v>139282.75</v>
      </c>
      <c r="AQ37" s="21">
        <f>SUMIF(RawData[Customer_ID],AL37,RawData[Profit])</f>
        <v>16627.29</v>
      </c>
      <c r="AR37" s="16">
        <f t="shared" si="1"/>
        <v>27856.55</v>
      </c>
      <c r="AS37" s="16" t="str">
        <f t="shared" si="2"/>
        <v>Loyal</v>
      </c>
    </row>
    <row r="38" spans="38:45" x14ac:dyDescent="0.25">
      <c r="AL38" s="16" t="s">
        <v>1827</v>
      </c>
      <c r="AM38" s="16" t="s">
        <v>395</v>
      </c>
      <c r="AN38" s="16">
        <f>COUNTIF(RawData[Customer_ID],AL38)</f>
        <v>1</v>
      </c>
      <c r="AO38" s="16">
        <f>SUMIF(RawData[Customer_ID],AL38,RawData[Quantity])</f>
        <v>5</v>
      </c>
      <c r="AP38" s="21">
        <f>SUMIF(RawData[Customer_ID],AL38,RawData[Revenue])</f>
        <v>43195.199999999997</v>
      </c>
      <c r="AQ38" s="21">
        <f>SUMIF(RawData[Customer_ID],AL38,RawData[Profit])</f>
        <v>10798.8</v>
      </c>
      <c r="AR38" s="16">
        <f t="shared" si="1"/>
        <v>43195.199999999997</v>
      </c>
      <c r="AS38" s="16" t="str">
        <f t="shared" si="2"/>
        <v>One-time</v>
      </c>
    </row>
    <row r="39" spans="38:45" x14ac:dyDescent="0.25">
      <c r="AL39" s="16" t="s">
        <v>5148</v>
      </c>
      <c r="AM39" s="16" t="s">
        <v>396</v>
      </c>
      <c r="AN39" s="16">
        <f>COUNTIF(RawData[Customer_ID],AL39)</f>
        <v>0</v>
      </c>
      <c r="AO39" s="16">
        <f>SUMIF(RawData[Customer_ID],AL39,RawData[Quantity])</f>
        <v>0</v>
      </c>
      <c r="AP39" s="21">
        <f>SUMIF(RawData[Customer_ID],AL39,RawData[Revenue])</f>
        <v>0</v>
      </c>
      <c r="AQ39" s="21">
        <f>SUMIF(RawData[Customer_ID],AL39,RawData[Profit])</f>
        <v>0</v>
      </c>
      <c r="AR39" s="16">
        <f t="shared" si="1"/>
        <v>0</v>
      </c>
      <c r="AS39" s="16" t="str">
        <f t="shared" si="2"/>
        <v>Occasional</v>
      </c>
    </row>
    <row r="40" spans="38:45" x14ac:dyDescent="0.25">
      <c r="AL40" s="16" t="s">
        <v>2842</v>
      </c>
      <c r="AM40" s="16" t="s">
        <v>397</v>
      </c>
      <c r="AN40" s="16">
        <f>COUNTIF(RawData[Customer_ID],AL40)</f>
        <v>4</v>
      </c>
      <c r="AO40" s="16">
        <f>SUMIF(RawData[Customer_ID],AL40,RawData[Quantity])</f>
        <v>15</v>
      </c>
      <c r="AP40" s="21">
        <f>SUMIF(RawData[Customer_ID],AL40,RawData[Revenue])</f>
        <v>127657.7</v>
      </c>
      <c r="AQ40" s="21">
        <f>SUMIF(RawData[Customer_ID],AL40,RawData[Profit])</f>
        <v>8722.5</v>
      </c>
      <c r="AR40" s="16">
        <f t="shared" si="1"/>
        <v>31914.424999999999</v>
      </c>
      <c r="AS40" s="16" t="str">
        <f t="shared" si="2"/>
        <v>Occasional</v>
      </c>
    </row>
    <row r="41" spans="38:45" x14ac:dyDescent="0.25">
      <c r="AL41" s="16" t="s">
        <v>1524</v>
      </c>
      <c r="AM41" s="16" t="s">
        <v>398</v>
      </c>
      <c r="AN41" s="16">
        <f>COUNTIF(RawData[Customer_ID],AL41)</f>
        <v>4</v>
      </c>
      <c r="AO41" s="16">
        <f>SUMIF(RawData[Customer_ID],AL41,RawData[Quantity])</f>
        <v>9</v>
      </c>
      <c r="AP41" s="21">
        <f>SUMIF(RawData[Customer_ID],AL41,RawData[Revenue])</f>
        <v>145272.63</v>
      </c>
      <c r="AQ41" s="21">
        <f>SUMIF(RawData[Customer_ID],AL41,RawData[Profit])</f>
        <v>12765.849999999999</v>
      </c>
      <c r="AR41" s="16">
        <f t="shared" si="1"/>
        <v>36318.157500000001</v>
      </c>
      <c r="AS41" s="16" t="str">
        <f t="shared" si="2"/>
        <v>Occasional</v>
      </c>
    </row>
    <row r="42" spans="38:45" x14ac:dyDescent="0.25">
      <c r="AL42" s="16" t="s">
        <v>1263</v>
      </c>
      <c r="AM42" s="16" t="s">
        <v>399</v>
      </c>
      <c r="AN42" s="16">
        <f>COUNTIF(RawData[Customer_ID],AL42)</f>
        <v>3</v>
      </c>
      <c r="AO42" s="16">
        <f>SUMIF(RawData[Customer_ID],AL42,RawData[Quantity])</f>
        <v>3</v>
      </c>
      <c r="AP42" s="21">
        <f>SUMIF(RawData[Customer_ID],AL42,RawData[Revenue])</f>
        <v>69896.38</v>
      </c>
      <c r="AQ42" s="21">
        <f>SUMIF(RawData[Customer_ID],AL42,RawData[Profit])</f>
        <v>5013.0499999999975</v>
      </c>
      <c r="AR42" s="16">
        <f t="shared" si="1"/>
        <v>23298.793333333335</v>
      </c>
      <c r="AS42" s="16" t="str">
        <f t="shared" si="2"/>
        <v>Occasional</v>
      </c>
    </row>
    <row r="43" spans="38:45" x14ac:dyDescent="0.25">
      <c r="AL43" s="16" t="s">
        <v>2398</v>
      </c>
      <c r="AM43" s="16" t="s">
        <v>400</v>
      </c>
      <c r="AN43" s="16">
        <f>COUNTIF(RawData[Customer_ID],AL43)</f>
        <v>4</v>
      </c>
      <c r="AO43" s="16">
        <f>SUMIF(RawData[Customer_ID],AL43,RawData[Quantity])</f>
        <v>7</v>
      </c>
      <c r="AP43" s="21">
        <f>SUMIF(RawData[Customer_ID],AL43,RawData[Revenue])</f>
        <v>55410.12999999999</v>
      </c>
      <c r="AQ43" s="21">
        <f>SUMIF(RawData[Customer_ID],AL43,RawData[Profit])</f>
        <v>9558.6099999999933</v>
      </c>
      <c r="AR43" s="16">
        <f t="shared" si="1"/>
        <v>13852.532499999998</v>
      </c>
      <c r="AS43" s="16" t="str">
        <f t="shared" si="2"/>
        <v>Occasional</v>
      </c>
    </row>
    <row r="44" spans="38:45" x14ac:dyDescent="0.25">
      <c r="AL44" s="16" t="s">
        <v>1385</v>
      </c>
      <c r="AM44" s="16" t="s">
        <v>401</v>
      </c>
      <c r="AN44" s="16">
        <f>COUNTIF(RawData[Customer_ID],AL44)</f>
        <v>3</v>
      </c>
      <c r="AO44" s="16">
        <f>SUMIF(RawData[Customer_ID],AL44,RawData[Quantity])</f>
        <v>6</v>
      </c>
      <c r="AP44" s="21">
        <f>SUMIF(RawData[Customer_ID],AL44,RawData[Revenue])</f>
        <v>116034.50000000001</v>
      </c>
      <c r="AQ44" s="21">
        <f>SUMIF(RawData[Customer_ID],AL44,RawData[Profit])</f>
        <v>12824.379999999997</v>
      </c>
      <c r="AR44" s="16">
        <f t="shared" si="1"/>
        <v>38678.166666666672</v>
      </c>
      <c r="AS44" s="16" t="str">
        <f t="shared" si="2"/>
        <v>Occasional</v>
      </c>
    </row>
    <row r="45" spans="38:45" x14ac:dyDescent="0.25">
      <c r="AL45" s="16" t="s">
        <v>5149</v>
      </c>
      <c r="AM45" s="16" t="s">
        <v>402</v>
      </c>
      <c r="AN45" s="16">
        <f>COUNTIF(RawData[Customer_ID],AL45)</f>
        <v>0</v>
      </c>
      <c r="AO45" s="16">
        <f>SUMIF(RawData[Customer_ID],AL45,RawData[Quantity])</f>
        <v>0</v>
      </c>
      <c r="AP45" s="21">
        <f>SUMIF(RawData[Customer_ID],AL45,RawData[Revenue])</f>
        <v>0</v>
      </c>
      <c r="AQ45" s="21">
        <f>SUMIF(RawData[Customer_ID],AL45,RawData[Profit])</f>
        <v>0</v>
      </c>
      <c r="AR45" s="16">
        <f t="shared" si="1"/>
        <v>0</v>
      </c>
      <c r="AS45" s="16" t="str">
        <f t="shared" si="2"/>
        <v>Occasional</v>
      </c>
    </row>
    <row r="46" spans="38:45" x14ac:dyDescent="0.25">
      <c r="AL46" s="16" t="s">
        <v>1619</v>
      </c>
      <c r="AM46" s="16" t="s">
        <v>403</v>
      </c>
      <c r="AN46" s="16">
        <f>COUNTIF(RawData[Customer_ID],AL46)</f>
        <v>6</v>
      </c>
      <c r="AO46" s="16">
        <f>SUMIF(RawData[Customer_ID],AL46,RawData[Quantity])</f>
        <v>20</v>
      </c>
      <c r="AP46" s="21">
        <f>SUMIF(RawData[Customer_ID],AL46,RawData[Revenue])</f>
        <v>305089.23</v>
      </c>
      <c r="AQ46" s="21">
        <f>SUMIF(RawData[Customer_ID],AL46,RawData[Profit])</f>
        <v>42432.409999999974</v>
      </c>
      <c r="AR46" s="16">
        <f t="shared" si="1"/>
        <v>50848.204999999994</v>
      </c>
      <c r="AS46" s="16" t="str">
        <f t="shared" si="2"/>
        <v>Loyal</v>
      </c>
    </row>
    <row r="47" spans="38:45" x14ac:dyDescent="0.25">
      <c r="AL47" s="16" t="s">
        <v>1295</v>
      </c>
      <c r="AM47" s="16" t="s">
        <v>404</v>
      </c>
      <c r="AN47" s="16">
        <f>COUNTIF(RawData[Customer_ID],AL47)</f>
        <v>4</v>
      </c>
      <c r="AO47" s="16">
        <f>SUMIF(RawData[Customer_ID],AL47,RawData[Quantity])</f>
        <v>13</v>
      </c>
      <c r="AP47" s="21">
        <f>SUMIF(RawData[Customer_ID],AL47,RawData[Revenue])</f>
        <v>206061.12</v>
      </c>
      <c r="AQ47" s="21">
        <f>SUMIF(RawData[Customer_ID],AL47,RawData[Profit])</f>
        <v>27310.259999999995</v>
      </c>
      <c r="AR47" s="16">
        <f t="shared" si="1"/>
        <v>51515.28</v>
      </c>
      <c r="AS47" s="16" t="str">
        <f t="shared" si="2"/>
        <v>Occasional</v>
      </c>
    </row>
    <row r="48" spans="38:45" x14ac:dyDescent="0.25">
      <c r="AL48" s="16" t="s">
        <v>5083</v>
      </c>
      <c r="AM48" s="16" t="s">
        <v>405</v>
      </c>
      <c r="AN48" s="16">
        <f>COUNTIF(RawData[Customer_ID],AL48)</f>
        <v>3</v>
      </c>
      <c r="AO48" s="16">
        <f>SUMIF(RawData[Customer_ID],AL48,RawData[Quantity])</f>
        <v>13</v>
      </c>
      <c r="AP48" s="21">
        <f>SUMIF(RawData[Customer_ID],AL48,RawData[Revenue])</f>
        <v>232824.09999999998</v>
      </c>
      <c r="AQ48" s="21">
        <f>SUMIF(RawData[Customer_ID],AL48,RawData[Profit])</f>
        <v>29262.499999999985</v>
      </c>
      <c r="AR48" s="16">
        <f t="shared" si="1"/>
        <v>77608.033333333326</v>
      </c>
      <c r="AS48" s="16" t="str">
        <f t="shared" si="2"/>
        <v>Occasional</v>
      </c>
    </row>
    <row r="49" spans="38:45" x14ac:dyDescent="0.25">
      <c r="AL49" s="16" t="s">
        <v>4015</v>
      </c>
      <c r="AM49" s="16" t="s">
        <v>406</v>
      </c>
      <c r="AN49" s="16">
        <f>COUNTIF(RawData[Customer_ID],AL49)</f>
        <v>6</v>
      </c>
      <c r="AO49" s="16">
        <f>SUMIF(RawData[Customer_ID],AL49,RawData[Quantity])</f>
        <v>22</v>
      </c>
      <c r="AP49" s="21">
        <f>SUMIF(RawData[Customer_ID],AL49,RawData[Revenue])</f>
        <v>193541.93999999997</v>
      </c>
      <c r="AQ49" s="21">
        <f>SUMIF(RawData[Customer_ID],AL49,RawData[Profit])</f>
        <v>31735.359999999986</v>
      </c>
      <c r="AR49" s="16">
        <f t="shared" si="1"/>
        <v>32256.989999999994</v>
      </c>
      <c r="AS49" s="16" t="str">
        <f t="shared" si="2"/>
        <v>Loyal</v>
      </c>
    </row>
    <row r="50" spans="38:45" x14ac:dyDescent="0.25">
      <c r="AL50" s="16" t="s">
        <v>3522</v>
      </c>
      <c r="AM50" s="16" t="s">
        <v>407</v>
      </c>
      <c r="AN50" s="16">
        <f>COUNTIF(RawData[Customer_ID],AL50)</f>
        <v>3</v>
      </c>
      <c r="AO50" s="16">
        <f>SUMIF(RawData[Customer_ID],AL50,RawData[Quantity])</f>
        <v>6</v>
      </c>
      <c r="AP50" s="21">
        <f>SUMIF(RawData[Customer_ID],AL50,RawData[Revenue])</f>
        <v>117264.40000000001</v>
      </c>
      <c r="AQ50" s="21">
        <f>SUMIF(RawData[Customer_ID],AL50,RawData[Profit])</f>
        <v>13437.599999999999</v>
      </c>
      <c r="AR50" s="16">
        <f t="shared" si="1"/>
        <v>39088.133333333339</v>
      </c>
      <c r="AS50" s="16" t="str">
        <f t="shared" si="2"/>
        <v>Occasional</v>
      </c>
    </row>
    <row r="51" spans="38:45" x14ac:dyDescent="0.25">
      <c r="AL51" s="16" t="s">
        <v>1966</v>
      </c>
      <c r="AM51" s="16" t="s">
        <v>408</v>
      </c>
      <c r="AN51" s="16">
        <f>COUNTIF(RawData[Customer_ID],AL51)</f>
        <v>6</v>
      </c>
      <c r="AO51" s="16">
        <f>SUMIF(RawData[Customer_ID],AL51,RawData[Quantity])</f>
        <v>18</v>
      </c>
      <c r="AP51" s="21">
        <f>SUMIF(RawData[Customer_ID],AL51,RawData[Revenue])</f>
        <v>287400.71999999997</v>
      </c>
      <c r="AQ51" s="21">
        <f>SUMIF(RawData[Customer_ID],AL51,RawData[Profit])</f>
        <v>46053.939999999988</v>
      </c>
      <c r="AR51" s="16">
        <f t="shared" si="1"/>
        <v>47900.119999999995</v>
      </c>
      <c r="AS51" s="16" t="str">
        <f t="shared" si="2"/>
        <v>Loyal</v>
      </c>
    </row>
    <row r="52" spans="38:45" x14ac:dyDescent="0.25">
      <c r="AL52" s="16" t="s">
        <v>1897</v>
      </c>
      <c r="AM52" s="16" t="s">
        <v>409</v>
      </c>
      <c r="AN52" s="16">
        <f>COUNTIF(RawData[Customer_ID],AL52)</f>
        <v>3</v>
      </c>
      <c r="AO52" s="16">
        <f>SUMIF(RawData[Customer_ID],AL52,RawData[Quantity])</f>
        <v>11</v>
      </c>
      <c r="AP52" s="21">
        <f>SUMIF(RawData[Customer_ID],AL52,RawData[Revenue])</f>
        <v>28975</v>
      </c>
      <c r="AQ52" s="21">
        <f>SUMIF(RawData[Customer_ID],AL52,RawData[Profit])</f>
        <v>5205.2</v>
      </c>
      <c r="AR52" s="16">
        <f t="shared" si="1"/>
        <v>9658.3333333333339</v>
      </c>
      <c r="AS52" s="16" t="str">
        <f t="shared" si="2"/>
        <v>Occasional</v>
      </c>
    </row>
    <row r="53" spans="38:45" x14ac:dyDescent="0.25">
      <c r="AL53" s="16" t="s">
        <v>1682</v>
      </c>
      <c r="AM53" s="16" t="s">
        <v>410</v>
      </c>
      <c r="AN53" s="16">
        <f>COUNTIF(RawData[Customer_ID],AL53)</f>
        <v>4</v>
      </c>
      <c r="AO53" s="16">
        <f>SUMIF(RawData[Customer_ID],AL53,RawData[Quantity])</f>
        <v>16</v>
      </c>
      <c r="AP53" s="21">
        <f>SUMIF(RawData[Customer_ID],AL53,RawData[Revenue])</f>
        <v>73159.549999999988</v>
      </c>
      <c r="AQ53" s="21">
        <f>SUMIF(RawData[Customer_ID],AL53,RawData[Profit])</f>
        <v>10405.989999999994</v>
      </c>
      <c r="AR53" s="16">
        <f t="shared" si="1"/>
        <v>18289.887499999997</v>
      </c>
      <c r="AS53" s="16" t="str">
        <f t="shared" si="2"/>
        <v>Occasional</v>
      </c>
    </row>
    <row r="54" spans="38:45" x14ac:dyDescent="0.25">
      <c r="AL54" s="16" t="s">
        <v>2770</v>
      </c>
      <c r="AM54" s="16" t="s">
        <v>411</v>
      </c>
      <c r="AN54" s="16">
        <f>COUNTIF(RawData[Customer_ID],AL54)</f>
        <v>2</v>
      </c>
      <c r="AO54" s="16">
        <f>SUMIF(RawData[Customer_ID],AL54,RawData[Quantity])</f>
        <v>2</v>
      </c>
      <c r="AP54" s="21">
        <f>SUMIF(RawData[Customer_ID],AL54,RawData[Revenue])</f>
        <v>3418</v>
      </c>
      <c r="AQ54" s="21">
        <f>SUMIF(RawData[Customer_ID],AL54,RawData[Profit])</f>
        <v>1002.9000000000002</v>
      </c>
      <c r="AR54" s="16">
        <f t="shared" si="1"/>
        <v>1709</v>
      </c>
      <c r="AS54" s="16" t="str">
        <f t="shared" si="2"/>
        <v>Occasional</v>
      </c>
    </row>
    <row r="55" spans="38:45" x14ac:dyDescent="0.25">
      <c r="AL55" s="16" t="s">
        <v>2202</v>
      </c>
      <c r="AM55" s="16" t="s">
        <v>412</v>
      </c>
      <c r="AN55" s="16">
        <f>COUNTIF(RawData[Customer_ID],AL55)</f>
        <v>1</v>
      </c>
      <c r="AO55" s="16">
        <f>SUMIF(RawData[Customer_ID],AL55,RawData[Quantity])</f>
        <v>4</v>
      </c>
      <c r="AP55" s="21">
        <f>SUMIF(RawData[Customer_ID],AL55,RawData[Revenue])</f>
        <v>20796.800000000003</v>
      </c>
      <c r="AQ55" s="21">
        <f>SUMIF(RawData[Customer_ID],AL55,RawData[Profit])</f>
        <v>2599.6000000000058</v>
      </c>
      <c r="AR55" s="16">
        <f t="shared" si="1"/>
        <v>20796.800000000003</v>
      </c>
      <c r="AS55" s="16" t="str">
        <f t="shared" si="2"/>
        <v>One-time</v>
      </c>
    </row>
    <row r="56" spans="38:45" x14ac:dyDescent="0.25">
      <c r="AL56" s="16" t="s">
        <v>1448</v>
      </c>
      <c r="AM56" s="16" t="s">
        <v>413</v>
      </c>
      <c r="AN56" s="16">
        <f>COUNTIF(RawData[Customer_ID],AL56)</f>
        <v>3</v>
      </c>
      <c r="AO56" s="16">
        <f>SUMIF(RawData[Customer_ID],AL56,RawData[Quantity])</f>
        <v>7</v>
      </c>
      <c r="AP56" s="21">
        <f>SUMIF(RawData[Customer_ID],AL56,RawData[Revenue])</f>
        <v>156163.01999999999</v>
      </c>
      <c r="AQ56" s="21">
        <f>SUMIF(RawData[Customer_ID],AL56,RawData[Profit])</f>
        <v>23753.72</v>
      </c>
      <c r="AR56" s="16">
        <f t="shared" si="1"/>
        <v>52054.34</v>
      </c>
      <c r="AS56" s="16" t="str">
        <f t="shared" si="2"/>
        <v>Occasional</v>
      </c>
    </row>
    <row r="57" spans="38:45" x14ac:dyDescent="0.25">
      <c r="AL57" s="16" t="s">
        <v>1760</v>
      </c>
      <c r="AM57" s="16" t="s">
        <v>414</v>
      </c>
      <c r="AN57" s="16">
        <f>COUNTIF(RawData[Customer_ID],AL57)</f>
        <v>4</v>
      </c>
      <c r="AO57" s="16">
        <f>SUMIF(RawData[Customer_ID],AL57,RawData[Quantity])</f>
        <v>10</v>
      </c>
      <c r="AP57" s="21">
        <f>SUMIF(RawData[Customer_ID],AL57,RawData[Revenue])</f>
        <v>162188.51</v>
      </c>
      <c r="AQ57" s="21">
        <f>SUMIF(RawData[Customer_ID],AL57,RawData[Profit])</f>
        <v>20028.11</v>
      </c>
      <c r="AR57" s="16">
        <f t="shared" si="1"/>
        <v>40547.127500000002</v>
      </c>
      <c r="AS57" s="16" t="str">
        <f t="shared" si="2"/>
        <v>Occasional</v>
      </c>
    </row>
    <row r="58" spans="38:45" x14ac:dyDescent="0.25">
      <c r="AL58" s="16" t="s">
        <v>1302</v>
      </c>
      <c r="AM58" s="16" t="s">
        <v>415</v>
      </c>
      <c r="AN58" s="16">
        <f>COUNTIF(RawData[Customer_ID],AL58)</f>
        <v>3</v>
      </c>
      <c r="AO58" s="16">
        <f>SUMIF(RawData[Customer_ID],AL58,RawData[Quantity])</f>
        <v>6</v>
      </c>
      <c r="AP58" s="21">
        <f>SUMIF(RawData[Customer_ID],AL58,RawData[Revenue])</f>
        <v>161086.10999999999</v>
      </c>
      <c r="AQ58" s="21">
        <f>SUMIF(RawData[Customer_ID],AL58,RawData[Profit])</f>
        <v>25356.989999999998</v>
      </c>
      <c r="AR58" s="16">
        <f t="shared" si="1"/>
        <v>53695.369999999995</v>
      </c>
      <c r="AS58" s="16" t="str">
        <f t="shared" si="2"/>
        <v>Occasional</v>
      </c>
    </row>
    <row r="59" spans="38:45" x14ac:dyDescent="0.25">
      <c r="AL59" s="16" t="s">
        <v>5095</v>
      </c>
      <c r="AM59" s="16" t="s">
        <v>416</v>
      </c>
      <c r="AN59" s="16">
        <f>COUNTIF(RawData[Customer_ID],AL59)</f>
        <v>4</v>
      </c>
      <c r="AO59" s="16">
        <f>SUMIF(RawData[Customer_ID],AL59,RawData[Quantity])</f>
        <v>10</v>
      </c>
      <c r="AP59" s="21">
        <f>SUMIF(RawData[Customer_ID],AL59,RawData[Revenue])</f>
        <v>174510.97999999998</v>
      </c>
      <c r="AQ59" s="21">
        <f>SUMIF(RawData[Customer_ID],AL59,RawData[Profit])</f>
        <v>9779.4600000000064</v>
      </c>
      <c r="AR59" s="16">
        <f t="shared" si="1"/>
        <v>43627.744999999995</v>
      </c>
      <c r="AS59" s="16" t="str">
        <f t="shared" si="2"/>
        <v>Occasional</v>
      </c>
    </row>
    <row r="60" spans="38:45" x14ac:dyDescent="0.25">
      <c r="AL60" s="16" t="s">
        <v>2539</v>
      </c>
      <c r="AM60" s="16" t="s">
        <v>417</v>
      </c>
      <c r="AN60" s="16">
        <f>COUNTIF(RawData[Customer_ID],AL60)</f>
        <v>4</v>
      </c>
      <c r="AO60" s="16">
        <f>SUMIF(RawData[Customer_ID],AL60,RawData[Quantity])</f>
        <v>13</v>
      </c>
      <c r="AP60" s="21">
        <f>SUMIF(RawData[Customer_ID],AL60,RawData[Revenue])</f>
        <v>3754</v>
      </c>
      <c r="AQ60" s="21">
        <f>SUMIF(RawData[Customer_ID],AL60,RawData[Profit])</f>
        <v>831.8</v>
      </c>
      <c r="AR60" s="16">
        <f t="shared" si="1"/>
        <v>938.5</v>
      </c>
      <c r="AS60" s="16" t="str">
        <f t="shared" si="2"/>
        <v>Occasional</v>
      </c>
    </row>
    <row r="61" spans="38:45" x14ac:dyDescent="0.25">
      <c r="AL61" s="16" t="s">
        <v>1813</v>
      </c>
      <c r="AM61" s="16" t="s">
        <v>418</v>
      </c>
      <c r="AN61" s="16">
        <f>COUNTIF(RawData[Customer_ID],AL61)</f>
        <v>2</v>
      </c>
      <c r="AO61" s="16">
        <f>SUMIF(RawData[Customer_ID],AL61,RawData[Quantity])</f>
        <v>7</v>
      </c>
      <c r="AP61" s="21">
        <f>SUMIF(RawData[Customer_ID],AL61,RawData[Revenue])</f>
        <v>121543.67999999999</v>
      </c>
      <c r="AQ61" s="21">
        <f>SUMIF(RawData[Customer_ID],AL61,RawData[Profit])</f>
        <v>12374.249999999985</v>
      </c>
      <c r="AR61" s="16">
        <f t="shared" si="1"/>
        <v>60771.839999999997</v>
      </c>
      <c r="AS61" s="16" t="str">
        <f t="shared" si="2"/>
        <v>Occasional</v>
      </c>
    </row>
    <row r="62" spans="38:45" x14ac:dyDescent="0.25">
      <c r="AL62" s="16" t="s">
        <v>2634</v>
      </c>
      <c r="AM62" s="16" t="s">
        <v>419</v>
      </c>
      <c r="AN62" s="16">
        <f>COUNTIF(RawData[Customer_ID],AL62)</f>
        <v>5</v>
      </c>
      <c r="AO62" s="16">
        <f>SUMIF(RawData[Customer_ID],AL62,RawData[Quantity])</f>
        <v>13</v>
      </c>
      <c r="AP62" s="21">
        <f>SUMIF(RawData[Customer_ID],AL62,RawData[Revenue])</f>
        <v>118427.82</v>
      </c>
      <c r="AQ62" s="21">
        <f>SUMIF(RawData[Customer_ID],AL62,RawData[Profit])</f>
        <v>14056.590000000004</v>
      </c>
      <c r="AR62" s="16">
        <f t="shared" si="1"/>
        <v>23685.564000000002</v>
      </c>
      <c r="AS62" s="16" t="str">
        <f t="shared" si="2"/>
        <v>Loyal</v>
      </c>
    </row>
    <row r="63" spans="38:45" x14ac:dyDescent="0.25">
      <c r="AL63" s="16" t="s">
        <v>1404</v>
      </c>
      <c r="AM63" s="16" t="s">
        <v>420</v>
      </c>
      <c r="AN63" s="16">
        <f>COUNTIF(RawData[Customer_ID],AL63)</f>
        <v>4</v>
      </c>
      <c r="AO63" s="16">
        <f>SUMIF(RawData[Customer_ID],AL63,RawData[Quantity])</f>
        <v>10</v>
      </c>
      <c r="AP63" s="21">
        <f>SUMIF(RawData[Customer_ID],AL63,RawData[Revenue])</f>
        <v>108243.06</v>
      </c>
      <c r="AQ63" s="21">
        <f>SUMIF(RawData[Customer_ID],AL63,RawData[Profit])</f>
        <v>8723.8599999999988</v>
      </c>
      <c r="AR63" s="16">
        <f t="shared" si="1"/>
        <v>27060.764999999999</v>
      </c>
      <c r="AS63" s="16" t="str">
        <f t="shared" si="2"/>
        <v>Occasional</v>
      </c>
    </row>
    <row r="64" spans="38:45" x14ac:dyDescent="0.25">
      <c r="AL64" s="16" t="s">
        <v>2017</v>
      </c>
      <c r="AM64" s="16" t="s">
        <v>421</v>
      </c>
      <c r="AN64" s="16">
        <f>COUNTIF(RawData[Customer_ID],AL64)</f>
        <v>3</v>
      </c>
      <c r="AO64" s="16">
        <f>SUMIF(RawData[Customer_ID],AL64,RawData[Quantity])</f>
        <v>13</v>
      </c>
      <c r="AP64" s="21">
        <f>SUMIF(RawData[Customer_ID],AL64,RawData[Revenue])</f>
        <v>234097.43999999997</v>
      </c>
      <c r="AQ64" s="21">
        <f>SUMIF(RawData[Customer_ID],AL64,RawData[Profit])</f>
        <v>37353.809999999969</v>
      </c>
      <c r="AR64" s="16">
        <f t="shared" si="1"/>
        <v>78032.479999999996</v>
      </c>
      <c r="AS64" s="16" t="str">
        <f t="shared" si="2"/>
        <v>Occasional</v>
      </c>
    </row>
    <row r="65" spans="38:45" x14ac:dyDescent="0.25">
      <c r="AL65" s="16" t="s">
        <v>1515</v>
      </c>
      <c r="AM65" s="16" t="s">
        <v>422</v>
      </c>
      <c r="AN65" s="16">
        <f>COUNTIF(RawData[Customer_ID],AL65)</f>
        <v>2</v>
      </c>
      <c r="AO65" s="16">
        <f>SUMIF(RawData[Customer_ID],AL65,RawData[Quantity])</f>
        <v>7</v>
      </c>
      <c r="AP65" s="21">
        <f>SUMIF(RawData[Customer_ID],AL65,RawData[Revenue])</f>
        <v>29908.14</v>
      </c>
      <c r="AQ65" s="21">
        <f>SUMIF(RawData[Customer_ID],AL65,RawData[Profit])</f>
        <v>6959.6399999999994</v>
      </c>
      <c r="AR65" s="16">
        <f t="shared" si="1"/>
        <v>14954.07</v>
      </c>
      <c r="AS65" s="16" t="str">
        <f t="shared" si="2"/>
        <v>Occasional</v>
      </c>
    </row>
    <row r="66" spans="38:45" x14ac:dyDescent="0.25">
      <c r="AL66" s="16" t="s">
        <v>2126</v>
      </c>
      <c r="AM66" s="16" t="s">
        <v>423</v>
      </c>
      <c r="AN66" s="16">
        <f>COUNTIF(RawData[Customer_ID],AL66)</f>
        <v>3</v>
      </c>
      <c r="AO66" s="16">
        <f>SUMIF(RawData[Customer_ID],AL66,RawData[Quantity])</f>
        <v>6</v>
      </c>
      <c r="AP66" s="21">
        <f>SUMIF(RawData[Customer_ID],AL66,RawData[Revenue])</f>
        <v>182761.25</v>
      </c>
      <c r="AQ66" s="21">
        <f>SUMIF(RawData[Customer_ID],AL66,RawData[Profit])</f>
        <v>22659.559999999987</v>
      </c>
      <c r="AR66" s="16">
        <f t="shared" si="1"/>
        <v>60920.416666666664</v>
      </c>
      <c r="AS66" s="16" t="str">
        <f t="shared" si="2"/>
        <v>Occasional</v>
      </c>
    </row>
    <row r="67" spans="38:45" x14ac:dyDescent="0.25">
      <c r="AL67" s="16" t="s">
        <v>2097</v>
      </c>
      <c r="AM67" s="16" t="s">
        <v>424</v>
      </c>
      <c r="AN67" s="16">
        <f>COUNTIF(RawData[Customer_ID],AL67)</f>
        <v>2</v>
      </c>
      <c r="AO67" s="16">
        <f>SUMIF(RawData[Customer_ID],AL67,RawData[Quantity])</f>
        <v>7</v>
      </c>
      <c r="AP67" s="21">
        <f>SUMIF(RawData[Customer_ID],AL67,RawData[Revenue])</f>
        <v>253286.40000000002</v>
      </c>
      <c r="AQ67" s="21">
        <f>SUMIF(RawData[Customer_ID],AL67,RawData[Profit])</f>
        <v>27595.500000000029</v>
      </c>
      <c r="AR67" s="16">
        <f t="shared" ref="AR67:AR130" si="28">IF(AN67=0,0,AP67/AN67)</f>
        <v>126643.20000000001</v>
      </c>
      <c r="AS67" s="16" t="str">
        <f t="shared" ref="AS67:AS130" si="29">IF(AN67=1,"One-time",IF(AN67&lt;=4,"Occasional",IF(AN67&lt;=8,"Loyal","Review")))</f>
        <v>Occasional</v>
      </c>
    </row>
    <row r="68" spans="38:45" x14ac:dyDescent="0.25">
      <c r="AL68" s="16" t="s">
        <v>1959</v>
      </c>
      <c r="AM68" s="16" t="s">
        <v>425</v>
      </c>
      <c r="AN68" s="16">
        <f>COUNTIF(RawData[Customer_ID],AL68)</f>
        <v>2</v>
      </c>
      <c r="AO68" s="16">
        <f>SUMIF(RawData[Customer_ID],AL68,RawData[Quantity])</f>
        <v>4</v>
      </c>
      <c r="AP68" s="21">
        <f>SUMIF(RawData[Customer_ID],AL68,RawData[Revenue])</f>
        <v>3535.6000000000004</v>
      </c>
      <c r="AQ68" s="21">
        <f>SUMIF(RawData[Customer_ID],AL68,RawData[Profit])</f>
        <v>1034.1000000000001</v>
      </c>
      <c r="AR68" s="16">
        <f t="shared" si="28"/>
        <v>1767.8000000000002</v>
      </c>
      <c r="AS68" s="16" t="str">
        <f t="shared" si="29"/>
        <v>Occasional</v>
      </c>
    </row>
    <row r="69" spans="38:45" x14ac:dyDescent="0.25">
      <c r="AL69" s="16" t="s">
        <v>1923</v>
      </c>
      <c r="AM69" s="16" t="s">
        <v>426</v>
      </c>
      <c r="AN69" s="16">
        <f>COUNTIF(RawData[Customer_ID],AL69)</f>
        <v>3</v>
      </c>
      <c r="AO69" s="16">
        <f>SUMIF(RawData[Customer_ID],AL69,RawData[Quantity])</f>
        <v>9</v>
      </c>
      <c r="AP69" s="21">
        <f>SUMIF(RawData[Customer_ID],AL69,RawData[Revenue])</f>
        <v>37313.89</v>
      </c>
      <c r="AQ69" s="21">
        <f>SUMIF(RawData[Customer_ID],AL69,RawData[Profit])</f>
        <v>8662.1399999999958</v>
      </c>
      <c r="AR69" s="16">
        <f t="shared" si="28"/>
        <v>12437.963333333333</v>
      </c>
      <c r="AS69" s="16" t="str">
        <f t="shared" si="29"/>
        <v>Occasional</v>
      </c>
    </row>
    <row r="70" spans="38:45" x14ac:dyDescent="0.25">
      <c r="AL70" s="16" t="s">
        <v>2415</v>
      </c>
      <c r="AM70" s="16" t="s">
        <v>427</v>
      </c>
      <c r="AN70" s="16">
        <f>COUNTIF(RawData[Customer_ID],AL70)</f>
        <v>5</v>
      </c>
      <c r="AO70" s="16">
        <f>SUMIF(RawData[Customer_ID],AL70,RawData[Quantity])</f>
        <v>15</v>
      </c>
      <c r="AP70" s="21">
        <f>SUMIF(RawData[Customer_ID],AL70,RawData[Revenue])</f>
        <v>256492.53</v>
      </c>
      <c r="AQ70" s="21">
        <f>SUMIF(RawData[Customer_ID],AL70,RawData[Profit])</f>
        <v>38753.51999999999</v>
      </c>
      <c r="AR70" s="16">
        <f t="shared" si="28"/>
        <v>51298.506000000001</v>
      </c>
      <c r="AS70" s="16" t="str">
        <f t="shared" si="29"/>
        <v>Loyal</v>
      </c>
    </row>
    <row r="71" spans="38:45" x14ac:dyDescent="0.25">
      <c r="AL71" s="16" t="s">
        <v>2359</v>
      </c>
      <c r="AM71" s="16" t="s">
        <v>428</v>
      </c>
      <c r="AN71" s="16">
        <f>COUNTIF(RawData[Customer_ID],AL71)</f>
        <v>3</v>
      </c>
      <c r="AO71" s="16">
        <f>SUMIF(RawData[Customer_ID],AL71,RawData[Quantity])</f>
        <v>7</v>
      </c>
      <c r="AP71" s="21">
        <f>SUMIF(RawData[Customer_ID],AL71,RawData[Revenue])</f>
        <v>143193.39000000001</v>
      </c>
      <c r="AQ71" s="21">
        <f>SUMIF(RawData[Customer_ID],AL71,RawData[Profit])</f>
        <v>24107.889999999992</v>
      </c>
      <c r="AR71" s="16">
        <f t="shared" si="28"/>
        <v>47731.130000000005</v>
      </c>
      <c r="AS71" s="16" t="str">
        <f t="shared" si="29"/>
        <v>Occasional</v>
      </c>
    </row>
    <row r="72" spans="38:45" x14ac:dyDescent="0.25">
      <c r="AL72" s="16" t="s">
        <v>1977</v>
      </c>
      <c r="AM72" s="16" t="s">
        <v>429</v>
      </c>
      <c r="AN72" s="16">
        <f>COUNTIF(RawData[Customer_ID],AL72)</f>
        <v>1</v>
      </c>
      <c r="AO72" s="16">
        <f>SUMIF(RawData[Customer_ID],AL72,RawData[Quantity])</f>
        <v>5</v>
      </c>
      <c r="AP72" s="21">
        <f>SUMIF(RawData[Customer_ID],AL72,RawData[Revenue])</f>
        <v>368</v>
      </c>
      <c r="AQ72" s="21">
        <f>SUMIF(RawData[Customer_ID],AL72,RawData[Profit])</f>
        <v>88</v>
      </c>
      <c r="AR72" s="16">
        <f t="shared" si="28"/>
        <v>368</v>
      </c>
      <c r="AS72" s="16" t="str">
        <f t="shared" si="29"/>
        <v>One-time</v>
      </c>
    </row>
    <row r="73" spans="38:45" x14ac:dyDescent="0.25">
      <c r="AL73" s="16" t="s">
        <v>3296</v>
      </c>
      <c r="AM73" s="16" t="s">
        <v>430</v>
      </c>
      <c r="AN73" s="16">
        <f>COUNTIF(RawData[Customer_ID],AL73)</f>
        <v>2</v>
      </c>
      <c r="AO73" s="16">
        <f>SUMIF(RawData[Customer_ID],AL73,RawData[Quantity])</f>
        <v>5</v>
      </c>
      <c r="AP73" s="21">
        <f>SUMIF(RawData[Customer_ID],AL73,RawData[Revenue])</f>
        <v>104398.98</v>
      </c>
      <c r="AQ73" s="21">
        <f>SUMIF(RawData[Customer_ID],AL73,RawData[Profit])</f>
        <v>7200.119999999999</v>
      </c>
      <c r="AR73" s="16">
        <f t="shared" si="28"/>
        <v>52199.49</v>
      </c>
      <c r="AS73" s="16" t="str">
        <f t="shared" si="29"/>
        <v>Occasional</v>
      </c>
    </row>
    <row r="74" spans="38:45" x14ac:dyDescent="0.25">
      <c r="AL74" s="16" t="s">
        <v>1975</v>
      </c>
      <c r="AM74" s="16" t="s">
        <v>431</v>
      </c>
      <c r="AN74" s="16">
        <f>COUNTIF(RawData[Customer_ID],AL74)</f>
        <v>7</v>
      </c>
      <c r="AO74" s="16">
        <f>SUMIF(RawData[Customer_ID],AL74,RawData[Quantity])</f>
        <v>21</v>
      </c>
      <c r="AP74" s="21">
        <f>SUMIF(RawData[Customer_ID],AL74,RawData[Revenue])</f>
        <v>505946.16000000003</v>
      </c>
      <c r="AQ74" s="21">
        <f>SUMIF(RawData[Customer_ID],AL74,RawData[Profit])</f>
        <v>62247.41</v>
      </c>
      <c r="AR74" s="16">
        <f t="shared" si="28"/>
        <v>72278.02285714286</v>
      </c>
      <c r="AS74" s="16" t="str">
        <f t="shared" si="29"/>
        <v>Loyal</v>
      </c>
    </row>
    <row r="75" spans="38:45" x14ac:dyDescent="0.25">
      <c r="AL75" s="16" t="s">
        <v>2464</v>
      </c>
      <c r="AM75" s="16" t="s">
        <v>432</v>
      </c>
      <c r="AN75" s="16">
        <f>COUNTIF(RawData[Customer_ID],AL75)</f>
        <v>4</v>
      </c>
      <c r="AO75" s="16">
        <f>SUMIF(RawData[Customer_ID],AL75,RawData[Quantity])</f>
        <v>11</v>
      </c>
      <c r="AP75" s="21">
        <f>SUMIF(RawData[Customer_ID],AL75,RawData[Revenue])</f>
        <v>142386.44</v>
      </c>
      <c r="AQ75" s="21">
        <f>SUMIF(RawData[Customer_ID],AL75,RawData[Profit])</f>
        <v>17045.109999999997</v>
      </c>
      <c r="AR75" s="16">
        <f t="shared" si="28"/>
        <v>35596.61</v>
      </c>
      <c r="AS75" s="16" t="str">
        <f t="shared" si="29"/>
        <v>Occasional</v>
      </c>
    </row>
    <row r="76" spans="38:45" x14ac:dyDescent="0.25">
      <c r="AL76" s="16" t="s">
        <v>1910</v>
      </c>
      <c r="AM76" s="16" t="s">
        <v>433</v>
      </c>
      <c r="AN76" s="16">
        <f>COUNTIF(RawData[Customer_ID],AL76)</f>
        <v>1</v>
      </c>
      <c r="AO76" s="16">
        <f>SUMIF(RawData[Customer_ID],AL76,RawData[Quantity])</f>
        <v>2</v>
      </c>
      <c r="AP76" s="21">
        <f>SUMIF(RawData[Customer_ID],AL76,RawData[Revenue])</f>
        <v>6821</v>
      </c>
      <c r="AQ76" s="21">
        <f>SUMIF(RawData[Customer_ID],AL76,RawData[Profit])</f>
        <v>2154</v>
      </c>
      <c r="AR76" s="16">
        <f t="shared" si="28"/>
        <v>6821</v>
      </c>
      <c r="AS76" s="16" t="str">
        <f t="shared" si="29"/>
        <v>One-time</v>
      </c>
    </row>
    <row r="77" spans="38:45" x14ac:dyDescent="0.25">
      <c r="AL77" s="16" t="s">
        <v>2135</v>
      </c>
      <c r="AM77" s="16" t="s">
        <v>434</v>
      </c>
      <c r="AN77" s="16">
        <f>COUNTIF(RawData[Customer_ID],AL77)</f>
        <v>4</v>
      </c>
      <c r="AO77" s="16">
        <f>SUMIF(RawData[Customer_ID],AL77,RawData[Quantity])</f>
        <v>13</v>
      </c>
      <c r="AP77" s="21">
        <f>SUMIF(RawData[Customer_ID],AL77,RawData[Revenue])</f>
        <v>166532.63</v>
      </c>
      <c r="AQ77" s="21">
        <f>SUMIF(RawData[Customer_ID],AL77,RawData[Profit])</f>
        <v>27338.82999999998</v>
      </c>
      <c r="AR77" s="16">
        <f t="shared" si="28"/>
        <v>41633.157500000001</v>
      </c>
      <c r="AS77" s="16" t="str">
        <f t="shared" si="29"/>
        <v>Occasional</v>
      </c>
    </row>
    <row r="78" spans="38:45" x14ac:dyDescent="0.25">
      <c r="AL78" s="16" t="s">
        <v>2048</v>
      </c>
      <c r="AM78" s="16" t="s">
        <v>435</v>
      </c>
      <c r="AN78" s="16">
        <f>COUNTIF(RawData[Customer_ID],AL78)</f>
        <v>3</v>
      </c>
      <c r="AO78" s="16">
        <f>SUMIF(RawData[Customer_ID],AL78,RawData[Quantity])</f>
        <v>11</v>
      </c>
      <c r="AP78" s="21">
        <f>SUMIF(RawData[Customer_ID],AL78,RawData[Revenue])</f>
        <v>94406.76</v>
      </c>
      <c r="AQ78" s="21">
        <f>SUMIF(RawData[Customer_ID],AL78,RawData[Profit])</f>
        <v>13696.609999999997</v>
      </c>
      <c r="AR78" s="16">
        <f t="shared" si="28"/>
        <v>31468.92</v>
      </c>
      <c r="AS78" s="16" t="str">
        <f t="shared" si="29"/>
        <v>Occasional</v>
      </c>
    </row>
    <row r="79" spans="38:45" x14ac:dyDescent="0.25">
      <c r="AL79" s="16" t="s">
        <v>3279</v>
      </c>
      <c r="AM79" s="16" t="s">
        <v>436</v>
      </c>
      <c r="AN79" s="16">
        <f>COUNTIF(RawData[Customer_ID],AL79)</f>
        <v>3</v>
      </c>
      <c r="AO79" s="16">
        <f>SUMIF(RawData[Customer_ID],AL79,RawData[Quantity])</f>
        <v>7</v>
      </c>
      <c r="AP79" s="21">
        <f>SUMIF(RawData[Customer_ID],AL79,RawData[Revenue])</f>
        <v>86257.16</v>
      </c>
      <c r="AQ79" s="21">
        <f>SUMIF(RawData[Customer_ID],AL79,RawData[Profit])</f>
        <v>14503.720000000001</v>
      </c>
      <c r="AR79" s="16">
        <f t="shared" si="28"/>
        <v>28752.386666666669</v>
      </c>
      <c r="AS79" s="16" t="str">
        <f t="shared" si="29"/>
        <v>Occasional</v>
      </c>
    </row>
    <row r="80" spans="38:45" x14ac:dyDescent="0.25">
      <c r="AL80" s="16" t="s">
        <v>2630</v>
      </c>
      <c r="AM80" s="16" t="s">
        <v>437</v>
      </c>
      <c r="AN80" s="16">
        <f>COUNTIF(RawData[Customer_ID],AL80)</f>
        <v>8</v>
      </c>
      <c r="AO80" s="16">
        <f>SUMIF(RawData[Customer_ID],AL80,RawData[Quantity])</f>
        <v>26</v>
      </c>
      <c r="AP80" s="21">
        <f>SUMIF(RawData[Customer_ID],AL80,RawData[Revenue])</f>
        <v>441659.8</v>
      </c>
      <c r="AQ80" s="21">
        <f>SUMIF(RawData[Customer_ID],AL80,RawData[Profit])</f>
        <v>67393.39999999998</v>
      </c>
      <c r="AR80" s="16">
        <f t="shared" si="28"/>
        <v>55207.474999999999</v>
      </c>
      <c r="AS80" s="16" t="str">
        <f t="shared" si="29"/>
        <v>Loyal</v>
      </c>
    </row>
    <row r="81" spans="38:45" x14ac:dyDescent="0.25">
      <c r="AL81" s="16" t="s">
        <v>3554</v>
      </c>
      <c r="AM81" s="16" t="s">
        <v>438</v>
      </c>
      <c r="AN81" s="16">
        <f>COUNTIF(RawData[Customer_ID],AL81)</f>
        <v>3</v>
      </c>
      <c r="AO81" s="16">
        <f>SUMIF(RawData[Customer_ID],AL81,RawData[Quantity])</f>
        <v>7</v>
      </c>
      <c r="AP81" s="21">
        <f>SUMIF(RawData[Customer_ID],AL81,RawData[Revenue])</f>
        <v>37444.5</v>
      </c>
      <c r="AQ81" s="21">
        <f>SUMIF(RawData[Customer_ID],AL81,RawData[Profit])</f>
        <v>8767</v>
      </c>
      <c r="AR81" s="16">
        <f t="shared" si="28"/>
        <v>12481.5</v>
      </c>
      <c r="AS81" s="16" t="str">
        <f t="shared" si="29"/>
        <v>Occasional</v>
      </c>
    </row>
    <row r="82" spans="38:45" x14ac:dyDescent="0.25">
      <c r="AL82" s="16" t="s">
        <v>1852</v>
      </c>
      <c r="AM82" s="16" t="s">
        <v>439</v>
      </c>
      <c r="AN82" s="16">
        <f>COUNTIF(RawData[Customer_ID],AL82)</f>
        <v>2</v>
      </c>
      <c r="AO82" s="16">
        <f>SUMIF(RawData[Customer_ID],AL82,RawData[Quantity])</f>
        <v>7</v>
      </c>
      <c r="AP82" s="21">
        <f>SUMIF(RawData[Customer_ID],AL82,RawData[Revenue])</f>
        <v>79771.25</v>
      </c>
      <c r="AQ82" s="21">
        <f>SUMIF(RawData[Customer_ID],AL82,RawData[Profit])</f>
        <v>10776.650000000001</v>
      </c>
      <c r="AR82" s="16">
        <f t="shared" si="28"/>
        <v>39885.625</v>
      </c>
      <c r="AS82" s="16" t="str">
        <f t="shared" si="29"/>
        <v>Occasional</v>
      </c>
    </row>
    <row r="83" spans="38:45" x14ac:dyDescent="0.25">
      <c r="AL83" s="16" t="s">
        <v>3331</v>
      </c>
      <c r="AM83" s="16" t="s">
        <v>440</v>
      </c>
      <c r="AN83" s="16">
        <f>COUNTIF(RawData[Customer_ID],AL83)</f>
        <v>5</v>
      </c>
      <c r="AO83" s="16">
        <f>SUMIF(RawData[Customer_ID],AL83,RawData[Quantity])</f>
        <v>18</v>
      </c>
      <c r="AP83" s="21">
        <f>SUMIF(RawData[Customer_ID],AL83,RawData[Revenue])</f>
        <v>109203.02</v>
      </c>
      <c r="AQ83" s="21">
        <f>SUMIF(RawData[Customer_ID],AL83,RawData[Profit])</f>
        <v>9942.520000000015</v>
      </c>
      <c r="AR83" s="16">
        <f t="shared" si="28"/>
        <v>21840.603999999999</v>
      </c>
      <c r="AS83" s="16" t="str">
        <f t="shared" si="29"/>
        <v>Loyal</v>
      </c>
    </row>
    <row r="84" spans="38:45" x14ac:dyDescent="0.25">
      <c r="AL84" s="16" t="s">
        <v>1783</v>
      </c>
      <c r="AM84" s="16" t="s">
        <v>441</v>
      </c>
      <c r="AN84" s="16">
        <f>COUNTIF(RawData[Customer_ID],AL84)</f>
        <v>5</v>
      </c>
      <c r="AO84" s="16">
        <f>SUMIF(RawData[Customer_ID],AL84,RawData[Quantity])</f>
        <v>18</v>
      </c>
      <c r="AP84" s="21">
        <f>SUMIF(RawData[Customer_ID],AL84,RawData[Revenue])</f>
        <v>204284.00999999998</v>
      </c>
      <c r="AQ84" s="21">
        <f>SUMIF(RawData[Customer_ID],AL84,RawData[Profit])</f>
        <v>32346.760000000002</v>
      </c>
      <c r="AR84" s="16">
        <f t="shared" si="28"/>
        <v>40856.801999999996</v>
      </c>
      <c r="AS84" s="16" t="str">
        <f t="shared" si="29"/>
        <v>Loyal</v>
      </c>
    </row>
    <row r="85" spans="38:45" x14ac:dyDescent="0.25">
      <c r="AL85" s="16" t="s">
        <v>3347</v>
      </c>
      <c r="AM85" s="16" t="s">
        <v>442</v>
      </c>
      <c r="AN85" s="16">
        <f>COUNTIF(RawData[Customer_ID],AL85)</f>
        <v>2</v>
      </c>
      <c r="AO85" s="16">
        <f>SUMIF(RawData[Customer_ID],AL85,RawData[Quantity])</f>
        <v>7</v>
      </c>
      <c r="AP85" s="21">
        <f>SUMIF(RawData[Customer_ID],AL85,RawData[Revenue])</f>
        <v>44258.179999999993</v>
      </c>
      <c r="AQ85" s="21">
        <f>SUMIF(RawData[Customer_ID],AL85,RawData[Profit])</f>
        <v>6524.5799999999981</v>
      </c>
      <c r="AR85" s="16">
        <f t="shared" si="28"/>
        <v>22129.089999999997</v>
      </c>
      <c r="AS85" s="16" t="str">
        <f t="shared" si="29"/>
        <v>Occasional</v>
      </c>
    </row>
    <row r="86" spans="38:45" x14ac:dyDescent="0.25">
      <c r="AL86" s="16" t="s">
        <v>3687</v>
      </c>
      <c r="AM86" s="16" t="s">
        <v>443</v>
      </c>
      <c r="AN86" s="16">
        <f>COUNTIF(RawData[Customer_ID],AL86)</f>
        <v>1</v>
      </c>
      <c r="AO86" s="16">
        <f>SUMIF(RawData[Customer_ID],AL86,RawData[Quantity])</f>
        <v>5</v>
      </c>
      <c r="AP86" s="21">
        <f>SUMIF(RawData[Customer_ID],AL86,RawData[Revenue])</f>
        <v>133370.15</v>
      </c>
      <c r="AQ86" s="21">
        <f>SUMIF(RawData[Customer_ID],AL86,RawData[Profit])</f>
        <v>16499.400000000009</v>
      </c>
      <c r="AR86" s="16">
        <f t="shared" si="28"/>
        <v>133370.15</v>
      </c>
      <c r="AS86" s="16" t="str">
        <f t="shared" si="29"/>
        <v>One-time</v>
      </c>
    </row>
    <row r="87" spans="38:45" x14ac:dyDescent="0.25">
      <c r="AL87" s="16" t="s">
        <v>2178</v>
      </c>
      <c r="AM87" s="16" t="s">
        <v>444</v>
      </c>
      <c r="AN87" s="16">
        <f>COUNTIF(RawData[Customer_ID],AL87)</f>
        <v>4</v>
      </c>
      <c r="AO87" s="16">
        <f>SUMIF(RawData[Customer_ID],AL87,RawData[Quantity])</f>
        <v>7</v>
      </c>
      <c r="AP87" s="21">
        <f>SUMIF(RawData[Customer_ID],AL87,RawData[Revenue])</f>
        <v>147018.15</v>
      </c>
      <c r="AQ87" s="21">
        <f>SUMIF(RawData[Customer_ID],AL87,RawData[Profit])</f>
        <v>26658.489999999991</v>
      </c>
      <c r="AR87" s="16">
        <f t="shared" si="28"/>
        <v>36754.537499999999</v>
      </c>
      <c r="AS87" s="16" t="str">
        <f t="shared" si="29"/>
        <v>Occasional</v>
      </c>
    </row>
    <row r="88" spans="38:45" x14ac:dyDescent="0.25">
      <c r="AL88" s="16" t="s">
        <v>2066</v>
      </c>
      <c r="AM88" s="16" t="s">
        <v>445</v>
      </c>
      <c r="AN88" s="16">
        <f>COUNTIF(RawData[Customer_ID],AL88)</f>
        <v>4</v>
      </c>
      <c r="AO88" s="16">
        <f>SUMIF(RawData[Customer_ID],AL88,RawData[Quantity])</f>
        <v>16</v>
      </c>
      <c r="AP88" s="21">
        <f>SUMIF(RawData[Customer_ID],AL88,RawData[Revenue])</f>
        <v>207860.4</v>
      </c>
      <c r="AQ88" s="21">
        <f>SUMIF(RawData[Customer_ID],AL88,RawData[Profit])</f>
        <v>34322.199999999997</v>
      </c>
      <c r="AR88" s="16">
        <f t="shared" si="28"/>
        <v>51965.1</v>
      </c>
      <c r="AS88" s="16" t="str">
        <f t="shared" si="29"/>
        <v>Occasional</v>
      </c>
    </row>
    <row r="89" spans="38:45" x14ac:dyDescent="0.25">
      <c r="AL89" s="16" t="s">
        <v>2034</v>
      </c>
      <c r="AM89" s="16" t="s">
        <v>446</v>
      </c>
      <c r="AN89" s="16">
        <f>COUNTIF(RawData[Customer_ID],AL89)</f>
        <v>4</v>
      </c>
      <c r="AO89" s="16">
        <f>SUMIF(RawData[Customer_ID],AL89,RawData[Quantity])</f>
        <v>14</v>
      </c>
      <c r="AP89" s="21">
        <f>SUMIF(RawData[Customer_ID],AL89,RawData[Revenue])</f>
        <v>177072.18</v>
      </c>
      <c r="AQ89" s="21">
        <f>SUMIF(RawData[Customer_ID],AL89,RawData[Profit])</f>
        <v>31256.38</v>
      </c>
      <c r="AR89" s="16">
        <f t="shared" si="28"/>
        <v>44268.044999999998</v>
      </c>
      <c r="AS89" s="16" t="str">
        <f t="shared" si="29"/>
        <v>Occasional</v>
      </c>
    </row>
    <row r="90" spans="38:45" x14ac:dyDescent="0.25">
      <c r="AL90" s="16" t="s">
        <v>3065</v>
      </c>
      <c r="AM90" s="16" t="s">
        <v>447</v>
      </c>
      <c r="AN90" s="16">
        <f>COUNTIF(RawData[Customer_ID],AL90)</f>
        <v>3</v>
      </c>
      <c r="AO90" s="16">
        <f>SUMIF(RawData[Customer_ID],AL90,RawData[Quantity])</f>
        <v>10</v>
      </c>
      <c r="AP90" s="21">
        <f>SUMIF(RawData[Customer_ID],AL90,RawData[Revenue])</f>
        <v>37605</v>
      </c>
      <c r="AQ90" s="21">
        <f>SUMIF(RawData[Customer_ID],AL90,RawData[Profit])</f>
        <v>9308.5</v>
      </c>
      <c r="AR90" s="16">
        <f t="shared" si="28"/>
        <v>12535</v>
      </c>
      <c r="AS90" s="16" t="str">
        <f t="shared" si="29"/>
        <v>Occasional</v>
      </c>
    </row>
    <row r="91" spans="38:45" x14ac:dyDescent="0.25">
      <c r="AL91" s="16" t="s">
        <v>3463</v>
      </c>
      <c r="AM91" s="16" t="s">
        <v>448</v>
      </c>
      <c r="AN91" s="16">
        <f>COUNTIF(RawData[Customer_ID],AL91)</f>
        <v>3</v>
      </c>
      <c r="AO91" s="16">
        <f>SUMIF(RawData[Customer_ID],AL91,RawData[Quantity])</f>
        <v>7</v>
      </c>
      <c r="AP91" s="21">
        <f>SUMIF(RawData[Customer_ID],AL91,RawData[Revenue])</f>
        <v>149652.38999999998</v>
      </c>
      <c r="AQ91" s="21">
        <f>SUMIF(RawData[Customer_ID],AL91,RawData[Profit])</f>
        <v>10394.849999999977</v>
      </c>
      <c r="AR91" s="16">
        <f t="shared" si="28"/>
        <v>49884.13</v>
      </c>
      <c r="AS91" s="16" t="str">
        <f t="shared" si="29"/>
        <v>Occasional</v>
      </c>
    </row>
    <row r="92" spans="38:45" x14ac:dyDescent="0.25">
      <c r="AL92" s="16" t="s">
        <v>1837</v>
      </c>
      <c r="AM92" s="16" t="s">
        <v>449</v>
      </c>
      <c r="AN92" s="16">
        <f>COUNTIF(RawData[Customer_ID],AL92)</f>
        <v>6</v>
      </c>
      <c r="AO92" s="16">
        <f>SUMIF(RawData[Customer_ID],AL92,RawData[Quantity])</f>
        <v>15</v>
      </c>
      <c r="AP92" s="21">
        <f>SUMIF(RawData[Customer_ID],AL92,RawData[Revenue])</f>
        <v>220652.66</v>
      </c>
      <c r="AQ92" s="21">
        <f>SUMIF(RawData[Customer_ID],AL92,RawData[Profit])</f>
        <v>23239.360000000022</v>
      </c>
      <c r="AR92" s="16">
        <f t="shared" si="28"/>
        <v>36775.443333333336</v>
      </c>
      <c r="AS92" s="16" t="str">
        <f t="shared" si="29"/>
        <v>Loyal</v>
      </c>
    </row>
    <row r="93" spans="38:45" x14ac:dyDescent="0.25">
      <c r="AL93" s="16" t="s">
        <v>3369</v>
      </c>
      <c r="AM93" s="16" t="s">
        <v>450</v>
      </c>
      <c r="AN93" s="16">
        <f>COUNTIF(RawData[Customer_ID],AL93)</f>
        <v>1</v>
      </c>
      <c r="AO93" s="16">
        <f>SUMIF(RawData[Customer_ID],AL93,RawData[Quantity])</f>
        <v>5</v>
      </c>
      <c r="AP93" s="21">
        <f>SUMIF(RawData[Customer_ID],AL93,RawData[Revenue])</f>
        <v>43645.15</v>
      </c>
      <c r="AQ93" s="21">
        <f>SUMIF(RawData[Customer_ID],AL93,RawData[Profit])</f>
        <v>11248.750000000004</v>
      </c>
      <c r="AR93" s="16">
        <f t="shared" si="28"/>
        <v>43645.15</v>
      </c>
      <c r="AS93" s="16" t="str">
        <f t="shared" si="29"/>
        <v>One-time</v>
      </c>
    </row>
    <row r="94" spans="38:45" x14ac:dyDescent="0.25">
      <c r="AL94" s="16" t="s">
        <v>1279</v>
      </c>
      <c r="AM94" s="16" t="s">
        <v>451</v>
      </c>
      <c r="AN94" s="16">
        <f>COUNTIF(RawData[Customer_ID],AL94)</f>
        <v>2</v>
      </c>
      <c r="AO94" s="16">
        <f>SUMIF(RawData[Customer_ID],AL94,RawData[Quantity])</f>
        <v>8</v>
      </c>
      <c r="AP94" s="21">
        <f>SUMIF(RawData[Customer_ID],AL94,RawData[Revenue])</f>
        <v>261677.25</v>
      </c>
      <c r="AQ94" s="21">
        <f>SUMIF(RawData[Customer_ID],AL94,RawData[Profit])</f>
        <v>35888.850000000006</v>
      </c>
      <c r="AR94" s="16">
        <f t="shared" si="28"/>
        <v>130838.625</v>
      </c>
      <c r="AS94" s="16" t="str">
        <f t="shared" si="29"/>
        <v>Occasional</v>
      </c>
    </row>
    <row r="95" spans="38:45" x14ac:dyDescent="0.25">
      <c r="AL95" s="16" t="s">
        <v>2600</v>
      </c>
      <c r="AM95" s="16" t="s">
        <v>452</v>
      </c>
      <c r="AN95" s="16">
        <f>COUNTIF(RawData[Customer_ID],AL95)</f>
        <v>3</v>
      </c>
      <c r="AO95" s="16">
        <f>SUMIF(RawData[Customer_ID],AL95,RawData[Quantity])</f>
        <v>11</v>
      </c>
      <c r="AP95" s="21">
        <f>SUMIF(RawData[Customer_ID],AL95,RawData[Revenue])</f>
        <v>290970.23999999999</v>
      </c>
      <c r="AQ95" s="21">
        <f>SUMIF(RawData[Customer_ID],AL95,RawData[Profit])</f>
        <v>41692.190000000017</v>
      </c>
      <c r="AR95" s="16">
        <f t="shared" si="28"/>
        <v>96990.080000000002</v>
      </c>
      <c r="AS95" s="16" t="str">
        <f t="shared" si="29"/>
        <v>Occasional</v>
      </c>
    </row>
    <row r="96" spans="38:45" x14ac:dyDescent="0.25">
      <c r="AL96" s="16" t="s">
        <v>2541</v>
      </c>
      <c r="AM96" s="16" t="s">
        <v>453</v>
      </c>
      <c r="AN96" s="16">
        <f>COUNTIF(RawData[Customer_ID],AL96)</f>
        <v>4</v>
      </c>
      <c r="AO96" s="16">
        <f>SUMIF(RawData[Customer_ID],AL96,RawData[Quantity])</f>
        <v>11</v>
      </c>
      <c r="AP96" s="21">
        <f>SUMIF(RawData[Customer_ID],AL96,RawData[Revenue])</f>
        <v>100774.35</v>
      </c>
      <c r="AQ96" s="21">
        <f>SUMIF(RawData[Customer_ID],AL96,RawData[Profit])</f>
        <v>16271.549999999996</v>
      </c>
      <c r="AR96" s="16">
        <f t="shared" si="28"/>
        <v>25193.587500000001</v>
      </c>
      <c r="AS96" s="16" t="str">
        <f t="shared" si="29"/>
        <v>Occasional</v>
      </c>
    </row>
    <row r="97" spans="38:45" x14ac:dyDescent="0.25">
      <c r="AL97" s="16" t="s">
        <v>2254</v>
      </c>
      <c r="AM97" s="16" t="s">
        <v>454</v>
      </c>
      <c r="AN97" s="16">
        <f>COUNTIF(RawData[Customer_ID],AL97)</f>
        <v>1</v>
      </c>
      <c r="AO97" s="16">
        <f>SUMIF(RawData[Customer_ID],AL97,RawData[Quantity])</f>
        <v>3</v>
      </c>
      <c r="AP97" s="21">
        <f>SUMIF(RawData[Customer_ID],AL97,RawData[Revenue])</f>
        <v>122547.15</v>
      </c>
      <c r="AQ97" s="21">
        <f>SUMIF(RawData[Customer_ID],AL97,RawData[Profit])</f>
        <v>21929.489999999991</v>
      </c>
      <c r="AR97" s="16">
        <f t="shared" si="28"/>
        <v>122547.15</v>
      </c>
      <c r="AS97" s="16" t="str">
        <f t="shared" si="29"/>
        <v>One-time</v>
      </c>
    </row>
    <row r="98" spans="38:45" x14ac:dyDescent="0.25">
      <c r="AL98" s="16" t="s">
        <v>3487</v>
      </c>
      <c r="AM98" s="16" t="s">
        <v>455</v>
      </c>
      <c r="AN98" s="16">
        <f>COUNTIF(RawData[Customer_ID],AL98)</f>
        <v>3</v>
      </c>
      <c r="AO98" s="16">
        <f>SUMIF(RawData[Customer_ID],AL98,RawData[Quantity])</f>
        <v>10</v>
      </c>
      <c r="AP98" s="21">
        <f>SUMIF(RawData[Customer_ID],AL98,RawData[Revenue])</f>
        <v>295198</v>
      </c>
      <c r="AQ98" s="21">
        <f>SUMIF(RawData[Customer_ID],AL98,RawData[Profit])</f>
        <v>31711</v>
      </c>
      <c r="AR98" s="16">
        <f t="shared" si="28"/>
        <v>98399.333333333328</v>
      </c>
      <c r="AS98" s="16" t="str">
        <f t="shared" si="29"/>
        <v>Occasional</v>
      </c>
    </row>
    <row r="99" spans="38:45" x14ac:dyDescent="0.25">
      <c r="AL99" s="16" t="s">
        <v>1530</v>
      </c>
      <c r="AM99" s="16" t="s">
        <v>456</v>
      </c>
      <c r="AN99" s="16">
        <f>COUNTIF(RawData[Customer_ID],AL99)</f>
        <v>5</v>
      </c>
      <c r="AO99" s="16">
        <f>SUMIF(RawData[Customer_ID],AL99,RawData[Quantity])</f>
        <v>17</v>
      </c>
      <c r="AP99" s="21">
        <f>SUMIF(RawData[Customer_ID],AL99,RawData[Revenue])</f>
        <v>278142.49</v>
      </c>
      <c r="AQ99" s="21">
        <f>SUMIF(RawData[Customer_ID],AL99,RawData[Profit])</f>
        <v>41221.039999999986</v>
      </c>
      <c r="AR99" s="16">
        <f t="shared" si="28"/>
        <v>55628.498</v>
      </c>
      <c r="AS99" s="16" t="str">
        <f t="shared" si="29"/>
        <v>Loyal</v>
      </c>
    </row>
    <row r="100" spans="38:45" x14ac:dyDescent="0.25">
      <c r="AL100" s="16" t="s">
        <v>2291</v>
      </c>
      <c r="AM100" s="16" t="s">
        <v>457</v>
      </c>
      <c r="AN100" s="16">
        <f>COUNTIF(RawData[Customer_ID],AL100)</f>
        <v>4</v>
      </c>
      <c r="AO100" s="16">
        <f>SUMIF(RawData[Customer_ID],AL100,RawData[Quantity])</f>
        <v>13</v>
      </c>
      <c r="AP100" s="21">
        <f>SUMIF(RawData[Customer_ID],AL100,RawData[Revenue])</f>
        <v>298485.66000000003</v>
      </c>
      <c r="AQ100" s="21">
        <f>SUMIF(RawData[Customer_ID],AL100,RawData[Profit])</f>
        <v>43882.799999999988</v>
      </c>
      <c r="AR100" s="16">
        <f t="shared" si="28"/>
        <v>74621.415000000008</v>
      </c>
      <c r="AS100" s="16" t="str">
        <f t="shared" si="29"/>
        <v>Occasional</v>
      </c>
    </row>
    <row r="101" spans="38:45" x14ac:dyDescent="0.25">
      <c r="AL101" s="16" t="s">
        <v>2484</v>
      </c>
      <c r="AM101" s="16" t="s">
        <v>458</v>
      </c>
      <c r="AN101" s="16">
        <f>COUNTIF(RawData[Customer_ID],AL101)</f>
        <v>2</v>
      </c>
      <c r="AO101" s="16">
        <f>SUMIF(RawData[Customer_ID],AL101,RawData[Quantity])</f>
        <v>5</v>
      </c>
      <c r="AP101" s="21">
        <f>SUMIF(RawData[Customer_ID],AL101,RawData[Revenue])</f>
        <v>9007</v>
      </c>
      <c r="AQ101" s="21">
        <f>SUMIF(RawData[Customer_ID],AL101,RawData[Profit])</f>
        <v>1408</v>
      </c>
      <c r="AR101" s="16">
        <f t="shared" si="28"/>
        <v>4503.5</v>
      </c>
      <c r="AS101" s="16" t="str">
        <f t="shared" si="29"/>
        <v>Occasional</v>
      </c>
    </row>
    <row r="102" spans="38:45" x14ac:dyDescent="0.25">
      <c r="AL102" s="16" t="s">
        <v>3018</v>
      </c>
      <c r="AM102" s="16" t="s">
        <v>459</v>
      </c>
      <c r="AN102" s="16">
        <f>COUNTIF(RawData[Customer_ID],AL102)</f>
        <v>6</v>
      </c>
      <c r="AO102" s="16">
        <f>SUMIF(RawData[Customer_ID],AL102,RawData[Quantity])</f>
        <v>20</v>
      </c>
      <c r="AP102" s="21">
        <f>SUMIF(RawData[Customer_ID],AL102,RawData[Revenue])</f>
        <v>287062.09000000003</v>
      </c>
      <c r="AQ102" s="21">
        <f>SUMIF(RawData[Customer_ID],AL102,RawData[Profit])</f>
        <v>51556.030000000006</v>
      </c>
      <c r="AR102" s="16">
        <f t="shared" si="28"/>
        <v>47843.681666666671</v>
      </c>
      <c r="AS102" s="16" t="str">
        <f t="shared" si="29"/>
        <v>Loyal</v>
      </c>
    </row>
    <row r="103" spans="38:45" x14ac:dyDescent="0.25">
      <c r="AL103" s="16" t="s">
        <v>2922</v>
      </c>
      <c r="AM103" s="16" t="s">
        <v>460</v>
      </c>
      <c r="AN103" s="16">
        <f>COUNTIF(RawData[Customer_ID],AL103)</f>
        <v>2</v>
      </c>
      <c r="AO103" s="16">
        <f>SUMIF(RawData[Customer_ID],AL103,RawData[Quantity])</f>
        <v>4</v>
      </c>
      <c r="AP103" s="21">
        <f>SUMIF(RawData[Customer_ID],AL103,RawData[Revenue])</f>
        <v>497.4</v>
      </c>
      <c r="AQ103" s="21">
        <f>SUMIF(RawData[Customer_ID],AL103,RawData[Profit])</f>
        <v>123.30000000000001</v>
      </c>
      <c r="AR103" s="16">
        <f t="shared" si="28"/>
        <v>248.7</v>
      </c>
      <c r="AS103" s="16" t="str">
        <f t="shared" si="29"/>
        <v>Occasional</v>
      </c>
    </row>
    <row r="104" spans="38:45" x14ac:dyDescent="0.25">
      <c r="AL104" s="16" t="s">
        <v>2669</v>
      </c>
      <c r="AM104" s="16" t="s">
        <v>461</v>
      </c>
      <c r="AN104" s="16">
        <f>COUNTIF(RawData[Customer_ID],AL104)</f>
        <v>6</v>
      </c>
      <c r="AO104" s="16">
        <f>SUMIF(RawData[Customer_ID],AL104,RawData[Quantity])</f>
        <v>14</v>
      </c>
      <c r="AP104" s="21">
        <f>SUMIF(RawData[Customer_ID],AL104,RawData[Revenue])</f>
        <v>203781.85</v>
      </c>
      <c r="AQ104" s="21">
        <f>SUMIF(RawData[Customer_ID],AL104,RawData[Profit])</f>
        <v>7816.7600000000239</v>
      </c>
      <c r="AR104" s="16">
        <f t="shared" si="28"/>
        <v>33963.64166666667</v>
      </c>
      <c r="AS104" s="16" t="str">
        <f t="shared" si="29"/>
        <v>Loyal</v>
      </c>
    </row>
    <row r="105" spans="38:45" x14ac:dyDescent="0.25">
      <c r="AL105" s="16" t="s">
        <v>3193</v>
      </c>
      <c r="AM105" s="16" t="s">
        <v>462</v>
      </c>
      <c r="AN105" s="16">
        <f>COUNTIF(RawData[Customer_ID],AL105)</f>
        <v>3</v>
      </c>
      <c r="AO105" s="16">
        <f>SUMIF(RawData[Customer_ID],AL105,RawData[Quantity])</f>
        <v>9</v>
      </c>
      <c r="AP105" s="21">
        <f>SUMIF(RawData[Customer_ID],AL105,RawData[Revenue])</f>
        <v>124465.56</v>
      </c>
      <c r="AQ105" s="21">
        <f>SUMIF(RawData[Customer_ID],AL105,RawData[Profit])</f>
        <v>20192.199999999997</v>
      </c>
      <c r="AR105" s="16">
        <f t="shared" si="28"/>
        <v>41488.519999999997</v>
      </c>
      <c r="AS105" s="16" t="str">
        <f t="shared" si="29"/>
        <v>Occasional</v>
      </c>
    </row>
    <row r="106" spans="38:45" x14ac:dyDescent="0.25">
      <c r="AL106" s="16" t="s">
        <v>2584</v>
      </c>
      <c r="AM106" s="16" t="s">
        <v>463</v>
      </c>
      <c r="AN106" s="16">
        <f>COUNTIF(RawData[Customer_ID],AL106)</f>
        <v>3</v>
      </c>
      <c r="AO106" s="16">
        <f>SUMIF(RawData[Customer_ID],AL106,RawData[Quantity])</f>
        <v>11</v>
      </c>
      <c r="AP106" s="21">
        <f>SUMIF(RawData[Customer_ID],AL106,RawData[Revenue])</f>
        <v>140156.54999999999</v>
      </c>
      <c r="AQ106" s="21">
        <f>SUMIF(RawData[Customer_ID],AL106,RawData[Profit])</f>
        <v>22046.899999999976</v>
      </c>
      <c r="AR106" s="16">
        <f t="shared" si="28"/>
        <v>46718.85</v>
      </c>
      <c r="AS106" s="16" t="str">
        <f t="shared" si="29"/>
        <v>Occasional</v>
      </c>
    </row>
    <row r="107" spans="38:45" x14ac:dyDescent="0.25">
      <c r="AL107" s="16" t="s">
        <v>1433</v>
      </c>
      <c r="AM107" s="16" t="s">
        <v>464</v>
      </c>
      <c r="AN107" s="16">
        <f>COUNTIF(RawData[Customer_ID],AL107)</f>
        <v>3</v>
      </c>
      <c r="AO107" s="16">
        <f>SUMIF(RawData[Customer_ID],AL107,RawData[Quantity])</f>
        <v>5</v>
      </c>
      <c r="AP107" s="21">
        <f>SUMIF(RawData[Customer_ID],AL107,RawData[Revenue])</f>
        <v>83610.52</v>
      </c>
      <c r="AQ107" s="21">
        <f>SUMIF(RawData[Customer_ID],AL107,RawData[Profit])</f>
        <v>13290.36</v>
      </c>
      <c r="AR107" s="16">
        <f t="shared" si="28"/>
        <v>27870.173333333336</v>
      </c>
      <c r="AS107" s="16" t="str">
        <f t="shared" si="29"/>
        <v>Occasional</v>
      </c>
    </row>
    <row r="108" spans="38:45" x14ac:dyDescent="0.25">
      <c r="AL108" s="16" t="s">
        <v>1961</v>
      </c>
      <c r="AM108" s="16" t="s">
        <v>465</v>
      </c>
      <c r="AN108" s="16">
        <f>COUNTIF(RawData[Customer_ID],AL108)</f>
        <v>3</v>
      </c>
      <c r="AO108" s="16">
        <f>SUMIF(RawData[Customer_ID],AL108,RawData[Quantity])</f>
        <v>8</v>
      </c>
      <c r="AP108" s="21">
        <f>SUMIF(RawData[Customer_ID],AL108,RawData[Revenue])</f>
        <v>78760.200000000012</v>
      </c>
      <c r="AQ108" s="21">
        <f>SUMIF(RawData[Customer_ID],AL108,RawData[Profit])</f>
        <v>9091.9000000000087</v>
      </c>
      <c r="AR108" s="16">
        <f t="shared" si="28"/>
        <v>26253.400000000005</v>
      </c>
      <c r="AS108" s="16" t="str">
        <f t="shared" si="29"/>
        <v>Occasional</v>
      </c>
    </row>
    <row r="109" spans="38:45" x14ac:dyDescent="0.25">
      <c r="AL109" s="16" t="s">
        <v>3373</v>
      </c>
      <c r="AM109" s="16" t="s">
        <v>466</v>
      </c>
      <c r="AN109" s="16">
        <f>COUNTIF(RawData[Customer_ID],AL109)</f>
        <v>3</v>
      </c>
      <c r="AO109" s="16">
        <f>SUMIF(RawData[Customer_ID],AL109,RawData[Quantity])</f>
        <v>12</v>
      </c>
      <c r="AP109" s="21">
        <f>SUMIF(RawData[Customer_ID],AL109,RawData[Revenue])</f>
        <v>294722.24</v>
      </c>
      <c r="AQ109" s="21">
        <f>SUMIF(RawData[Customer_ID],AL109,RawData[Profit])</f>
        <v>46155.439999999988</v>
      </c>
      <c r="AR109" s="16">
        <f t="shared" si="28"/>
        <v>98240.746666666659</v>
      </c>
      <c r="AS109" s="16" t="str">
        <f t="shared" si="29"/>
        <v>Occasional</v>
      </c>
    </row>
    <row r="110" spans="38:45" x14ac:dyDescent="0.25">
      <c r="AL110" s="16" t="s">
        <v>2277</v>
      </c>
      <c r="AM110" s="16" t="s">
        <v>467</v>
      </c>
      <c r="AN110" s="16">
        <f>COUNTIF(RawData[Customer_ID],AL110)</f>
        <v>3</v>
      </c>
      <c r="AO110" s="16">
        <f>SUMIF(RawData[Customer_ID],AL110,RawData[Quantity])</f>
        <v>9</v>
      </c>
      <c r="AP110" s="21">
        <f>SUMIF(RawData[Customer_ID],AL110,RawData[Revenue])</f>
        <v>229501.5</v>
      </c>
      <c r="AQ110" s="21">
        <f>SUMIF(RawData[Customer_ID],AL110,RawData[Profit])</f>
        <v>27944.01</v>
      </c>
      <c r="AR110" s="16">
        <f t="shared" si="28"/>
        <v>76500.5</v>
      </c>
      <c r="AS110" s="16" t="str">
        <f t="shared" si="29"/>
        <v>Occasional</v>
      </c>
    </row>
    <row r="111" spans="38:45" x14ac:dyDescent="0.25">
      <c r="AL111" s="16" t="s">
        <v>2723</v>
      </c>
      <c r="AM111" s="16" t="s">
        <v>468</v>
      </c>
      <c r="AN111" s="16">
        <f>COUNTIF(RawData[Customer_ID],AL111)</f>
        <v>3</v>
      </c>
      <c r="AO111" s="16">
        <f>SUMIF(RawData[Customer_ID],AL111,RawData[Quantity])</f>
        <v>12</v>
      </c>
      <c r="AP111" s="21">
        <f>SUMIF(RawData[Customer_ID],AL111,RawData[Revenue])</f>
        <v>398278.68</v>
      </c>
      <c r="AQ111" s="21">
        <f>SUMIF(RawData[Customer_ID],AL111,RawData[Profit])</f>
        <v>62268.299999999996</v>
      </c>
      <c r="AR111" s="16">
        <f t="shared" si="28"/>
        <v>132759.56</v>
      </c>
      <c r="AS111" s="16" t="str">
        <f t="shared" si="29"/>
        <v>Occasional</v>
      </c>
    </row>
    <row r="112" spans="38:45" x14ac:dyDescent="0.25">
      <c r="AL112" s="16" t="s">
        <v>1993</v>
      </c>
      <c r="AM112" s="16" t="s">
        <v>469</v>
      </c>
      <c r="AN112" s="16">
        <f>COUNTIF(RawData[Customer_ID],AL112)</f>
        <v>2</v>
      </c>
      <c r="AO112" s="16">
        <f>SUMIF(RawData[Customer_ID],AL112,RawData[Quantity])</f>
        <v>8</v>
      </c>
      <c r="AP112" s="21">
        <f>SUMIF(RawData[Customer_ID],AL112,RawData[Revenue])</f>
        <v>86973.3</v>
      </c>
      <c r="AQ112" s="21">
        <f>SUMIF(RawData[Customer_ID],AL112,RawData[Profit])</f>
        <v>9767.6999999999971</v>
      </c>
      <c r="AR112" s="16">
        <f t="shared" si="28"/>
        <v>43486.65</v>
      </c>
      <c r="AS112" s="16" t="str">
        <f t="shared" si="29"/>
        <v>Occasional</v>
      </c>
    </row>
    <row r="113" spans="38:45" x14ac:dyDescent="0.25">
      <c r="AL113" s="16" t="s">
        <v>2576</v>
      </c>
      <c r="AM113" s="16" t="s">
        <v>470</v>
      </c>
      <c r="AN113" s="16">
        <f>COUNTIF(RawData[Customer_ID],AL113)</f>
        <v>1</v>
      </c>
      <c r="AO113" s="16">
        <f>SUMIF(RawData[Customer_ID],AL113,RawData[Quantity])</f>
        <v>2</v>
      </c>
      <c r="AP113" s="21">
        <f>SUMIF(RawData[Customer_ID],AL113,RawData[Revenue])</f>
        <v>297</v>
      </c>
      <c r="AQ113" s="21">
        <f>SUMIF(RawData[Customer_ID],AL113,RawData[Profit])</f>
        <v>102</v>
      </c>
      <c r="AR113" s="16">
        <f t="shared" si="28"/>
        <v>297</v>
      </c>
      <c r="AS113" s="16" t="str">
        <f t="shared" si="29"/>
        <v>One-time</v>
      </c>
    </row>
    <row r="114" spans="38:45" x14ac:dyDescent="0.25">
      <c r="AL114" s="16" t="s">
        <v>2905</v>
      </c>
      <c r="AM114" s="16" t="s">
        <v>471</v>
      </c>
      <c r="AN114" s="16">
        <f>COUNTIF(RawData[Customer_ID],AL114)</f>
        <v>4</v>
      </c>
      <c r="AO114" s="16">
        <f>SUMIF(RawData[Customer_ID],AL114,RawData[Quantity])</f>
        <v>9</v>
      </c>
      <c r="AP114" s="21">
        <f>SUMIF(RawData[Customer_ID],AL114,RawData[Revenue])</f>
        <v>145458.97999999998</v>
      </c>
      <c r="AQ114" s="21">
        <f>SUMIF(RawData[Customer_ID],AL114,RawData[Profit])</f>
        <v>21224.419999999991</v>
      </c>
      <c r="AR114" s="16">
        <f t="shared" si="28"/>
        <v>36364.744999999995</v>
      </c>
      <c r="AS114" s="16" t="str">
        <f t="shared" si="29"/>
        <v>Occasional</v>
      </c>
    </row>
    <row r="115" spans="38:45" x14ac:dyDescent="0.25">
      <c r="AL115" s="16" t="s">
        <v>1740</v>
      </c>
      <c r="AM115" s="16" t="s">
        <v>472</v>
      </c>
      <c r="AN115" s="16">
        <f>COUNTIF(RawData[Customer_ID],AL115)</f>
        <v>1</v>
      </c>
      <c r="AO115" s="16">
        <f>SUMIF(RawData[Customer_ID],AL115,RawData[Quantity])</f>
        <v>2</v>
      </c>
      <c r="AP115" s="21">
        <f>SUMIF(RawData[Customer_ID],AL115,RawData[Revenue])</f>
        <v>152</v>
      </c>
      <c r="AQ115" s="21">
        <f>SUMIF(RawData[Customer_ID],AL115,RawData[Profit])</f>
        <v>40</v>
      </c>
      <c r="AR115" s="16">
        <f t="shared" si="28"/>
        <v>152</v>
      </c>
      <c r="AS115" s="16" t="str">
        <f t="shared" si="29"/>
        <v>One-time</v>
      </c>
    </row>
    <row r="116" spans="38:45" x14ac:dyDescent="0.25">
      <c r="AL116" s="16" t="s">
        <v>2106</v>
      </c>
      <c r="AM116" s="16" t="s">
        <v>473</v>
      </c>
      <c r="AN116" s="16">
        <f>COUNTIF(RawData[Customer_ID],AL116)</f>
        <v>2</v>
      </c>
      <c r="AO116" s="16">
        <f>SUMIF(RawData[Customer_ID],AL116,RawData[Quantity])</f>
        <v>5</v>
      </c>
      <c r="AP116" s="21">
        <f>SUMIF(RawData[Customer_ID],AL116,RawData[Revenue])</f>
        <v>78607.38</v>
      </c>
      <c r="AQ116" s="21">
        <f>SUMIF(RawData[Customer_ID],AL116,RawData[Profit])</f>
        <v>11284.140000000005</v>
      </c>
      <c r="AR116" s="16">
        <f t="shared" si="28"/>
        <v>39303.69</v>
      </c>
      <c r="AS116" s="16" t="str">
        <f t="shared" si="29"/>
        <v>Occasional</v>
      </c>
    </row>
    <row r="117" spans="38:45" x14ac:dyDescent="0.25">
      <c r="AL117" s="16" t="s">
        <v>1577</v>
      </c>
      <c r="AM117" s="16" t="s">
        <v>474</v>
      </c>
      <c r="AN117" s="16">
        <f>COUNTIF(RawData[Customer_ID],AL117)</f>
        <v>1</v>
      </c>
      <c r="AO117" s="16">
        <f>SUMIF(RawData[Customer_ID],AL117,RawData[Quantity])</f>
        <v>2</v>
      </c>
      <c r="AP117" s="21">
        <f>SUMIF(RawData[Customer_ID],AL117,RawData[Revenue])</f>
        <v>21598.2</v>
      </c>
      <c r="AQ117" s="21">
        <f>SUMIF(RawData[Customer_ID],AL117,RawData[Profit])</f>
        <v>3599.7000000000007</v>
      </c>
      <c r="AR117" s="16">
        <f t="shared" si="28"/>
        <v>21598.2</v>
      </c>
      <c r="AS117" s="16" t="str">
        <f t="shared" si="29"/>
        <v>One-time</v>
      </c>
    </row>
    <row r="118" spans="38:45" x14ac:dyDescent="0.25">
      <c r="AL118" s="16" t="s">
        <v>1701</v>
      </c>
      <c r="AM118" s="16" t="s">
        <v>475</v>
      </c>
      <c r="AN118" s="16">
        <f>COUNTIF(RawData[Customer_ID],AL118)</f>
        <v>3</v>
      </c>
      <c r="AO118" s="16">
        <f>SUMIF(RawData[Customer_ID],AL118,RawData[Quantity])</f>
        <v>8</v>
      </c>
      <c r="AP118" s="21">
        <f>SUMIF(RawData[Customer_ID],AL118,RawData[Revenue])</f>
        <v>49080.44</v>
      </c>
      <c r="AQ118" s="21">
        <f>SUMIF(RawData[Customer_ID],AL118,RawData[Profit])</f>
        <v>7975.2400000000016</v>
      </c>
      <c r="AR118" s="16">
        <f t="shared" si="28"/>
        <v>16360.146666666667</v>
      </c>
      <c r="AS118" s="16" t="str">
        <f t="shared" si="29"/>
        <v>Occasional</v>
      </c>
    </row>
    <row r="119" spans="38:45" x14ac:dyDescent="0.25">
      <c r="AL119" s="16" t="s">
        <v>1650</v>
      </c>
      <c r="AM119" s="16" t="s">
        <v>476</v>
      </c>
      <c r="AN119" s="16">
        <f>COUNTIF(RawData[Customer_ID],AL119)</f>
        <v>4</v>
      </c>
      <c r="AO119" s="16">
        <f>SUMIF(RawData[Customer_ID],AL119,RawData[Quantity])</f>
        <v>16</v>
      </c>
      <c r="AP119" s="21">
        <f>SUMIF(RawData[Customer_ID],AL119,RawData[Revenue])</f>
        <v>289444.12</v>
      </c>
      <c r="AQ119" s="21">
        <f>SUMIF(RawData[Customer_ID],AL119,RawData[Profit])</f>
        <v>39039.520000000004</v>
      </c>
      <c r="AR119" s="16">
        <f t="shared" si="28"/>
        <v>72361.03</v>
      </c>
      <c r="AS119" s="16" t="str">
        <f t="shared" si="29"/>
        <v>Occasional</v>
      </c>
    </row>
    <row r="120" spans="38:45" x14ac:dyDescent="0.25">
      <c r="AL120" s="16" t="s">
        <v>3853</v>
      </c>
      <c r="AM120" s="16" t="s">
        <v>477</v>
      </c>
      <c r="AN120" s="16">
        <f>COUNTIF(RawData[Customer_ID],AL120)</f>
        <v>1</v>
      </c>
      <c r="AO120" s="16">
        <f>SUMIF(RawData[Customer_ID],AL120,RawData[Quantity])</f>
        <v>3</v>
      </c>
      <c r="AP120" s="21">
        <f>SUMIF(RawData[Customer_ID],AL120,RawData[Revenue])</f>
        <v>213.6</v>
      </c>
      <c r="AQ120" s="21">
        <f>SUMIF(RawData[Customer_ID],AL120,RawData[Profit])</f>
        <v>45.599999999999994</v>
      </c>
      <c r="AR120" s="16">
        <f t="shared" si="28"/>
        <v>213.6</v>
      </c>
      <c r="AS120" s="16" t="str">
        <f t="shared" si="29"/>
        <v>One-time</v>
      </c>
    </row>
    <row r="121" spans="38:45" x14ac:dyDescent="0.25">
      <c r="AL121" s="16" t="s">
        <v>2454</v>
      </c>
      <c r="AM121" s="16" t="s">
        <v>478</v>
      </c>
      <c r="AN121" s="16">
        <f>COUNTIF(RawData[Customer_ID],AL121)</f>
        <v>6</v>
      </c>
      <c r="AO121" s="16">
        <f>SUMIF(RawData[Customer_ID],AL121,RawData[Quantity])</f>
        <v>19</v>
      </c>
      <c r="AP121" s="21">
        <f>SUMIF(RawData[Customer_ID],AL121,RawData[Revenue])</f>
        <v>255837.84000000003</v>
      </c>
      <c r="AQ121" s="21">
        <f>SUMIF(RawData[Customer_ID],AL121,RawData[Profit])</f>
        <v>32184.000000000004</v>
      </c>
      <c r="AR121" s="16">
        <f t="shared" si="28"/>
        <v>42639.640000000007</v>
      </c>
      <c r="AS121" s="16" t="str">
        <f t="shared" si="29"/>
        <v>Loyal</v>
      </c>
    </row>
    <row r="122" spans="38:45" x14ac:dyDescent="0.25">
      <c r="AL122" s="16" t="s">
        <v>2797</v>
      </c>
      <c r="AM122" s="16" t="s">
        <v>380</v>
      </c>
      <c r="AN122" s="16">
        <f>COUNTIF(RawData[Customer_ID],AL122)</f>
        <v>6</v>
      </c>
      <c r="AO122" s="16">
        <f>SUMIF(RawData[Customer_ID],AL122,RawData[Quantity])</f>
        <v>17</v>
      </c>
      <c r="AP122" s="21">
        <f>SUMIF(RawData[Customer_ID],AL122,RawData[Revenue])</f>
        <v>367568.48</v>
      </c>
      <c r="AQ122" s="21">
        <f>SUMIF(RawData[Customer_ID],AL122,RawData[Profit])</f>
        <v>43324.089999999982</v>
      </c>
      <c r="AR122" s="16">
        <f t="shared" si="28"/>
        <v>61261.41333333333</v>
      </c>
      <c r="AS122" s="16" t="str">
        <f t="shared" si="29"/>
        <v>Loyal</v>
      </c>
    </row>
    <row r="123" spans="38:45" x14ac:dyDescent="0.25">
      <c r="AL123" s="16" t="s">
        <v>1893</v>
      </c>
      <c r="AM123" s="16" t="s">
        <v>479</v>
      </c>
      <c r="AN123" s="16">
        <f>COUNTIF(RawData[Customer_ID],AL123)</f>
        <v>1</v>
      </c>
      <c r="AO123" s="16">
        <f>SUMIF(RawData[Customer_ID],AL123,RawData[Quantity])</f>
        <v>4</v>
      </c>
      <c r="AP123" s="21">
        <f>SUMIF(RawData[Customer_ID],AL123,RawData[Revenue])</f>
        <v>582</v>
      </c>
      <c r="AQ123" s="21">
        <f>SUMIF(RawData[Customer_ID],AL123,RawData[Profit])</f>
        <v>192</v>
      </c>
      <c r="AR123" s="16">
        <f t="shared" si="28"/>
        <v>582</v>
      </c>
      <c r="AS123" s="16" t="str">
        <f t="shared" si="29"/>
        <v>One-time</v>
      </c>
    </row>
    <row r="124" spans="38:45" x14ac:dyDescent="0.25">
      <c r="AL124" s="16" t="s">
        <v>2514</v>
      </c>
      <c r="AM124" s="16" t="s">
        <v>480</v>
      </c>
      <c r="AN124" s="16">
        <f>COUNTIF(RawData[Customer_ID],AL124)</f>
        <v>3</v>
      </c>
      <c r="AO124" s="16">
        <f>SUMIF(RawData[Customer_ID],AL124,RawData[Quantity])</f>
        <v>9</v>
      </c>
      <c r="AP124" s="21">
        <f>SUMIF(RawData[Customer_ID],AL124,RawData[Revenue])</f>
        <v>32729.02</v>
      </c>
      <c r="AQ124" s="21">
        <f>SUMIF(RawData[Customer_ID],AL124,RawData[Profit])</f>
        <v>6183.42</v>
      </c>
      <c r="AR124" s="16">
        <f t="shared" si="28"/>
        <v>10909.673333333334</v>
      </c>
      <c r="AS124" s="16" t="str">
        <f t="shared" si="29"/>
        <v>Occasional</v>
      </c>
    </row>
    <row r="125" spans="38:45" x14ac:dyDescent="0.25">
      <c r="AL125" s="16" t="s">
        <v>4204</v>
      </c>
      <c r="AM125" s="16" t="s">
        <v>481</v>
      </c>
      <c r="AN125" s="16">
        <f>COUNTIF(RawData[Customer_ID],AL125)</f>
        <v>2</v>
      </c>
      <c r="AO125" s="16">
        <f>SUMIF(RawData[Customer_ID],AL125,RawData[Quantity])</f>
        <v>8</v>
      </c>
      <c r="AP125" s="21">
        <f>SUMIF(RawData[Customer_ID],AL125,RawData[Revenue])</f>
        <v>154323.38</v>
      </c>
      <c r="AQ125" s="21">
        <f>SUMIF(RawData[Customer_ID],AL125,RawData[Profit])</f>
        <v>-6104.7299999999814</v>
      </c>
      <c r="AR125" s="16">
        <f t="shared" si="28"/>
        <v>77161.69</v>
      </c>
      <c r="AS125" s="16" t="str">
        <f t="shared" si="29"/>
        <v>Occasional</v>
      </c>
    </row>
    <row r="126" spans="38:45" x14ac:dyDescent="0.25">
      <c r="AL126" s="16" t="s">
        <v>5150</v>
      </c>
      <c r="AM126" s="16" t="s">
        <v>482</v>
      </c>
      <c r="AN126" s="16">
        <f>COUNTIF(RawData[Customer_ID],AL126)</f>
        <v>0</v>
      </c>
      <c r="AO126" s="16">
        <f>SUMIF(RawData[Customer_ID],AL126,RawData[Quantity])</f>
        <v>0</v>
      </c>
      <c r="AP126" s="21">
        <f>SUMIF(RawData[Customer_ID],AL126,RawData[Revenue])</f>
        <v>0</v>
      </c>
      <c r="AQ126" s="21">
        <f>SUMIF(RawData[Customer_ID],AL126,RawData[Profit])</f>
        <v>0</v>
      </c>
      <c r="AR126" s="16">
        <f t="shared" si="28"/>
        <v>0</v>
      </c>
      <c r="AS126" s="16" t="str">
        <f t="shared" si="29"/>
        <v>Occasional</v>
      </c>
    </row>
    <row r="127" spans="38:45" x14ac:dyDescent="0.25">
      <c r="AL127" s="16" t="s">
        <v>2158</v>
      </c>
      <c r="AM127" s="16" t="s">
        <v>483</v>
      </c>
      <c r="AN127" s="16">
        <f>COUNTIF(RawData[Customer_ID],AL127)</f>
        <v>2</v>
      </c>
      <c r="AO127" s="16">
        <f>SUMIF(RawData[Customer_ID],AL127,RawData[Quantity])</f>
        <v>6</v>
      </c>
      <c r="AP127" s="21">
        <f>SUMIF(RawData[Customer_ID],AL127,RawData[Revenue])</f>
        <v>108078.08</v>
      </c>
      <c r="AQ127" s="21">
        <f>SUMIF(RawData[Customer_ID],AL127,RawData[Profit])</f>
        <v>20986.239999999991</v>
      </c>
      <c r="AR127" s="16">
        <f t="shared" si="28"/>
        <v>54039.040000000001</v>
      </c>
      <c r="AS127" s="16" t="str">
        <f t="shared" si="29"/>
        <v>Occasional</v>
      </c>
    </row>
    <row r="128" spans="38:45" x14ac:dyDescent="0.25">
      <c r="AL128" s="16" t="s">
        <v>2766</v>
      </c>
      <c r="AM128" s="16" t="s">
        <v>484</v>
      </c>
      <c r="AN128" s="16">
        <f>COUNTIF(RawData[Customer_ID],AL128)</f>
        <v>2</v>
      </c>
      <c r="AO128" s="16">
        <f>SUMIF(RawData[Customer_ID],AL128,RawData[Quantity])</f>
        <v>5</v>
      </c>
      <c r="AP128" s="21">
        <f>SUMIF(RawData[Customer_ID],AL128,RawData[Revenue])</f>
        <v>10310.049999999999</v>
      </c>
      <c r="AQ128" s="21">
        <f>SUMIF(RawData[Customer_ID],AL128,RawData[Profit])</f>
        <v>2900.75</v>
      </c>
      <c r="AR128" s="16">
        <f t="shared" si="28"/>
        <v>5155.0249999999996</v>
      </c>
      <c r="AS128" s="16" t="str">
        <f t="shared" si="29"/>
        <v>Occasional</v>
      </c>
    </row>
    <row r="129" spans="38:45" x14ac:dyDescent="0.25">
      <c r="AL129" s="16" t="s">
        <v>1727</v>
      </c>
      <c r="AM129" s="16" t="s">
        <v>485</v>
      </c>
      <c r="AN129" s="16">
        <f>COUNTIF(RawData[Customer_ID],AL129)</f>
        <v>4</v>
      </c>
      <c r="AO129" s="16">
        <f>SUMIF(RawData[Customer_ID],AL129,RawData[Quantity])</f>
        <v>12</v>
      </c>
      <c r="AP129" s="21">
        <f>SUMIF(RawData[Customer_ID],AL129,RawData[Revenue])</f>
        <v>267929.62</v>
      </c>
      <c r="AQ129" s="21">
        <f>SUMIF(RawData[Customer_ID],AL129,RawData[Profit])</f>
        <v>35997.79</v>
      </c>
      <c r="AR129" s="16">
        <f t="shared" si="28"/>
        <v>66982.404999999999</v>
      </c>
      <c r="AS129" s="16" t="str">
        <f t="shared" si="29"/>
        <v>Occasional</v>
      </c>
    </row>
    <row r="130" spans="38:45" x14ac:dyDescent="0.25">
      <c r="AL130" s="16" t="s">
        <v>3541</v>
      </c>
      <c r="AM130" s="16" t="s">
        <v>486</v>
      </c>
      <c r="AN130" s="16">
        <f>COUNTIF(RawData[Customer_ID],AL130)</f>
        <v>2</v>
      </c>
      <c r="AO130" s="16">
        <f>SUMIF(RawData[Customer_ID],AL130,RawData[Quantity])</f>
        <v>10</v>
      </c>
      <c r="AP130" s="21">
        <f>SUMIF(RawData[Customer_ID],AL130,RawData[Revenue])</f>
        <v>76287.400000000009</v>
      </c>
      <c r="AQ130" s="21">
        <f>SUMIF(RawData[Customer_ID],AL130,RawData[Profit])</f>
        <v>3411.8000000000029</v>
      </c>
      <c r="AR130" s="16">
        <f t="shared" si="28"/>
        <v>38143.700000000004</v>
      </c>
      <c r="AS130" s="16" t="str">
        <f t="shared" si="29"/>
        <v>Occasional</v>
      </c>
    </row>
    <row r="131" spans="38:45" x14ac:dyDescent="0.25">
      <c r="AL131" s="16" t="s">
        <v>2237</v>
      </c>
      <c r="AM131" s="16" t="s">
        <v>487</v>
      </c>
      <c r="AN131" s="16">
        <f>COUNTIF(RawData[Customer_ID],AL131)</f>
        <v>1</v>
      </c>
      <c r="AO131" s="16">
        <f>SUMIF(RawData[Customer_ID],AL131,RawData[Quantity])</f>
        <v>4</v>
      </c>
      <c r="AP131" s="21">
        <f>SUMIF(RawData[Customer_ID],AL131,RawData[Revenue])</f>
        <v>134608</v>
      </c>
      <c r="AQ131" s="21">
        <f>SUMIF(RawData[Customer_ID],AL131,RawData[Profit])</f>
        <v>20048</v>
      </c>
      <c r="AR131" s="16">
        <f t="shared" ref="AR131:AR194" si="30">IF(AN131=0,0,AP131/AN131)</f>
        <v>134608</v>
      </c>
      <c r="AS131" s="16" t="str">
        <f t="shared" ref="AS131:AS194" si="31">IF(AN131=1,"One-time",IF(AN131&lt;=4,"Occasional",IF(AN131&lt;=8,"Loyal","Review")))</f>
        <v>One-time</v>
      </c>
    </row>
    <row r="132" spans="38:45" x14ac:dyDescent="0.25">
      <c r="AL132" s="16" t="s">
        <v>2692</v>
      </c>
      <c r="AM132" s="16" t="s">
        <v>488</v>
      </c>
      <c r="AN132" s="16">
        <f>COUNTIF(RawData[Customer_ID],AL132)</f>
        <v>5</v>
      </c>
      <c r="AO132" s="16">
        <f>SUMIF(RawData[Customer_ID],AL132,RawData[Quantity])</f>
        <v>14</v>
      </c>
      <c r="AP132" s="21">
        <f>SUMIF(RawData[Customer_ID],AL132,RawData[Revenue])</f>
        <v>117874.5</v>
      </c>
      <c r="AQ132" s="21">
        <f>SUMIF(RawData[Customer_ID],AL132,RawData[Profit])</f>
        <v>16390.5</v>
      </c>
      <c r="AR132" s="16">
        <f t="shared" si="30"/>
        <v>23574.9</v>
      </c>
      <c r="AS132" s="16" t="str">
        <f t="shared" si="31"/>
        <v>Loyal</v>
      </c>
    </row>
    <row r="133" spans="38:45" x14ac:dyDescent="0.25">
      <c r="AL133" s="16" t="s">
        <v>2261</v>
      </c>
      <c r="AM133" s="16" t="s">
        <v>489</v>
      </c>
      <c r="AN133" s="16">
        <f>COUNTIF(RawData[Customer_ID],AL133)</f>
        <v>6</v>
      </c>
      <c r="AO133" s="16">
        <f>SUMIF(RawData[Customer_ID],AL133,RawData[Quantity])</f>
        <v>16</v>
      </c>
      <c r="AP133" s="21">
        <f>SUMIF(RawData[Customer_ID],AL133,RawData[Revenue])</f>
        <v>196966.11000000002</v>
      </c>
      <c r="AQ133" s="21">
        <f>SUMIF(RawData[Customer_ID],AL133,RawData[Profit])</f>
        <v>22327.909999999996</v>
      </c>
      <c r="AR133" s="16">
        <f t="shared" si="30"/>
        <v>32827.685000000005</v>
      </c>
      <c r="AS133" s="16" t="str">
        <f t="shared" si="31"/>
        <v>Loyal</v>
      </c>
    </row>
    <row r="134" spans="38:45" x14ac:dyDescent="0.25">
      <c r="AL134" s="16" t="s">
        <v>1572</v>
      </c>
      <c r="AM134" s="16" t="s">
        <v>490</v>
      </c>
      <c r="AN134" s="16">
        <f>COUNTIF(RawData[Customer_ID],AL134)</f>
        <v>2</v>
      </c>
      <c r="AO134" s="16">
        <f>SUMIF(RawData[Customer_ID],AL134,RawData[Quantity])</f>
        <v>7</v>
      </c>
      <c r="AP134" s="21">
        <f>SUMIF(RawData[Customer_ID],AL134,RawData[Revenue])</f>
        <v>53600.159999999996</v>
      </c>
      <c r="AQ134" s="21">
        <f>SUMIF(RawData[Customer_ID],AL134,RawData[Profit])</f>
        <v>10502.039999999997</v>
      </c>
      <c r="AR134" s="16">
        <f t="shared" si="30"/>
        <v>26800.079999999998</v>
      </c>
      <c r="AS134" s="16" t="str">
        <f t="shared" si="31"/>
        <v>Occasional</v>
      </c>
    </row>
    <row r="135" spans="38:45" x14ac:dyDescent="0.25">
      <c r="AL135" s="16" t="s">
        <v>1648</v>
      </c>
      <c r="AM135" s="16" t="s">
        <v>491</v>
      </c>
      <c r="AN135" s="16">
        <f>COUNTIF(RawData[Customer_ID],AL135)</f>
        <v>1</v>
      </c>
      <c r="AO135" s="16">
        <f>SUMIF(RawData[Customer_ID],AL135,RawData[Quantity])</f>
        <v>3</v>
      </c>
      <c r="AP135" s="21">
        <f>SUMIF(RawData[Customer_ID],AL135,RawData[Revenue])</f>
        <v>104178</v>
      </c>
      <c r="AQ135" s="21">
        <f>SUMIF(RawData[Customer_ID],AL135,RawData[Profit])</f>
        <v>18258</v>
      </c>
      <c r="AR135" s="16">
        <f t="shared" si="30"/>
        <v>104178</v>
      </c>
      <c r="AS135" s="16" t="str">
        <f t="shared" si="31"/>
        <v>One-time</v>
      </c>
    </row>
    <row r="136" spans="38:45" x14ac:dyDescent="0.25">
      <c r="AL136" s="16" t="s">
        <v>1502</v>
      </c>
      <c r="AM136" s="16" t="s">
        <v>492</v>
      </c>
      <c r="AN136" s="16">
        <f>COUNTIF(RawData[Customer_ID],AL136)</f>
        <v>4</v>
      </c>
      <c r="AO136" s="16">
        <f>SUMIF(RawData[Customer_ID],AL136,RawData[Quantity])</f>
        <v>8</v>
      </c>
      <c r="AP136" s="21">
        <f>SUMIF(RawData[Customer_ID],AL136,RawData[Revenue])</f>
        <v>165305.69999999998</v>
      </c>
      <c r="AQ136" s="21">
        <f>SUMIF(RawData[Customer_ID],AL136,RawData[Profit])</f>
        <v>29914.019999999979</v>
      </c>
      <c r="AR136" s="16">
        <f t="shared" si="30"/>
        <v>41326.424999999996</v>
      </c>
      <c r="AS136" s="16" t="str">
        <f t="shared" si="31"/>
        <v>Occasional</v>
      </c>
    </row>
    <row r="137" spans="38:45" x14ac:dyDescent="0.25">
      <c r="AL137" s="16" t="s">
        <v>1245</v>
      </c>
      <c r="AM137" s="16" t="s">
        <v>493</v>
      </c>
      <c r="AN137" s="16">
        <f>COUNTIF(RawData[Customer_ID],AL137)</f>
        <v>5</v>
      </c>
      <c r="AO137" s="16">
        <f>SUMIF(RawData[Customer_ID],AL137,RawData[Quantity])</f>
        <v>17</v>
      </c>
      <c r="AP137" s="21">
        <f>SUMIF(RawData[Customer_ID],AL137,RawData[Revenue])</f>
        <v>309639.45</v>
      </c>
      <c r="AQ137" s="21">
        <f>SUMIF(RawData[Customer_ID],AL137,RawData[Profit])</f>
        <v>57885.219999999994</v>
      </c>
      <c r="AR137" s="16">
        <f t="shared" si="30"/>
        <v>61927.89</v>
      </c>
      <c r="AS137" s="16" t="str">
        <f t="shared" si="31"/>
        <v>Loyal</v>
      </c>
    </row>
    <row r="138" spans="38:45" x14ac:dyDescent="0.25">
      <c r="AL138" s="16" t="s">
        <v>2802</v>
      </c>
      <c r="AM138" s="16" t="s">
        <v>494</v>
      </c>
      <c r="AN138" s="16">
        <f>COUNTIF(RawData[Customer_ID],AL138)</f>
        <v>2</v>
      </c>
      <c r="AO138" s="16">
        <f>SUMIF(RawData[Customer_ID],AL138,RawData[Quantity])</f>
        <v>2</v>
      </c>
      <c r="AP138" s="21">
        <f>SUMIF(RawData[Customer_ID],AL138,RawData[Revenue])</f>
        <v>51768.14</v>
      </c>
      <c r="AQ138" s="21">
        <f>SUMIF(RawData[Customer_ID],AL138,RawData[Profit])</f>
        <v>9229.6699999999946</v>
      </c>
      <c r="AR138" s="16">
        <f t="shared" si="30"/>
        <v>25884.07</v>
      </c>
      <c r="AS138" s="16" t="str">
        <f t="shared" si="31"/>
        <v>Occasional</v>
      </c>
    </row>
    <row r="139" spans="38:45" x14ac:dyDescent="0.25">
      <c r="AL139" s="16" t="s">
        <v>1517</v>
      </c>
      <c r="AM139" s="16" t="s">
        <v>495</v>
      </c>
      <c r="AN139" s="16">
        <f>COUNTIF(RawData[Customer_ID],AL139)</f>
        <v>4</v>
      </c>
      <c r="AO139" s="16">
        <f>SUMIF(RawData[Customer_ID],AL139,RawData[Quantity])</f>
        <v>8</v>
      </c>
      <c r="AP139" s="21">
        <f>SUMIF(RawData[Customer_ID],AL139,RawData[Revenue])</f>
        <v>149880.14000000001</v>
      </c>
      <c r="AQ139" s="21">
        <f>SUMIF(RawData[Customer_ID],AL139,RawData[Profit])</f>
        <v>23221.699999999997</v>
      </c>
      <c r="AR139" s="16">
        <f t="shared" si="30"/>
        <v>37470.035000000003</v>
      </c>
      <c r="AS139" s="16" t="str">
        <f t="shared" si="31"/>
        <v>Occasional</v>
      </c>
    </row>
    <row r="140" spans="38:45" x14ac:dyDescent="0.25">
      <c r="AL140" s="16" t="s">
        <v>5092</v>
      </c>
      <c r="AM140" s="16" t="s">
        <v>496</v>
      </c>
      <c r="AN140" s="16">
        <f>COUNTIF(RawData[Customer_ID],AL140)</f>
        <v>5</v>
      </c>
      <c r="AO140" s="16">
        <f>SUMIF(RawData[Customer_ID],AL140,RawData[Quantity])</f>
        <v>19</v>
      </c>
      <c r="AP140" s="21">
        <f>SUMIF(RawData[Customer_ID],AL140,RawData[Revenue])</f>
        <v>201477.96000000002</v>
      </c>
      <c r="AQ140" s="21">
        <f>SUMIF(RawData[Customer_ID],AL140,RawData[Profit])</f>
        <v>27407.060000000005</v>
      </c>
      <c r="AR140" s="16">
        <f t="shared" si="30"/>
        <v>40295.592000000004</v>
      </c>
      <c r="AS140" s="16" t="str">
        <f t="shared" si="31"/>
        <v>Loyal</v>
      </c>
    </row>
    <row r="141" spans="38:45" x14ac:dyDescent="0.25">
      <c r="AL141" s="16" t="s">
        <v>2787</v>
      </c>
      <c r="AM141" s="16" t="s">
        <v>497</v>
      </c>
      <c r="AN141" s="16">
        <f>COUNTIF(RawData[Customer_ID],AL141)</f>
        <v>2</v>
      </c>
      <c r="AO141" s="16">
        <f>SUMIF(RawData[Customer_ID],AL141,RawData[Quantity])</f>
        <v>5</v>
      </c>
      <c r="AP141" s="21">
        <f>SUMIF(RawData[Customer_ID],AL141,RawData[Revenue])</f>
        <v>155061.1</v>
      </c>
      <c r="AQ141" s="21">
        <f>SUMIF(RawData[Customer_ID],AL141,RawData[Profit])</f>
        <v>18776.89</v>
      </c>
      <c r="AR141" s="16">
        <f t="shared" si="30"/>
        <v>77530.55</v>
      </c>
      <c r="AS141" s="16" t="str">
        <f t="shared" si="31"/>
        <v>Occasional</v>
      </c>
    </row>
    <row r="142" spans="38:45" x14ac:dyDescent="0.25">
      <c r="AL142" s="16" t="s">
        <v>2214</v>
      </c>
      <c r="AM142" s="16" t="s">
        <v>498</v>
      </c>
      <c r="AN142" s="16">
        <f>COUNTIF(RawData[Customer_ID],AL142)</f>
        <v>2</v>
      </c>
      <c r="AO142" s="16">
        <f>SUMIF(RawData[Customer_ID],AL142,RawData[Quantity])</f>
        <v>7</v>
      </c>
      <c r="AP142" s="21">
        <f>SUMIF(RawData[Customer_ID],AL142,RawData[Revenue])</f>
        <v>221873.38</v>
      </c>
      <c r="AQ142" s="21">
        <f>SUMIF(RawData[Customer_ID],AL142,RawData[Profit])</f>
        <v>45078.68</v>
      </c>
      <c r="AR142" s="16">
        <f t="shared" si="30"/>
        <v>110936.69</v>
      </c>
      <c r="AS142" s="16" t="str">
        <f t="shared" si="31"/>
        <v>Occasional</v>
      </c>
    </row>
    <row r="143" spans="38:45" x14ac:dyDescent="0.25">
      <c r="AL143" s="16" t="s">
        <v>5151</v>
      </c>
      <c r="AM143" s="16" t="s">
        <v>499</v>
      </c>
      <c r="AN143" s="16">
        <f>COUNTIF(RawData[Customer_ID],AL143)</f>
        <v>0</v>
      </c>
      <c r="AO143" s="16">
        <f>SUMIF(RawData[Customer_ID],AL143,RawData[Quantity])</f>
        <v>0</v>
      </c>
      <c r="AP143" s="21">
        <f>SUMIF(RawData[Customer_ID],AL143,RawData[Revenue])</f>
        <v>0</v>
      </c>
      <c r="AQ143" s="21">
        <f>SUMIF(RawData[Customer_ID],AL143,RawData[Profit])</f>
        <v>0</v>
      </c>
      <c r="AR143" s="16">
        <f t="shared" si="30"/>
        <v>0</v>
      </c>
      <c r="AS143" s="16" t="str">
        <f t="shared" si="31"/>
        <v>Occasional</v>
      </c>
    </row>
    <row r="144" spans="38:45" x14ac:dyDescent="0.25">
      <c r="AL144" s="16" t="s">
        <v>2013</v>
      </c>
      <c r="AM144" s="16" t="s">
        <v>500</v>
      </c>
      <c r="AN144" s="16">
        <f>COUNTIF(RawData[Customer_ID],AL144)</f>
        <v>1</v>
      </c>
      <c r="AO144" s="16">
        <f>SUMIF(RawData[Customer_ID],AL144,RawData[Quantity])</f>
        <v>2</v>
      </c>
      <c r="AP144" s="21">
        <f>SUMIF(RawData[Customer_ID],AL144,RawData[Revenue])</f>
        <v>25848.12</v>
      </c>
      <c r="AQ144" s="21">
        <f>SUMIF(RawData[Customer_ID],AL144,RawData[Profit])</f>
        <v>3849.7199999999975</v>
      </c>
      <c r="AR144" s="16">
        <f t="shared" si="30"/>
        <v>25848.12</v>
      </c>
      <c r="AS144" s="16" t="str">
        <f t="shared" si="31"/>
        <v>One-time</v>
      </c>
    </row>
    <row r="145" spans="38:45" x14ac:dyDescent="0.25">
      <c r="AL145" s="16" t="s">
        <v>1762</v>
      </c>
      <c r="AM145" s="16" t="s">
        <v>501</v>
      </c>
      <c r="AN145" s="16">
        <f>COUNTIF(RawData[Customer_ID],AL145)</f>
        <v>6</v>
      </c>
      <c r="AO145" s="16">
        <f>SUMIF(RawData[Customer_ID],AL145,RawData[Quantity])</f>
        <v>16</v>
      </c>
      <c r="AP145" s="21">
        <f>SUMIF(RawData[Customer_ID],AL145,RawData[Revenue])</f>
        <v>274452.99</v>
      </c>
      <c r="AQ145" s="21">
        <f>SUMIF(RawData[Customer_ID],AL145,RawData[Profit])</f>
        <v>19424.319999999978</v>
      </c>
      <c r="AR145" s="16">
        <f t="shared" si="30"/>
        <v>45742.165000000001</v>
      </c>
      <c r="AS145" s="16" t="str">
        <f t="shared" si="31"/>
        <v>Loyal</v>
      </c>
    </row>
    <row r="146" spans="38:45" x14ac:dyDescent="0.25">
      <c r="AL146" s="16" t="s">
        <v>1758</v>
      </c>
      <c r="AM146" s="16" t="s">
        <v>502</v>
      </c>
      <c r="AN146" s="16">
        <f>COUNTIF(RawData[Customer_ID],AL146)</f>
        <v>2</v>
      </c>
      <c r="AO146" s="16">
        <f>SUMIF(RawData[Customer_ID],AL146,RawData[Quantity])</f>
        <v>5</v>
      </c>
      <c r="AP146" s="21">
        <f>SUMIF(RawData[Customer_ID],AL146,RawData[Revenue])</f>
        <v>75655.149999999994</v>
      </c>
      <c r="AQ146" s="21">
        <f>SUMIF(RawData[Customer_ID],AL146,RawData[Profit])</f>
        <v>8579.419999999991</v>
      </c>
      <c r="AR146" s="16">
        <f t="shared" si="30"/>
        <v>37827.574999999997</v>
      </c>
      <c r="AS146" s="16" t="str">
        <f t="shared" si="31"/>
        <v>Occasional</v>
      </c>
    </row>
    <row r="147" spans="38:45" x14ac:dyDescent="0.25">
      <c r="AL147" s="16" t="s">
        <v>5152</v>
      </c>
      <c r="AM147" s="16" t="s">
        <v>503</v>
      </c>
      <c r="AN147" s="16">
        <f>COUNTIF(RawData[Customer_ID],AL147)</f>
        <v>0</v>
      </c>
      <c r="AO147" s="16">
        <f>SUMIF(RawData[Customer_ID],AL147,RawData[Quantity])</f>
        <v>0</v>
      </c>
      <c r="AP147" s="21">
        <f>SUMIF(RawData[Customer_ID],AL147,RawData[Revenue])</f>
        <v>0</v>
      </c>
      <c r="AQ147" s="21">
        <f>SUMIF(RawData[Customer_ID],AL147,RawData[Profit])</f>
        <v>0</v>
      </c>
      <c r="AR147" s="16">
        <f t="shared" si="30"/>
        <v>0</v>
      </c>
      <c r="AS147" s="16" t="str">
        <f t="shared" si="31"/>
        <v>Occasional</v>
      </c>
    </row>
    <row r="148" spans="38:45" x14ac:dyDescent="0.25">
      <c r="AL148" s="16" t="s">
        <v>4065</v>
      </c>
      <c r="AM148" s="16" t="s">
        <v>504</v>
      </c>
      <c r="AN148" s="16">
        <f>COUNTIF(RawData[Customer_ID],AL148)</f>
        <v>2</v>
      </c>
      <c r="AO148" s="16">
        <f>SUMIF(RawData[Customer_ID],AL148,RawData[Quantity])</f>
        <v>7</v>
      </c>
      <c r="AP148" s="21">
        <f>SUMIF(RawData[Customer_ID],AL148,RawData[Revenue])</f>
        <v>104592.15</v>
      </c>
      <c r="AQ148" s="21">
        <f>SUMIF(RawData[Customer_ID],AL148,RawData[Profit])</f>
        <v>16511.51999999999</v>
      </c>
      <c r="AR148" s="16">
        <f t="shared" si="30"/>
        <v>52296.074999999997</v>
      </c>
      <c r="AS148" s="16" t="str">
        <f t="shared" si="31"/>
        <v>Occasional</v>
      </c>
    </row>
    <row r="149" spans="38:45" x14ac:dyDescent="0.25">
      <c r="AL149" s="16" t="s">
        <v>5153</v>
      </c>
      <c r="AM149" s="16" t="s">
        <v>505</v>
      </c>
      <c r="AN149" s="16">
        <f>COUNTIF(RawData[Customer_ID],AL149)</f>
        <v>0</v>
      </c>
      <c r="AO149" s="16">
        <f>SUMIF(RawData[Customer_ID],AL149,RawData[Quantity])</f>
        <v>0</v>
      </c>
      <c r="AP149" s="21">
        <f>SUMIF(RawData[Customer_ID],AL149,RawData[Revenue])</f>
        <v>0</v>
      </c>
      <c r="AQ149" s="21">
        <f>SUMIF(RawData[Customer_ID],AL149,RawData[Profit])</f>
        <v>0</v>
      </c>
      <c r="AR149" s="16">
        <f t="shared" si="30"/>
        <v>0</v>
      </c>
      <c r="AS149" s="16" t="str">
        <f t="shared" si="31"/>
        <v>Occasional</v>
      </c>
    </row>
    <row r="150" spans="38:45" x14ac:dyDescent="0.25">
      <c r="AL150" s="16" t="s">
        <v>2195</v>
      </c>
      <c r="AM150" s="16" t="s">
        <v>506</v>
      </c>
      <c r="AN150" s="16">
        <f>COUNTIF(RawData[Customer_ID],AL150)</f>
        <v>2</v>
      </c>
      <c r="AO150" s="16">
        <f>SUMIF(RawData[Customer_ID],AL150,RawData[Quantity])</f>
        <v>10</v>
      </c>
      <c r="AP150" s="21">
        <f>SUMIF(RawData[Customer_ID],AL150,RawData[Revenue])</f>
        <v>78958.25</v>
      </c>
      <c r="AQ150" s="21">
        <f>SUMIF(RawData[Customer_ID],AL150,RawData[Profit])</f>
        <v>5954.6499999999942</v>
      </c>
      <c r="AR150" s="16">
        <f t="shared" si="30"/>
        <v>39479.125</v>
      </c>
      <c r="AS150" s="16" t="str">
        <f t="shared" si="31"/>
        <v>Occasional</v>
      </c>
    </row>
    <row r="151" spans="38:45" x14ac:dyDescent="0.25">
      <c r="AL151" s="16" t="s">
        <v>2609</v>
      </c>
      <c r="AM151" s="16" t="s">
        <v>507</v>
      </c>
      <c r="AN151" s="16">
        <f>COUNTIF(RawData[Customer_ID],AL151)</f>
        <v>3</v>
      </c>
      <c r="AO151" s="16">
        <f>SUMIF(RawData[Customer_ID],AL151,RawData[Quantity])</f>
        <v>11</v>
      </c>
      <c r="AP151" s="21">
        <f>SUMIF(RawData[Customer_ID],AL151,RawData[Revenue])</f>
        <v>154014.35999999999</v>
      </c>
      <c r="AQ151" s="21">
        <f>SUMIF(RawData[Customer_ID],AL151,RawData[Profit])</f>
        <v>21584.009999999995</v>
      </c>
      <c r="AR151" s="16">
        <f t="shared" si="30"/>
        <v>51338.119999999995</v>
      </c>
      <c r="AS151" s="16" t="str">
        <f t="shared" si="31"/>
        <v>Occasional</v>
      </c>
    </row>
    <row r="152" spans="38:45" x14ac:dyDescent="0.25">
      <c r="AL152" s="16" t="s">
        <v>5154</v>
      </c>
      <c r="AM152" s="16" t="s">
        <v>508</v>
      </c>
      <c r="AN152" s="16">
        <f>COUNTIF(RawData[Customer_ID],AL152)</f>
        <v>0</v>
      </c>
      <c r="AO152" s="16">
        <f>SUMIF(RawData[Customer_ID],AL152,RawData[Quantity])</f>
        <v>0</v>
      </c>
      <c r="AP152" s="21">
        <f>SUMIF(RawData[Customer_ID],AL152,RawData[Revenue])</f>
        <v>0</v>
      </c>
      <c r="AQ152" s="21">
        <f>SUMIF(RawData[Customer_ID],AL152,RawData[Profit])</f>
        <v>0</v>
      </c>
      <c r="AR152" s="16">
        <f t="shared" si="30"/>
        <v>0</v>
      </c>
      <c r="AS152" s="16" t="str">
        <f t="shared" si="31"/>
        <v>Occasional</v>
      </c>
    </row>
    <row r="153" spans="38:45" x14ac:dyDescent="0.25">
      <c r="AL153" s="16" t="s">
        <v>2042</v>
      </c>
      <c r="AM153" s="16" t="s">
        <v>509</v>
      </c>
      <c r="AN153" s="16">
        <f>COUNTIF(RawData[Customer_ID],AL153)</f>
        <v>5</v>
      </c>
      <c r="AO153" s="16">
        <f>SUMIF(RawData[Customer_ID],AL153,RawData[Quantity])</f>
        <v>13</v>
      </c>
      <c r="AP153" s="21">
        <f>SUMIF(RawData[Customer_ID],AL153,RawData[Revenue])</f>
        <v>219926.53999999998</v>
      </c>
      <c r="AQ153" s="21">
        <f>SUMIF(RawData[Customer_ID],AL153,RawData[Profit])</f>
        <v>37293.539999999979</v>
      </c>
      <c r="AR153" s="16">
        <f t="shared" si="30"/>
        <v>43985.307999999997</v>
      </c>
      <c r="AS153" s="16" t="str">
        <f t="shared" si="31"/>
        <v>Loyal</v>
      </c>
    </row>
    <row r="154" spans="38:45" x14ac:dyDescent="0.25">
      <c r="AL154" s="16" t="s">
        <v>5155</v>
      </c>
      <c r="AM154" s="16" t="s">
        <v>510</v>
      </c>
      <c r="AN154" s="16">
        <f>COUNTIF(RawData[Customer_ID],AL154)</f>
        <v>0</v>
      </c>
      <c r="AO154" s="16">
        <f>SUMIF(RawData[Customer_ID],AL154,RawData[Quantity])</f>
        <v>0</v>
      </c>
      <c r="AP154" s="21">
        <f>SUMIF(RawData[Customer_ID],AL154,RawData[Revenue])</f>
        <v>0</v>
      </c>
      <c r="AQ154" s="21">
        <f>SUMIF(RawData[Customer_ID],AL154,RawData[Profit])</f>
        <v>0</v>
      </c>
      <c r="AR154" s="16">
        <f t="shared" si="30"/>
        <v>0</v>
      </c>
      <c r="AS154" s="16" t="str">
        <f t="shared" si="31"/>
        <v>Occasional</v>
      </c>
    </row>
    <row r="155" spans="38:45" x14ac:dyDescent="0.25">
      <c r="AL155" s="16" t="s">
        <v>1743</v>
      </c>
      <c r="AM155" s="16" t="s">
        <v>511</v>
      </c>
      <c r="AN155" s="16">
        <f>COUNTIF(RawData[Customer_ID],AL155)</f>
        <v>5</v>
      </c>
      <c r="AO155" s="16">
        <f>SUMIF(RawData[Customer_ID],AL155,RawData[Quantity])</f>
        <v>17</v>
      </c>
      <c r="AP155" s="21">
        <f>SUMIF(RawData[Customer_ID],AL155,RawData[Revenue])</f>
        <v>440536.21</v>
      </c>
      <c r="AQ155" s="21">
        <f>SUMIF(RawData[Customer_ID],AL155,RawData[Profit])</f>
        <v>54029.890000000014</v>
      </c>
      <c r="AR155" s="16">
        <f t="shared" si="30"/>
        <v>88107.241999999998</v>
      </c>
      <c r="AS155" s="16" t="str">
        <f t="shared" si="31"/>
        <v>Loyal</v>
      </c>
    </row>
    <row r="156" spans="38:45" x14ac:dyDescent="0.25">
      <c r="AL156" s="16" t="s">
        <v>3690</v>
      </c>
      <c r="AM156" s="16" t="s">
        <v>512</v>
      </c>
      <c r="AN156" s="16">
        <f>COUNTIF(RawData[Customer_ID],AL156)</f>
        <v>7</v>
      </c>
      <c r="AO156" s="16">
        <f>SUMIF(RawData[Customer_ID],AL156,RawData[Quantity])</f>
        <v>25</v>
      </c>
      <c r="AP156" s="21">
        <f>SUMIF(RawData[Customer_ID],AL156,RawData[Revenue])</f>
        <v>308017.37</v>
      </c>
      <c r="AQ156" s="21">
        <f>SUMIF(RawData[Customer_ID],AL156,RawData[Profit])</f>
        <v>46330.71</v>
      </c>
      <c r="AR156" s="16">
        <f t="shared" si="30"/>
        <v>44002.481428571431</v>
      </c>
      <c r="AS156" s="16" t="str">
        <f t="shared" si="31"/>
        <v>Loyal</v>
      </c>
    </row>
    <row r="157" spans="38:45" x14ac:dyDescent="0.25">
      <c r="AL157" s="16" t="s">
        <v>2104</v>
      </c>
      <c r="AM157" s="16" t="s">
        <v>513</v>
      </c>
      <c r="AN157" s="16">
        <f>COUNTIF(RawData[Customer_ID],AL157)</f>
        <v>5</v>
      </c>
      <c r="AO157" s="16">
        <f>SUMIF(RawData[Customer_ID],AL157,RawData[Quantity])</f>
        <v>13</v>
      </c>
      <c r="AP157" s="21">
        <f>SUMIF(RawData[Customer_ID],AL157,RawData[Revenue])</f>
        <v>224378.19</v>
      </c>
      <c r="AQ157" s="21">
        <f>SUMIF(RawData[Customer_ID],AL157,RawData[Profit])</f>
        <v>33281.349999999977</v>
      </c>
      <c r="AR157" s="16">
        <f t="shared" si="30"/>
        <v>44875.637999999999</v>
      </c>
      <c r="AS157" s="16" t="str">
        <f t="shared" si="31"/>
        <v>Loyal</v>
      </c>
    </row>
    <row r="158" spans="38:45" x14ac:dyDescent="0.25">
      <c r="AL158" s="16" t="s">
        <v>1916</v>
      </c>
      <c r="AM158" s="16" t="s">
        <v>514</v>
      </c>
      <c r="AN158" s="16">
        <f>COUNTIF(RawData[Customer_ID],AL158)</f>
        <v>2</v>
      </c>
      <c r="AO158" s="16">
        <f>SUMIF(RawData[Customer_ID],AL158,RawData[Quantity])</f>
        <v>6</v>
      </c>
      <c r="AP158" s="21">
        <f>SUMIF(RawData[Customer_ID],AL158,RawData[Revenue])</f>
        <v>3035</v>
      </c>
      <c r="AQ158" s="21">
        <f>SUMIF(RawData[Customer_ID],AL158,RawData[Profit])</f>
        <v>853</v>
      </c>
      <c r="AR158" s="16">
        <f t="shared" si="30"/>
        <v>1517.5</v>
      </c>
      <c r="AS158" s="16" t="str">
        <f t="shared" si="31"/>
        <v>Occasional</v>
      </c>
    </row>
    <row r="159" spans="38:45" x14ac:dyDescent="0.25">
      <c r="AL159" s="16" t="s">
        <v>3612</v>
      </c>
      <c r="AM159" s="16" t="s">
        <v>515</v>
      </c>
      <c r="AN159" s="16">
        <f>COUNTIF(RawData[Customer_ID],AL159)</f>
        <v>6</v>
      </c>
      <c r="AO159" s="16">
        <f>SUMIF(RawData[Customer_ID],AL159,RawData[Quantity])</f>
        <v>18</v>
      </c>
      <c r="AP159" s="21">
        <f>SUMIF(RawData[Customer_ID],AL159,RawData[Revenue])</f>
        <v>254531.56</v>
      </c>
      <c r="AQ159" s="21">
        <f>SUMIF(RawData[Customer_ID],AL159,RawData[Profit])</f>
        <v>31914.549999999974</v>
      </c>
      <c r="AR159" s="16">
        <f t="shared" si="30"/>
        <v>42421.926666666666</v>
      </c>
      <c r="AS159" s="16" t="str">
        <f t="shared" si="31"/>
        <v>Loyal</v>
      </c>
    </row>
    <row r="160" spans="38:45" x14ac:dyDescent="0.25">
      <c r="AL160" s="16" t="s">
        <v>3810</v>
      </c>
      <c r="AM160" s="16" t="s">
        <v>516</v>
      </c>
      <c r="AN160" s="16">
        <f>COUNTIF(RawData[Customer_ID],AL160)</f>
        <v>2</v>
      </c>
      <c r="AO160" s="16">
        <f>SUMIF(RawData[Customer_ID],AL160,RawData[Quantity])</f>
        <v>6</v>
      </c>
      <c r="AP160" s="21">
        <f>SUMIF(RawData[Customer_ID],AL160,RawData[Revenue])</f>
        <v>119696.65</v>
      </c>
      <c r="AQ160" s="21">
        <f>SUMIF(RawData[Customer_ID],AL160,RawData[Profit])</f>
        <v>2769.9000000000087</v>
      </c>
      <c r="AR160" s="16">
        <f t="shared" si="30"/>
        <v>59848.324999999997</v>
      </c>
      <c r="AS160" s="16" t="str">
        <f t="shared" si="31"/>
        <v>Occasional</v>
      </c>
    </row>
    <row r="161" spans="38:45" x14ac:dyDescent="0.25">
      <c r="AL161" s="16" t="s">
        <v>1705</v>
      </c>
      <c r="AM161" s="16" t="s">
        <v>517</v>
      </c>
      <c r="AN161" s="16">
        <f>COUNTIF(RawData[Customer_ID],AL161)</f>
        <v>3</v>
      </c>
      <c r="AO161" s="16">
        <f>SUMIF(RawData[Customer_ID],AL161,RawData[Quantity])</f>
        <v>9</v>
      </c>
      <c r="AP161" s="21">
        <f>SUMIF(RawData[Customer_ID],AL161,RawData[Revenue])</f>
        <v>84331.14</v>
      </c>
      <c r="AQ161" s="21">
        <f>SUMIF(RawData[Customer_ID],AL161,RawData[Profit])</f>
        <v>13173.389999999994</v>
      </c>
      <c r="AR161" s="16">
        <f t="shared" si="30"/>
        <v>28110.38</v>
      </c>
      <c r="AS161" s="16" t="str">
        <f t="shared" si="31"/>
        <v>Occasional</v>
      </c>
    </row>
    <row r="162" spans="38:45" x14ac:dyDescent="0.25">
      <c r="AL162" s="16" t="s">
        <v>1846</v>
      </c>
      <c r="AM162" s="16" t="s">
        <v>518</v>
      </c>
      <c r="AN162" s="16">
        <f>COUNTIF(RawData[Customer_ID],AL162)</f>
        <v>3</v>
      </c>
      <c r="AO162" s="16">
        <f>SUMIF(RawData[Customer_ID],AL162,RawData[Quantity])</f>
        <v>8</v>
      </c>
      <c r="AP162" s="21">
        <f>SUMIF(RawData[Customer_ID],AL162,RawData[Revenue])</f>
        <v>17271.38</v>
      </c>
      <c r="AQ162" s="21">
        <f>SUMIF(RawData[Customer_ID],AL162,RawData[Profit])</f>
        <v>3332.7800000000029</v>
      </c>
      <c r="AR162" s="16">
        <f t="shared" si="30"/>
        <v>5757.126666666667</v>
      </c>
      <c r="AS162" s="16" t="str">
        <f t="shared" si="31"/>
        <v>Occasional</v>
      </c>
    </row>
    <row r="163" spans="38:45" x14ac:dyDescent="0.25">
      <c r="AL163" s="16" t="s">
        <v>4120</v>
      </c>
      <c r="AM163" s="16" t="s">
        <v>519</v>
      </c>
      <c r="AN163" s="16">
        <f>COUNTIF(RawData[Customer_ID],AL163)</f>
        <v>1</v>
      </c>
      <c r="AO163" s="16">
        <f>SUMIF(RawData[Customer_ID],AL163,RawData[Quantity])</f>
        <v>2</v>
      </c>
      <c r="AP163" s="21">
        <f>SUMIF(RawData[Customer_ID],AL163,RawData[Revenue])</f>
        <v>31678.079999999998</v>
      </c>
      <c r="AQ163" s="21">
        <f>SUMIF(RawData[Customer_ID],AL163,RawData[Profit])</f>
        <v>2639.8399999999965</v>
      </c>
      <c r="AR163" s="16">
        <f t="shared" si="30"/>
        <v>31678.079999999998</v>
      </c>
      <c r="AS163" s="16" t="str">
        <f t="shared" si="31"/>
        <v>One-time</v>
      </c>
    </row>
    <row r="164" spans="38:45" x14ac:dyDescent="0.25">
      <c r="AL164" s="16" t="s">
        <v>1462</v>
      </c>
      <c r="AM164" s="16" t="s">
        <v>520</v>
      </c>
      <c r="AN164" s="16">
        <f>COUNTIF(RawData[Customer_ID],AL164)</f>
        <v>4</v>
      </c>
      <c r="AO164" s="16">
        <f>SUMIF(RawData[Customer_ID],AL164,RawData[Quantity])</f>
        <v>9</v>
      </c>
      <c r="AP164" s="21">
        <f>SUMIF(RawData[Customer_ID],AL164,RawData[Revenue])</f>
        <v>61193.32</v>
      </c>
      <c r="AQ164" s="21">
        <f>SUMIF(RawData[Customer_ID],AL164,RawData[Profit])</f>
        <v>7954.9199999999983</v>
      </c>
      <c r="AR164" s="16">
        <f t="shared" si="30"/>
        <v>15298.33</v>
      </c>
      <c r="AS164" s="16" t="str">
        <f t="shared" si="31"/>
        <v>Occasional</v>
      </c>
    </row>
    <row r="165" spans="38:45" x14ac:dyDescent="0.25">
      <c r="AL165" s="16" t="s">
        <v>1335</v>
      </c>
      <c r="AM165" s="16" t="s">
        <v>521</v>
      </c>
      <c r="AN165" s="16">
        <f>COUNTIF(RawData[Customer_ID],AL165)</f>
        <v>5</v>
      </c>
      <c r="AO165" s="16">
        <f>SUMIF(RawData[Customer_ID],AL165,RawData[Quantity])</f>
        <v>20</v>
      </c>
      <c r="AP165" s="21">
        <f>SUMIF(RawData[Customer_ID],AL165,RawData[Revenue])</f>
        <v>199642.78</v>
      </c>
      <c r="AQ165" s="21">
        <f>SUMIF(RawData[Customer_ID],AL165,RawData[Profit])</f>
        <v>11485.550000000014</v>
      </c>
      <c r="AR165" s="16">
        <f t="shared" si="30"/>
        <v>39928.555999999997</v>
      </c>
      <c r="AS165" s="16" t="str">
        <f t="shared" si="31"/>
        <v>Loyal</v>
      </c>
    </row>
    <row r="166" spans="38:45" x14ac:dyDescent="0.25">
      <c r="AL166" s="16" t="s">
        <v>1918</v>
      </c>
      <c r="AM166" s="16" t="s">
        <v>522</v>
      </c>
      <c r="AN166" s="16">
        <f>COUNTIF(RawData[Customer_ID],AL166)</f>
        <v>6</v>
      </c>
      <c r="AO166" s="16">
        <f>SUMIF(RawData[Customer_ID],AL166,RawData[Quantity])</f>
        <v>24</v>
      </c>
      <c r="AP166" s="21">
        <f>SUMIF(RawData[Customer_ID],AL166,RawData[Revenue])</f>
        <v>414036.73</v>
      </c>
      <c r="AQ166" s="21">
        <f>SUMIF(RawData[Customer_ID],AL166,RawData[Profit])</f>
        <v>50026.749999999985</v>
      </c>
      <c r="AR166" s="16">
        <f t="shared" si="30"/>
        <v>69006.121666666659</v>
      </c>
      <c r="AS166" s="16" t="str">
        <f t="shared" si="31"/>
        <v>Loyal</v>
      </c>
    </row>
    <row r="167" spans="38:45" x14ac:dyDescent="0.25">
      <c r="AL167" s="16" t="s">
        <v>1957</v>
      </c>
      <c r="AM167" s="16" t="s">
        <v>523</v>
      </c>
      <c r="AN167" s="16">
        <f>COUNTIF(RawData[Customer_ID],AL167)</f>
        <v>5</v>
      </c>
      <c r="AO167" s="16">
        <f>SUMIF(RawData[Customer_ID],AL167,RawData[Quantity])</f>
        <v>15</v>
      </c>
      <c r="AP167" s="21">
        <f>SUMIF(RawData[Customer_ID],AL167,RawData[Revenue])</f>
        <v>454848.15</v>
      </c>
      <c r="AQ167" s="21">
        <f>SUMIF(RawData[Customer_ID],AL167,RawData[Profit])</f>
        <v>67706.749999999971</v>
      </c>
      <c r="AR167" s="16">
        <f t="shared" si="30"/>
        <v>90969.63</v>
      </c>
      <c r="AS167" s="16" t="str">
        <f t="shared" si="31"/>
        <v>Loyal</v>
      </c>
    </row>
    <row r="168" spans="38:45" x14ac:dyDescent="0.25">
      <c r="AL168" s="16" t="s">
        <v>1736</v>
      </c>
      <c r="AM168" s="16" t="s">
        <v>524</v>
      </c>
      <c r="AN168" s="16">
        <f>COUNTIF(RawData[Customer_ID],AL168)</f>
        <v>7</v>
      </c>
      <c r="AO168" s="16">
        <f>SUMIF(RawData[Customer_ID],AL168,RawData[Quantity])</f>
        <v>23</v>
      </c>
      <c r="AP168" s="21">
        <f>SUMIF(RawData[Customer_ID],AL168,RawData[Revenue])</f>
        <v>352223.69</v>
      </c>
      <c r="AQ168" s="21">
        <f>SUMIF(RawData[Customer_ID],AL168,RawData[Profit])</f>
        <v>33803.479999999996</v>
      </c>
      <c r="AR168" s="16">
        <f t="shared" si="30"/>
        <v>50317.67</v>
      </c>
      <c r="AS168" s="16" t="str">
        <f t="shared" si="31"/>
        <v>Loyal</v>
      </c>
    </row>
    <row r="169" spans="38:45" x14ac:dyDescent="0.25">
      <c r="AL169" s="16" t="s">
        <v>2878</v>
      </c>
      <c r="AM169" s="16" t="s">
        <v>525</v>
      </c>
      <c r="AN169" s="16">
        <f>COUNTIF(RawData[Customer_ID],AL169)</f>
        <v>6</v>
      </c>
      <c r="AO169" s="16">
        <f>SUMIF(RawData[Customer_ID],AL169,RawData[Quantity])</f>
        <v>15</v>
      </c>
      <c r="AP169" s="21">
        <f>SUMIF(RawData[Customer_ID],AL169,RawData[Revenue])</f>
        <v>217817.90999999997</v>
      </c>
      <c r="AQ169" s="21">
        <f>SUMIF(RawData[Customer_ID],AL169,RawData[Profit])</f>
        <v>37449.029999999984</v>
      </c>
      <c r="AR169" s="16">
        <f t="shared" si="30"/>
        <v>36302.984999999993</v>
      </c>
      <c r="AS169" s="16" t="str">
        <f t="shared" si="31"/>
        <v>Loyal</v>
      </c>
    </row>
    <row r="170" spans="38:45" x14ac:dyDescent="0.25">
      <c r="AL170" s="16" t="s">
        <v>1587</v>
      </c>
      <c r="AM170" s="16" t="s">
        <v>526</v>
      </c>
      <c r="AN170" s="16">
        <f>COUNTIF(RawData[Customer_ID],AL170)</f>
        <v>3</v>
      </c>
      <c r="AO170" s="16">
        <f>SUMIF(RawData[Customer_ID],AL170,RawData[Quantity])</f>
        <v>8</v>
      </c>
      <c r="AP170" s="21">
        <f>SUMIF(RawData[Customer_ID],AL170,RawData[Revenue])</f>
        <v>79600.63</v>
      </c>
      <c r="AQ170" s="21">
        <f>SUMIF(RawData[Customer_ID],AL170,RawData[Profit])</f>
        <v>15255.570000000005</v>
      </c>
      <c r="AR170" s="16">
        <f t="shared" si="30"/>
        <v>26533.543333333335</v>
      </c>
      <c r="AS170" s="16" t="str">
        <f t="shared" si="31"/>
        <v>Occasional</v>
      </c>
    </row>
    <row r="171" spans="38:45" x14ac:dyDescent="0.25">
      <c r="AL171" s="16" t="s">
        <v>2310</v>
      </c>
      <c r="AM171" s="16" t="s">
        <v>527</v>
      </c>
      <c r="AN171" s="16">
        <f>COUNTIF(RawData[Customer_ID],AL171)</f>
        <v>2</v>
      </c>
      <c r="AO171" s="16">
        <f>SUMIF(RawData[Customer_ID],AL171,RawData[Quantity])</f>
        <v>5</v>
      </c>
      <c r="AP171" s="21">
        <f>SUMIF(RawData[Customer_ID],AL171,RawData[Revenue])</f>
        <v>114945.36</v>
      </c>
      <c r="AQ171" s="21">
        <f>SUMIF(RawData[Customer_ID],AL171,RawData[Profit])</f>
        <v>17049.319999999985</v>
      </c>
      <c r="AR171" s="16">
        <f t="shared" si="30"/>
        <v>57472.68</v>
      </c>
      <c r="AS171" s="16" t="str">
        <f t="shared" si="31"/>
        <v>Occasional</v>
      </c>
    </row>
    <row r="172" spans="38:45" x14ac:dyDescent="0.25">
      <c r="AL172" s="16" t="s">
        <v>5156</v>
      </c>
      <c r="AM172" s="16" t="s">
        <v>528</v>
      </c>
      <c r="AN172" s="16">
        <f>COUNTIF(RawData[Customer_ID],AL172)</f>
        <v>0</v>
      </c>
      <c r="AO172" s="16">
        <f>SUMIF(RawData[Customer_ID],AL172,RawData[Quantity])</f>
        <v>0</v>
      </c>
      <c r="AP172" s="21">
        <f>SUMIF(RawData[Customer_ID],AL172,RawData[Revenue])</f>
        <v>0</v>
      </c>
      <c r="AQ172" s="21">
        <f>SUMIF(RawData[Customer_ID],AL172,RawData[Profit])</f>
        <v>0</v>
      </c>
      <c r="AR172" s="16">
        <f t="shared" si="30"/>
        <v>0</v>
      </c>
      <c r="AS172" s="16" t="str">
        <f t="shared" si="31"/>
        <v>Occasional</v>
      </c>
    </row>
    <row r="173" spans="38:45" x14ac:dyDescent="0.25">
      <c r="AL173" s="16" t="s">
        <v>1269</v>
      </c>
      <c r="AM173" s="16" t="s">
        <v>529</v>
      </c>
      <c r="AN173" s="16">
        <f>COUNTIF(RawData[Customer_ID],AL173)</f>
        <v>2</v>
      </c>
      <c r="AO173" s="16">
        <f>SUMIF(RawData[Customer_ID],AL173,RawData[Quantity])</f>
        <v>4</v>
      </c>
      <c r="AP173" s="21">
        <f>SUMIF(RawData[Customer_ID],AL173,RawData[Revenue])</f>
        <v>99381.239999999991</v>
      </c>
      <c r="AQ173" s="21">
        <f>SUMIF(RawData[Customer_ID],AL173,RawData[Profit])</f>
        <v>10724.699999999997</v>
      </c>
      <c r="AR173" s="16">
        <f t="shared" si="30"/>
        <v>49690.619999999995</v>
      </c>
      <c r="AS173" s="16" t="str">
        <f t="shared" si="31"/>
        <v>Occasional</v>
      </c>
    </row>
    <row r="174" spans="38:45" x14ac:dyDescent="0.25">
      <c r="AL174" s="16" t="s">
        <v>3429</v>
      </c>
      <c r="AM174" s="16" t="s">
        <v>530</v>
      </c>
      <c r="AN174" s="16">
        <f>COUNTIF(RawData[Customer_ID],AL174)</f>
        <v>3</v>
      </c>
      <c r="AO174" s="16">
        <f>SUMIF(RawData[Customer_ID],AL174,RawData[Quantity])</f>
        <v>12</v>
      </c>
      <c r="AP174" s="21">
        <f>SUMIF(RawData[Customer_ID],AL174,RawData[Revenue])</f>
        <v>147630.54999999999</v>
      </c>
      <c r="AQ174" s="21">
        <f>SUMIF(RawData[Customer_ID],AL174,RawData[Profit])</f>
        <v>12509.800000000017</v>
      </c>
      <c r="AR174" s="16">
        <f t="shared" si="30"/>
        <v>49210.183333333327</v>
      </c>
      <c r="AS174" s="16" t="str">
        <f t="shared" si="31"/>
        <v>Occasional</v>
      </c>
    </row>
    <row r="175" spans="38:45" x14ac:dyDescent="0.25">
      <c r="AL175" s="16" t="s">
        <v>3137</v>
      </c>
      <c r="AM175" s="16" t="s">
        <v>531</v>
      </c>
      <c r="AN175" s="16">
        <f>COUNTIF(RawData[Customer_ID],AL175)</f>
        <v>1</v>
      </c>
      <c r="AO175" s="16">
        <f>SUMIF(RawData[Customer_ID],AL175,RawData[Quantity])</f>
        <v>3</v>
      </c>
      <c r="AP175" s="21">
        <f>SUMIF(RawData[Customer_ID],AL175,RawData[Revenue])</f>
        <v>331.2</v>
      </c>
      <c r="AQ175" s="21">
        <f>SUMIF(RawData[Customer_ID],AL175,RawData[Profit])</f>
        <v>86.4</v>
      </c>
      <c r="AR175" s="16">
        <f t="shared" si="30"/>
        <v>331.2</v>
      </c>
      <c r="AS175" s="16" t="str">
        <f t="shared" si="31"/>
        <v>One-time</v>
      </c>
    </row>
    <row r="176" spans="38:45" x14ac:dyDescent="0.25">
      <c r="AL176" s="16" t="s">
        <v>1491</v>
      </c>
      <c r="AM176" s="16" t="s">
        <v>532</v>
      </c>
      <c r="AN176" s="16">
        <f>COUNTIF(RawData[Customer_ID],AL176)</f>
        <v>3</v>
      </c>
      <c r="AO176" s="16">
        <f>SUMIF(RawData[Customer_ID],AL176,RawData[Quantity])</f>
        <v>10</v>
      </c>
      <c r="AP176" s="21">
        <f>SUMIF(RawData[Customer_ID],AL176,RawData[Revenue])</f>
        <v>80210.38</v>
      </c>
      <c r="AQ176" s="21">
        <f>SUMIF(RawData[Customer_ID],AL176,RawData[Profit])</f>
        <v>8193.5</v>
      </c>
      <c r="AR176" s="16">
        <f t="shared" si="30"/>
        <v>26736.793333333335</v>
      </c>
      <c r="AS176" s="16" t="str">
        <f t="shared" si="31"/>
        <v>Occasional</v>
      </c>
    </row>
    <row r="177" spans="38:45" x14ac:dyDescent="0.25">
      <c r="AL177" s="16" t="s">
        <v>3975</v>
      </c>
      <c r="AM177" s="16" t="s">
        <v>533</v>
      </c>
      <c r="AN177" s="16">
        <f>COUNTIF(RawData[Customer_ID],AL177)</f>
        <v>5</v>
      </c>
      <c r="AO177" s="16">
        <f>SUMIF(RawData[Customer_ID],AL177,RawData[Quantity])</f>
        <v>17</v>
      </c>
      <c r="AP177" s="21">
        <f>SUMIF(RawData[Customer_ID],AL177,RawData[Revenue])</f>
        <v>70890.84</v>
      </c>
      <c r="AQ177" s="21">
        <f>SUMIF(RawData[Customer_ID],AL177,RawData[Profit])</f>
        <v>16600.739999999998</v>
      </c>
      <c r="AR177" s="16">
        <f t="shared" si="30"/>
        <v>14178.168</v>
      </c>
      <c r="AS177" s="16" t="str">
        <f t="shared" si="31"/>
        <v>Loyal</v>
      </c>
    </row>
    <row r="178" spans="38:45" x14ac:dyDescent="0.25">
      <c r="AL178" s="16" t="s">
        <v>2110</v>
      </c>
      <c r="AM178" s="16" t="s">
        <v>534</v>
      </c>
      <c r="AN178" s="16">
        <f>COUNTIF(RawData[Customer_ID],AL178)</f>
        <v>2</v>
      </c>
      <c r="AO178" s="16">
        <f>SUMIF(RawData[Customer_ID],AL178,RawData[Quantity])</f>
        <v>6</v>
      </c>
      <c r="AP178" s="21">
        <f>SUMIF(RawData[Customer_ID],AL178,RawData[Revenue])</f>
        <v>255194.4</v>
      </c>
      <c r="AQ178" s="21">
        <f>SUMIF(RawData[Customer_ID],AL178,RawData[Profit])</f>
        <v>28049.380000000005</v>
      </c>
      <c r="AR178" s="16">
        <f t="shared" si="30"/>
        <v>127597.2</v>
      </c>
      <c r="AS178" s="16" t="str">
        <f t="shared" si="31"/>
        <v>Occasional</v>
      </c>
    </row>
    <row r="179" spans="38:45" x14ac:dyDescent="0.25">
      <c r="AL179" s="16" t="s">
        <v>2011</v>
      </c>
      <c r="AM179" s="16" t="s">
        <v>535</v>
      </c>
      <c r="AN179" s="16">
        <f>COUNTIF(RawData[Customer_ID],AL179)</f>
        <v>1</v>
      </c>
      <c r="AO179" s="16">
        <f>SUMIF(RawData[Customer_ID],AL179,RawData[Quantity])</f>
        <v>3</v>
      </c>
      <c r="AP179" s="21">
        <f>SUMIF(RawData[Customer_ID],AL179,RawData[Revenue])</f>
        <v>10339.199999999999</v>
      </c>
      <c r="AQ179" s="21">
        <f>SUMIF(RawData[Customer_ID],AL179,RawData[Profit])</f>
        <v>3338.6999999999989</v>
      </c>
      <c r="AR179" s="16">
        <f t="shared" si="30"/>
        <v>10339.199999999999</v>
      </c>
      <c r="AS179" s="16" t="str">
        <f t="shared" si="31"/>
        <v>One-time</v>
      </c>
    </row>
    <row r="180" spans="38:45" x14ac:dyDescent="0.25">
      <c r="AL180" s="16" t="s">
        <v>2424</v>
      </c>
      <c r="AM180" s="16" t="s">
        <v>536</v>
      </c>
      <c r="AN180" s="16">
        <f>COUNTIF(RawData[Customer_ID],AL180)</f>
        <v>5</v>
      </c>
      <c r="AO180" s="16">
        <f>SUMIF(RawData[Customer_ID],AL180,RawData[Quantity])</f>
        <v>18</v>
      </c>
      <c r="AP180" s="21">
        <f>SUMIF(RawData[Customer_ID],AL180,RawData[Revenue])</f>
        <v>140441.07</v>
      </c>
      <c r="AQ180" s="21">
        <f>SUMIF(RawData[Customer_ID],AL180,RawData[Profit])</f>
        <v>21139.829999999991</v>
      </c>
      <c r="AR180" s="16">
        <f t="shared" si="30"/>
        <v>28088.214</v>
      </c>
      <c r="AS180" s="16" t="str">
        <f t="shared" si="31"/>
        <v>Loyal</v>
      </c>
    </row>
    <row r="181" spans="38:45" x14ac:dyDescent="0.25">
      <c r="AL181" s="16" t="s">
        <v>2133</v>
      </c>
      <c r="AM181" s="16" t="s">
        <v>537</v>
      </c>
      <c r="AN181" s="16">
        <f>COUNTIF(RawData[Customer_ID],AL181)</f>
        <v>5</v>
      </c>
      <c r="AO181" s="16">
        <f>SUMIF(RawData[Customer_ID],AL181,RawData[Quantity])</f>
        <v>16</v>
      </c>
      <c r="AP181" s="21">
        <f>SUMIF(RawData[Customer_ID],AL181,RawData[Revenue])</f>
        <v>281557.69999999995</v>
      </c>
      <c r="AQ181" s="21">
        <f>SUMIF(RawData[Customer_ID],AL181,RawData[Profit])</f>
        <v>36240.080000000002</v>
      </c>
      <c r="AR181" s="16">
        <f t="shared" si="30"/>
        <v>56311.539999999994</v>
      </c>
      <c r="AS181" s="16" t="str">
        <f t="shared" si="31"/>
        <v>Loyal</v>
      </c>
    </row>
    <row r="182" spans="38:45" x14ac:dyDescent="0.25">
      <c r="AL182" s="16" t="s">
        <v>3727</v>
      </c>
      <c r="AM182" s="16" t="s">
        <v>538</v>
      </c>
      <c r="AN182" s="16">
        <f>COUNTIF(RawData[Customer_ID],AL182)</f>
        <v>2</v>
      </c>
      <c r="AO182" s="16">
        <f>SUMIF(RawData[Customer_ID],AL182,RawData[Quantity])</f>
        <v>7</v>
      </c>
      <c r="AP182" s="21">
        <f>SUMIF(RawData[Customer_ID],AL182,RawData[Revenue])</f>
        <v>23248.12</v>
      </c>
      <c r="AQ182" s="21">
        <f>SUMIF(RawData[Customer_ID],AL182,RawData[Profit])</f>
        <v>4762.119999999999</v>
      </c>
      <c r="AR182" s="16">
        <f t="shared" si="30"/>
        <v>11624.06</v>
      </c>
      <c r="AS182" s="16" t="str">
        <f t="shared" si="31"/>
        <v>Occasional</v>
      </c>
    </row>
    <row r="183" spans="38:45" x14ac:dyDescent="0.25">
      <c r="AL183" s="16" t="s">
        <v>2969</v>
      </c>
      <c r="AM183" s="16" t="s">
        <v>539</v>
      </c>
      <c r="AN183" s="16">
        <f>COUNTIF(RawData[Customer_ID],AL183)</f>
        <v>9</v>
      </c>
      <c r="AO183" s="16">
        <f>SUMIF(RawData[Customer_ID],AL183,RawData[Quantity])</f>
        <v>23</v>
      </c>
      <c r="AP183" s="21">
        <f>SUMIF(RawData[Customer_ID],AL183,RawData[Revenue])</f>
        <v>263318.37</v>
      </c>
      <c r="AQ183" s="21">
        <f>SUMIF(RawData[Customer_ID],AL183,RawData[Profit])</f>
        <v>33902.249999999971</v>
      </c>
      <c r="AR183" s="16">
        <f t="shared" si="30"/>
        <v>29257.596666666665</v>
      </c>
      <c r="AS183" s="16" t="str">
        <f t="shared" si="31"/>
        <v>Review</v>
      </c>
    </row>
    <row r="184" spans="38:45" x14ac:dyDescent="0.25">
      <c r="AL184" s="16" t="s">
        <v>1248</v>
      </c>
      <c r="AM184" s="16" t="s">
        <v>540</v>
      </c>
      <c r="AN184" s="16">
        <f>COUNTIF(RawData[Customer_ID],AL184)</f>
        <v>5</v>
      </c>
      <c r="AO184" s="16">
        <f>SUMIF(RawData[Customer_ID],AL184,RawData[Quantity])</f>
        <v>8</v>
      </c>
      <c r="AP184" s="21">
        <f>SUMIF(RawData[Customer_ID],AL184,RawData[Revenue])</f>
        <v>39050.400000000001</v>
      </c>
      <c r="AQ184" s="21">
        <f>SUMIF(RawData[Customer_ID],AL184,RawData[Profit])</f>
        <v>3937.6599999999989</v>
      </c>
      <c r="AR184" s="16">
        <f t="shared" si="30"/>
        <v>7810.08</v>
      </c>
      <c r="AS184" s="16" t="str">
        <f t="shared" si="31"/>
        <v>Loyal</v>
      </c>
    </row>
    <row r="185" spans="38:45" x14ac:dyDescent="0.25">
      <c r="AL185" s="16" t="s">
        <v>2551</v>
      </c>
      <c r="AM185" s="16" t="s">
        <v>541</v>
      </c>
      <c r="AN185" s="16">
        <f>COUNTIF(RawData[Customer_ID],AL185)</f>
        <v>7</v>
      </c>
      <c r="AO185" s="16">
        <f>SUMIF(RawData[Customer_ID],AL185,RawData[Quantity])</f>
        <v>25</v>
      </c>
      <c r="AP185" s="21">
        <f>SUMIF(RawData[Customer_ID],AL185,RawData[Revenue])</f>
        <v>274349.48</v>
      </c>
      <c r="AQ185" s="21">
        <f>SUMIF(RawData[Customer_ID],AL185,RawData[Profit])</f>
        <v>44329.599999999977</v>
      </c>
      <c r="AR185" s="16">
        <f t="shared" si="30"/>
        <v>39192.782857142854</v>
      </c>
      <c r="AS185" s="16" t="str">
        <f t="shared" si="31"/>
        <v>Loyal</v>
      </c>
    </row>
    <row r="186" spans="38:45" x14ac:dyDescent="0.25">
      <c r="AL186" s="16" t="s">
        <v>2620</v>
      </c>
      <c r="AM186" s="16" t="s">
        <v>542</v>
      </c>
      <c r="AN186" s="16">
        <f>COUNTIF(RawData[Customer_ID],AL186)</f>
        <v>5</v>
      </c>
      <c r="AO186" s="16">
        <f>SUMIF(RawData[Customer_ID],AL186,RawData[Quantity])</f>
        <v>17</v>
      </c>
      <c r="AP186" s="21">
        <f>SUMIF(RawData[Customer_ID],AL186,RawData[Revenue])</f>
        <v>127122.59</v>
      </c>
      <c r="AQ186" s="21">
        <f>SUMIF(RawData[Customer_ID],AL186,RawData[Profit])</f>
        <v>25727.349999999991</v>
      </c>
      <c r="AR186" s="16">
        <f t="shared" si="30"/>
        <v>25424.518</v>
      </c>
      <c r="AS186" s="16" t="str">
        <f t="shared" si="31"/>
        <v>Loyal</v>
      </c>
    </row>
    <row r="187" spans="38:45" x14ac:dyDescent="0.25">
      <c r="AL187" s="16" t="s">
        <v>2524</v>
      </c>
      <c r="AM187" s="16" t="s">
        <v>543</v>
      </c>
      <c r="AN187" s="16">
        <f>COUNTIF(RawData[Customer_ID],AL187)</f>
        <v>6</v>
      </c>
      <c r="AO187" s="16">
        <f>SUMIF(RawData[Customer_ID],AL187,RawData[Quantity])</f>
        <v>19</v>
      </c>
      <c r="AP187" s="21">
        <f>SUMIF(RawData[Customer_ID],AL187,RawData[Revenue])</f>
        <v>493467.51</v>
      </c>
      <c r="AQ187" s="21">
        <f>SUMIF(RawData[Customer_ID],AL187,RawData[Profit])</f>
        <v>69972.229999999981</v>
      </c>
      <c r="AR187" s="16">
        <f t="shared" si="30"/>
        <v>82244.585000000006</v>
      </c>
      <c r="AS187" s="16" t="str">
        <f t="shared" si="31"/>
        <v>Loyal</v>
      </c>
    </row>
    <row r="188" spans="38:45" x14ac:dyDescent="0.25">
      <c r="AL188" s="16" t="s">
        <v>2062</v>
      </c>
      <c r="AM188" s="16" t="s">
        <v>544</v>
      </c>
      <c r="AN188" s="16">
        <f>COUNTIF(RawData[Customer_ID],AL188)</f>
        <v>3</v>
      </c>
      <c r="AO188" s="16">
        <f>SUMIF(RawData[Customer_ID],AL188,RawData[Quantity])</f>
        <v>10</v>
      </c>
      <c r="AP188" s="21">
        <f>SUMIF(RawData[Customer_ID],AL188,RawData[Revenue])</f>
        <v>93940.2</v>
      </c>
      <c r="AQ188" s="21">
        <f>SUMIF(RawData[Customer_ID],AL188,RawData[Profit])</f>
        <v>8486.5999999999913</v>
      </c>
      <c r="AR188" s="16">
        <f t="shared" si="30"/>
        <v>31313.399999999998</v>
      </c>
      <c r="AS188" s="16" t="str">
        <f t="shared" si="31"/>
        <v>Occasional</v>
      </c>
    </row>
    <row r="189" spans="38:45" x14ac:dyDescent="0.25">
      <c r="AL189" s="16" t="s">
        <v>1271</v>
      </c>
      <c r="AM189" s="16" t="s">
        <v>545</v>
      </c>
      <c r="AN189" s="16">
        <f>COUNTIF(RawData[Customer_ID],AL189)</f>
        <v>3</v>
      </c>
      <c r="AO189" s="16">
        <f>SUMIF(RawData[Customer_ID],AL189,RawData[Quantity])</f>
        <v>10</v>
      </c>
      <c r="AP189" s="21">
        <f>SUMIF(RawData[Customer_ID],AL189,RawData[Revenue])</f>
        <v>95279.25</v>
      </c>
      <c r="AQ189" s="21">
        <f>SUMIF(RawData[Customer_ID],AL189,RawData[Profit])</f>
        <v>20333.550000000003</v>
      </c>
      <c r="AR189" s="16">
        <f t="shared" si="30"/>
        <v>31759.75</v>
      </c>
      <c r="AS189" s="16" t="str">
        <f t="shared" si="31"/>
        <v>Occasional</v>
      </c>
    </row>
    <row r="190" spans="38:45" x14ac:dyDescent="0.25">
      <c r="AL190" s="16" t="s">
        <v>2893</v>
      </c>
      <c r="AM190" s="16" t="s">
        <v>546</v>
      </c>
      <c r="AN190" s="16">
        <f>COUNTIF(RawData[Customer_ID],AL190)</f>
        <v>2</v>
      </c>
      <c r="AO190" s="16">
        <f>SUMIF(RawData[Customer_ID],AL190,RawData[Quantity])</f>
        <v>8</v>
      </c>
      <c r="AP190" s="21">
        <f>SUMIF(RawData[Customer_ID],AL190,RawData[Revenue])</f>
        <v>93711.09</v>
      </c>
      <c r="AQ190" s="21">
        <f>SUMIF(RawData[Customer_ID],AL190,RawData[Profit])</f>
        <v>16505.489999999991</v>
      </c>
      <c r="AR190" s="16">
        <f t="shared" si="30"/>
        <v>46855.544999999998</v>
      </c>
      <c r="AS190" s="16" t="str">
        <f t="shared" si="31"/>
        <v>Occasional</v>
      </c>
    </row>
    <row r="191" spans="38:45" x14ac:dyDescent="0.25">
      <c r="AL191" s="16" t="s">
        <v>3408</v>
      </c>
      <c r="AM191" s="16" t="s">
        <v>547</v>
      </c>
      <c r="AN191" s="16">
        <f>COUNTIF(RawData[Customer_ID],AL191)</f>
        <v>1</v>
      </c>
      <c r="AO191" s="16">
        <f>SUMIF(RawData[Customer_ID],AL191,RawData[Quantity])</f>
        <v>1</v>
      </c>
      <c r="AP191" s="21">
        <f>SUMIF(RawData[Customer_ID],AL191,RawData[Revenue])</f>
        <v>33652</v>
      </c>
      <c r="AQ191" s="21">
        <f>SUMIF(RawData[Customer_ID],AL191,RawData[Profit])</f>
        <v>5012</v>
      </c>
      <c r="AR191" s="16">
        <f t="shared" si="30"/>
        <v>33652</v>
      </c>
      <c r="AS191" s="16" t="str">
        <f t="shared" si="31"/>
        <v>One-time</v>
      </c>
    </row>
    <row r="192" spans="38:45" x14ac:dyDescent="0.25">
      <c r="AL192" s="16" t="s">
        <v>2362</v>
      </c>
      <c r="AM192" s="16" t="s">
        <v>548</v>
      </c>
      <c r="AN192" s="16">
        <f>COUNTIF(RawData[Customer_ID],AL192)</f>
        <v>2</v>
      </c>
      <c r="AO192" s="16">
        <f>SUMIF(RawData[Customer_ID],AL192,RawData[Quantity])</f>
        <v>6</v>
      </c>
      <c r="AP192" s="21">
        <f>SUMIF(RawData[Customer_ID],AL192,RawData[Revenue])</f>
        <v>25774.059999999998</v>
      </c>
      <c r="AQ192" s="21">
        <f>SUMIF(RawData[Customer_ID],AL192,RawData[Profit])</f>
        <v>5903.5599999999977</v>
      </c>
      <c r="AR192" s="16">
        <f t="shared" si="30"/>
        <v>12887.029999999999</v>
      </c>
      <c r="AS192" s="16" t="str">
        <f t="shared" si="31"/>
        <v>Occasional</v>
      </c>
    </row>
    <row r="193" spans="38:45" x14ac:dyDescent="0.25">
      <c r="AL193" s="16" t="s">
        <v>2071</v>
      </c>
      <c r="AM193" s="16" t="s">
        <v>549</v>
      </c>
      <c r="AN193" s="16">
        <f>COUNTIF(RawData[Customer_ID],AL193)</f>
        <v>1</v>
      </c>
      <c r="AO193" s="16">
        <f>SUMIF(RawData[Customer_ID],AL193,RawData[Quantity])</f>
        <v>4</v>
      </c>
      <c r="AP193" s="21">
        <f>SUMIF(RawData[Customer_ID],AL193,RawData[Revenue])</f>
        <v>116476.36</v>
      </c>
      <c r="AQ193" s="21">
        <f>SUMIF(RawData[Customer_ID],AL193,RawData[Profit])</f>
        <v>14079.559999999998</v>
      </c>
      <c r="AR193" s="16">
        <f t="shared" si="30"/>
        <v>116476.36</v>
      </c>
      <c r="AS193" s="16" t="str">
        <f t="shared" si="31"/>
        <v>One-time</v>
      </c>
    </row>
    <row r="194" spans="38:45" x14ac:dyDescent="0.25">
      <c r="AL194" s="16" t="s">
        <v>1709</v>
      </c>
      <c r="AM194" s="16" t="s">
        <v>550</v>
      </c>
      <c r="AN194" s="16">
        <f>COUNTIF(RawData[Customer_ID],AL194)</f>
        <v>1</v>
      </c>
      <c r="AO194" s="16">
        <f>SUMIF(RawData[Customer_ID],AL194,RawData[Quantity])</f>
        <v>5</v>
      </c>
      <c r="AP194" s="21">
        <f>SUMIF(RawData[Customer_ID],AL194,RawData[Revenue])</f>
        <v>1212.5</v>
      </c>
      <c r="AQ194" s="21">
        <f>SUMIF(RawData[Customer_ID],AL194,RawData[Profit])</f>
        <v>437.5</v>
      </c>
      <c r="AR194" s="16">
        <f t="shared" si="30"/>
        <v>1212.5</v>
      </c>
      <c r="AS194" s="16" t="str">
        <f t="shared" si="31"/>
        <v>One-time</v>
      </c>
    </row>
    <row r="195" spans="38:45" x14ac:dyDescent="0.25">
      <c r="AL195" s="16" t="s">
        <v>1488</v>
      </c>
      <c r="AM195" s="16" t="s">
        <v>551</v>
      </c>
      <c r="AN195" s="16">
        <f>COUNTIF(RawData[Customer_ID],AL195)</f>
        <v>1</v>
      </c>
      <c r="AO195" s="16">
        <f>SUMIF(RawData[Customer_ID],AL195,RawData[Quantity])</f>
        <v>5</v>
      </c>
      <c r="AP195" s="21">
        <f>SUMIF(RawData[Customer_ID],AL195,RawData[Revenue])</f>
        <v>55195.4</v>
      </c>
      <c r="AQ195" s="21">
        <f>SUMIF(RawData[Customer_ID],AL195,RawData[Profit])</f>
        <v>10199.150000000001</v>
      </c>
      <c r="AR195" s="16">
        <f t="shared" ref="AR195:AR258" si="32">IF(AN195=0,0,AP195/AN195)</f>
        <v>55195.4</v>
      </c>
      <c r="AS195" s="16" t="str">
        <f t="shared" ref="AS195:AS258" si="33">IF(AN195=1,"One-time",IF(AN195&lt;=4,"Occasional",IF(AN195&lt;=8,"Loyal","Review")))</f>
        <v>One-time</v>
      </c>
    </row>
    <row r="196" spans="38:45" x14ac:dyDescent="0.25">
      <c r="AL196" s="16" t="s">
        <v>1429</v>
      </c>
      <c r="AM196" s="16" t="s">
        <v>552</v>
      </c>
      <c r="AN196" s="16">
        <f>COUNTIF(RawData[Customer_ID],AL196)</f>
        <v>5</v>
      </c>
      <c r="AO196" s="16">
        <f>SUMIF(RawData[Customer_ID],AL196,RawData[Quantity])</f>
        <v>14</v>
      </c>
      <c r="AP196" s="21">
        <f>SUMIF(RawData[Customer_ID],AL196,RawData[Revenue])</f>
        <v>78876.100000000006</v>
      </c>
      <c r="AQ196" s="21">
        <f>SUMIF(RawData[Customer_ID],AL196,RawData[Profit])</f>
        <v>19391.7</v>
      </c>
      <c r="AR196" s="16">
        <f t="shared" si="32"/>
        <v>15775.220000000001</v>
      </c>
      <c r="AS196" s="16" t="str">
        <f t="shared" si="33"/>
        <v>Loyal</v>
      </c>
    </row>
    <row r="197" spans="38:45" x14ac:dyDescent="0.25">
      <c r="AL197" s="16" t="s">
        <v>4219</v>
      </c>
      <c r="AM197" s="16" t="s">
        <v>553</v>
      </c>
      <c r="AN197" s="16">
        <f>COUNTIF(RawData[Customer_ID],AL197)</f>
        <v>3</v>
      </c>
      <c r="AO197" s="16">
        <f>SUMIF(RawData[Customer_ID],AL197,RawData[Quantity])</f>
        <v>10</v>
      </c>
      <c r="AP197" s="21">
        <f>SUMIF(RawData[Customer_ID],AL197,RawData[Revenue])</f>
        <v>211653.24999999997</v>
      </c>
      <c r="AQ197" s="21">
        <f>SUMIF(RawData[Customer_ID],AL197,RawData[Profit])</f>
        <v>36020.649999999972</v>
      </c>
      <c r="AR197" s="16">
        <f t="shared" si="32"/>
        <v>70551.083333333328</v>
      </c>
      <c r="AS197" s="16" t="str">
        <f t="shared" si="33"/>
        <v>Occasional</v>
      </c>
    </row>
    <row r="198" spans="38:45" x14ac:dyDescent="0.25">
      <c r="AL198" s="16" t="s">
        <v>2526</v>
      </c>
      <c r="AM198" s="16" t="s">
        <v>554</v>
      </c>
      <c r="AN198" s="16">
        <f>COUNTIF(RawData[Customer_ID],AL198)</f>
        <v>3</v>
      </c>
      <c r="AO198" s="16">
        <f>SUMIF(RawData[Customer_ID],AL198,RawData[Quantity])</f>
        <v>8</v>
      </c>
      <c r="AP198" s="21">
        <f>SUMIF(RawData[Customer_ID],AL198,RawData[Revenue])</f>
        <v>144212.88</v>
      </c>
      <c r="AQ198" s="21">
        <f>SUMIF(RawData[Customer_ID],AL198,RawData[Profit])</f>
        <v>22179.079999999991</v>
      </c>
      <c r="AR198" s="16">
        <f t="shared" si="32"/>
        <v>48070.96</v>
      </c>
      <c r="AS198" s="16" t="str">
        <f t="shared" si="33"/>
        <v>Occasional</v>
      </c>
    </row>
    <row r="199" spans="38:45" x14ac:dyDescent="0.25">
      <c r="AL199" s="16" t="s">
        <v>2660</v>
      </c>
      <c r="AM199" s="16" t="s">
        <v>555</v>
      </c>
      <c r="AN199" s="16">
        <f>COUNTIF(RawData[Customer_ID],AL199)</f>
        <v>4</v>
      </c>
      <c r="AO199" s="16">
        <f>SUMIF(RawData[Customer_ID],AL199,RawData[Quantity])</f>
        <v>11</v>
      </c>
      <c r="AP199" s="21">
        <f>SUMIF(RawData[Customer_ID],AL199,RawData[Revenue])</f>
        <v>332069.88</v>
      </c>
      <c r="AQ199" s="21">
        <f>SUMIF(RawData[Customer_ID],AL199,RawData[Profit])</f>
        <v>51128.419999999984</v>
      </c>
      <c r="AR199" s="16">
        <f t="shared" si="32"/>
        <v>83017.47</v>
      </c>
      <c r="AS199" s="16" t="str">
        <f t="shared" si="33"/>
        <v>Occasional</v>
      </c>
    </row>
    <row r="200" spans="38:45" x14ac:dyDescent="0.25">
      <c r="AL200" s="16" t="s">
        <v>2437</v>
      </c>
      <c r="AM200" s="16" t="s">
        <v>556</v>
      </c>
      <c r="AN200" s="16">
        <f>COUNTIF(RawData[Customer_ID],AL200)</f>
        <v>1</v>
      </c>
      <c r="AO200" s="16">
        <f>SUMIF(RawData[Customer_ID],AL200,RawData[Quantity])</f>
        <v>3</v>
      </c>
      <c r="AP200" s="21">
        <f>SUMIF(RawData[Customer_ID],AL200,RawData[Revenue])</f>
        <v>4455</v>
      </c>
      <c r="AQ200" s="21">
        <f>SUMIF(RawData[Customer_ID],AL200,RawData[Profit])</f>
        <v>1485</v>
      </c>
      <c r="AR200" s="16">
        <f t="shared" si="32"/>
        <v>4455</v>
      </c>
      <c r="AS200" s="16" t="str">
        <f t="shared" si="33"/>
        <v>One-time</v>
      </c>
    </row>
    <row r="201" spans="38:45" x14ac:dyDescent="0.25">
      <c r="AL201" s="16" t="s">
        <v>1999</v>
      </c>
      <c r="AM201" s="16" t="s">
        <v>557</v>
      </c>
      <c r="AN201" s="16">
        <f>COUNTIF(RawData[Customer_ID],AL201)</f>
        <v>1</v>
      </c>
      <c r="AO201" s="16">
        <f>SUMIF(RawData[Customer_ID],AL201,RawData[Quantity])</f>
        <v>5</v>
      </c>
      <c r="AP201" s="21">
        <f>SUMIF(RawData[Customer_ID],AL201,RawData[Revenue])</f>
        <v>5225</v>
      </c>
      <c r="AQ201" s="21">
        <f>SUMIF(RawData[Customer_ID],AL201,RawData[Profit])</f>
        <v>1650</v>
      </c>
      <c r="AR201" s="16">
        <f t="shared" si="32"/>
        <v>5225</v>
      </c>
      <c r="AS201" s="16" t="str">
        <f t="shared" si="33"/>
        <v>One-time</v>
      </c>
    </row>
    <row r="202" spans="38:45" x14ac:dyDescent="0.25">
      <c r="AL202" s="16" t="s">
        <v>2622</v>
      </c>
      <c r="AM202" s="16" t="s">
        <v>558</v>
      </c>
      <c r="AN202" s="16">
        <f>COUNTIF(RawData[Customer_ID],AL202)</f>
        <v>2</v>
      </c>
      <c r="AO202" s="16">
        <f>SUMIF(RawData[Customer_ID],AL202,RawData[Quantity])</f>
        <v>7</v>
      </c>
      <c r="AP202" s="21">
        <f>SUMIF(RawData[Customer_ID],AL202,RawData[Revenue])</f>
        <v>125391.08</v>
      </c>
      <c r="AQ202" s="21">
        <f>SUMIF(RawData[Customer_ID],AL202,RawData[Profit])</f>
        <v>21313.239999999991</v>
      </c>
      <c r="AR202" s="16">
        <f t="shared" si="32"/>
        <v>62695.54</v>
      </c>
      <c r="AS202" s="16" t="str">
        <f t="shared" si="33"/>
        <v>Occasional</v>
      </c>
    </row>
    <row r="203" spans="38:45" x14ac:dyDescent="0.25">
      <c r="AL203" s="16" t="s">
        <v>1937</v>
      </c>
      <c r="AM203" s="16" t="s">
        <v>559</v>
      </c>
      <c r="AN203" s="16">
        <f>COUNTIF(RawData[Customer_ID],AL203)</f>
        <v>2</v>
      </c>
      <c r="AO203" s="16">
        <f>SUMIF(RawData[Customer_ID],AL203,RawData[Quantity])</f>
        <v>6</v>
      </c>
      <c r="AP203" s="21">
        <f>SUMIF(RawData[Customer_ID],AL203,RawData[Revenue])</f>
        <v>57209.539999999994</v>
      </c>
      <c r="AQ203" s="21">
        <f>SUMIF(RawData[Customer_ID],AL203,RawData[Profit])</f>
        <v>9294.0199999999968</v>
      </c>
      <c r="AR203" s="16">
        <f t="shared" si="32"/>
        <v>28604.769999999997</v>
      </c>
      <c r="AS203" s="16" t="str">
        <f t="shared" si="33"/>
        <v>Occasional</v>
      </c>
    </row>
    <row r="204" spans="38:45" x14ac:dyDescent="0.25">
      <c r="AL204" s="16" t="s">
        <v>5086</v>
      </c>
      <c r="AM204" s="16" t="s">
        <v>560</v>
      </c>
      <c r="AN204" s="16">
        <f>COUNTIF(RawData[Customer_ID],AL204)</f>
        <v>7</v>
      </c>
      <c r="AO204" s="16">
        <f>SUMIF(RawData[Customer_ID],AL204,RawData[Quantity])</f>
        <v>22</v>
      </c>
      <c r="AP204" s="21">
        <f>SUMIF(RawData[Customer_ID],AL204,RawData[Revenue])</f>
        <v>409967.9</v>
      </c>
      <c r="AQ204" s="21">
        <f>SUMIF(RawData[Customer_ID],AL204,RawData[Profit])</f>
        <v>59580.299999999988</v>
      </c>
      <c r="AR204" s="16">
        <f t="shared" si="32"/>
        <v>58566.842857142859</v>
      </c>
      <c r="AS204" s="16" t="str">
        <f t="shared" si="33"/>
        <v>Loyal</v>
      </c>
    </row>
    <row r="205" spans="38:45" x14ac:dyDescent="0.25">
      <c r="AL205" s="16" t="s">
        <v>2492</v>
      </c>
      <c r="AM205" s="16" t="s">
        <v>561</v>
      </c>
      <c r="AN205" s="16">
        <f>COUNTIF(RawData[Customer_ID],AL205)</f>
        <v>2</v>
      </c>
      <c r="AO205" s="16">
        <f>SUMIF(RawData[Customer_ID],AL205,RawData[Quantity])</f>
        <v>5</v>
      </c>
      <c r="AP205" s="21">
        <f>SUMIF(RawData[Customer_ID],AL205,RawData[Revenue])</f>
        <v>88179.24</v>
      </c>
      <c r="AQ205" s="21">
        <f>SUMIF(RawData[Customer_ID],AL205,RawData[Profit])</f>
        <v>6602.7900000000081</v>
      </c>
      <c r="AR205" s="16">
        <f t="shared" si="32"/>
        <v>44089.62</v>
      </c>
      <c r="AS205" s="16" t="str">
        <f t="shared" si="33"/>
        <v>Occasional</v>
      </c>
    </row>
    <row r="206" spans="38:45" x14ac:dyDescent="0.25">
      <c r="AL206" s="16" t="s">
        <v>1590</v>
      </c>
      <c r="AM206" s="16" t="s">
        <v>562</v>
      </c>
      <c r="AN206" s="16">
        <f>COUNTIF(RawData[Customer_ID],AL206)</f>
        <v>3</v>
      </c>
      <c r="AO206" s="16">
        <f>SUMIF(RawData[Customer_ID],AL206,RawData[Quantity])</f>
        <v>10</v>
      </c>
      <c r="AP206" s="21">
        <f>SUMIF(RawData[Customer_ID],AL206,RawData[Revenue])</f>
        <v>193266.1</v>
      </c>
      <c r="AQ206" s="21">
        <f>SUMIF(RawData[Customer_ID],AL206,RawData[Profit])</f>
        <v>22708</v>
      </c>
      <c r="AR206" s="16">
        <f t="shared" si="32"/>
        <v>64422.033333333333</v>
      </c>
      <c r="AS206" s="16" t="str">
        <f t="shared" si="33"/>
        <v>Occasional</v>
      </c>
    </row>
    <row r="207" spans="38:45" x14ac:dyDescent="0.25">
      <c r="AL207" s="16" t="s">
        <v>1483</v>
      </c>
      <c r="AM207" s="16" t="s">
        <v>563</v>
      </c>
      <c r="AN207" s="16">
        <f>COUNTIF(RawData[Customer_ID],AL207)</f>
        <v>4</v>
      </c>
      <c r="AO207" s="16">
        <f>SUMIF(RawData[Customer_ID],AL207,RawData[Quantity])</f>
        <v>12</v>
      </c>
      <c r="AP207" s="21">
        <f>SUMIF(RawData[Customer_ID],AL207,RawData[Revenue])</f>
        <v>298497.58999999997</v>
      </c>
      <c r="AQ207" s="21">
        <f>SUMIF(RawData[Customer_ID],AL207,RawData[Profit])</f>
        <v>37318.400000000009</v>
      </c>
      <c r="AR207" s="16">
        <f t="shared" si="32"/>
        <v>74624.397499999992</v>
      </c>
      <c r="AS207" s="16" t="str">
        <f t="shared" si="33"/>
        <v>Occasional</v>
      </c>
    </row>
    <row r="208" spans="38:45" x14ac:dyDescent="0.25">
      <c r="AL208" s="16" t="s">
        <v>3177</v>
      </c>
      <c r="AM208" s="16" t="s">
        <v>564</v>
      </c>
      <c r="AN208" s="16">
        <f>COUNTIF(RawData[Customer_ID],AL208)</f>
        <v>6</v>
      </c>
      <c r="AO208" s="16">
        <f>SUMIF(RawData[Customer_ID],AL208,RawData[Quantity])</f>
        <v>24</v>
      </c>
      <c r="AP208" s="21">
        <f>SUMIF(RawData[Customer_ID],AL208,RawData[Revenue])</f>
        <v>263980.19</v>
      </c>
      <c r="AQ208" s="21">
        <f>SUMIF(RawData[Customer_ID],AL208,RawData[Profit])</f>
        <v>42228.420000000013</v>
      </c>
      <c r="AR208" s="16">
        <f t="shared" si="32"/>
        <v>43996.698333333334</v>
      </c>
      <c r="AS208" s="16" t="str">
        <f t="shared" si="33"/>
        <v>Loyal</v>
      </c>
    </row>
    <row r="209" spans="38:45" x14ac:dyDescent="0.25">
      <c r="AL209" s="16" t="s">
        <v>2092</v>
      </c>
      <c r="AM209" s="16" t="s">
        <v>565</v>
      </c>
      <c r="AN209" s="16">
        <f>COUNTIF(RawData[Customer_ID],AL209)</f>
        <v>2</v>
      </c>
      <c r="AO209" s="16">
        <f>SUMIF(RawData[Customer_ID],AL209,RawData[Quantity])</f>
        <v>9</v>
      </c>
      <c r="AP209" s="21">
        <f>SUMIF(RawData[Customer_ID],AL209,RawData[Revenue])</f>
        <v>4335.5</v>
      </c>
      <c r="AQ209" s="21">
        <f>SUMIF(RawData[Customer_ID],AL209,RawData[Profit])</f>
        <v>988.00000000000045</v>
      </c>
      <c r="AR209" s="16">
        <f t="shared" si="32"/>
        <v>2167.75</v>
      </c>
      <c r="AS209" s="16" t="str">
        <f t="shared" si="33"/>
        <v>Occasional</v>
      </c>
    </row>
    <row r="210" spans="38:45" x14ac:dyDescent="0.25">
      <c r="AL210" s="16" t="s">
        <v>2565</v>
      </c>
      <c r="AM210" s="16" t="s">
        <v>566</v>
      </c>
      <c r="AN210" s="16">
        <f>COUNTIF(RawData[Customer_ID],AL210)</f>
        <v>5</v>
      </c>
      <c r="AO210" s="16">
        <f>SUMIF(RawData[Customer_ID],AL210,RawData[Quantity])</f>
        <v>8</v>
      </c>
      <c r="AP210" s="21">
        <f>SUMIF(RawData[Customer_ID],AL210,RawData[Revenue])</f>
        <v>133533.37</v>
      </c>
      <c r="AQ210" s="21">
        <f>SUMIF(RawData[Customer_ID],AL210,RawData[Profit])</f>
        <v>24047.710000000003</v>
      </c>
      <c r="AR210" s="16">
        <f t="shared" si="32"/>
        <v>26706.673999999999</v>
      </c>
      <c r="AS210" s="16" t="str">
        <f t="shared" si="33"/>
        <v>Loyal</v>
      </c>
    </row>
    <row r="211" spans="38:45" x14ac:dyDescent="0.25">
      <c r="AL211" s="16" t="s">
        <v>1328</v>
      </c>
      <c r="AM211" s="16" t="s">
        <v>567</v>
      </c>
      <c r="AN211" s="16">
        <f>COUNTIF(RawData[Customer_ID],AL211)</f>
        <v>3</v>
      </c>
      <c r="AO211" s="16">
        <f>SUMIF(RawData[Customer_ID],AL211,RawData[Quantity])</f>
        <v>10</v>
      </c>
      <c r="AP211" s="21">
        <f>SUMIF(RawData[Customer_ID],AL211,RawData[Revenue])</f>
        <v>113462.58</v>
      </c>
      <c r="AQ211" s="21">
        <f>SUMIF(RawData[Customer_ID],AL211,RawData[Profit])</f>
        <v>10748.640000000001</v>
      </c>
      <c r="AR211" s="16">
        <f t="shared" si="32"/>
        <v>37820.86</v>
      </c>
      <c r="AS211" s="16" t="str">
        <f t="shared" si="33"/>
        <v>Occasional</v>
      </c>
    </row>
    <row r="212" spans="38:45" x14ac:dyDescent="0.25">
      <c r="AL212" s="16" t="s">
        <v>3882</v>
      </c>
      <c r="AM212" s="16" t="s">
        <v>568</v>
      </c>
      <c r="AN212" s="16">
        <f>COUNTIF(RawData[Customer_ID],AL212)</f>
        <v>3</v>
      </c>
      <c r="AO212" s="16">
        <f>SUMIF(RawData[Customer_ID],AL212,RawData[Quantity])</f>
        <v>9</v>
      </c>
      <c r="AP212" s="21">
        <f>SUMIF(RawData[Customer_ID],AL212,RawData[Revenue])</f>
        <v>151944.14000000001</v>
      </c>
      <c r="AQ212" s="21">
        <f>SUMIF(RawData[Customer_ID],AL212,RawData[Profit])</f>
        <v>16415.840000000004</v>
      </c>
      <c r="AR212" s="16">
        <f t="shared" si="32"/>
        <v>50648.046666666669</v>
      </c>
      <c r="AS212" s="16" t="str">
        <f t="shared" si="33"/>
        <v>Occasional</v>
      </c>
    </row>
    <row r="213" spans="38:45" x14ac:dyDescent="0.25">
      <c r="AL213" s="16" t="s">
        <v>2167</v>
      </c>
      <c r="AM213" s="16" t="s">
        <v>569</v>
      </c>
      <c r="AN213" s="16">
        <f>COUNTIF(RawData[Customer_ID],AL213)</f>
        <v>4</v>
      </c>
      <c r="AO213" s="16">
        <f>SUMIF(RawData[Customer_ID],AL213,RawData[Quantity])</f>
        <v>13</v>
      </c>
      <c r="AP213" s="21">
        <f>SUMIF(RawData[Customer_ID],AL213,RawData[Revenue])</f>
        <v>191902.6</v>
      </c>
      <c r="AQ213" s="21">
        <f>SUMIF(RawData[Customer_ID],AL213,RawData[Profit])</f>
        <v>32721.599999999999</v>
      </c>
      <c r="AR213" s="16">
        <f t="shared" si="32"/>
        <v>47975.65</v>
      </c>
      <c r="AS213" s="16" t="str">
        <f t="shared" si="33"/>
        <v>Occasional</v>
      </c>
    </row>
    <row r="214" spans="38:45" x14ac:dyDescent="0.25">
      <c r="AL214" s="16" t="s">
        <v>2413</v>
      </c>
      <c r="AM214" s="16" t="s">
        <v>534</v>
      </c>
      <c r="AN214" s="16">
        <f>COUNTIF(RawData[Customer_ID],AL214)</f>
        <v>4</v>
      </c>
      <c r="AO214" s="16">
        <f>SUMIF(RawData[Customer_ID],AL214,RawData[Quantity])</f>
        <v>12</v>
      </c>
      <c r="AP214" s="21">
        <f>SUMIF(RawData[Customer_ID],AL214,RawData[Revenue])</f>
        <v>249256</v>
      </c>
      <c r="AQ214" s="21">
        <f>SUMIF(RawData[Customer_ID],AL214,RawData[Profit])</f>
        <v>43176</v>
      </c>
      <c r="AR214" s="16">
        <f t="shared" si="32"/>
        <v>62314</v>
      </c>
      <c r="AS214" s="16" t="str">
        <f t="shared" si="33"/>
        <v>Occasional</v>
      </c>
    </row>
    <row r="215" spans="38:45" x14ac:dyDescent="0.25">
      <c r="AL215" s="16" t="s">
        <v>2234</v>
      </c>
      <c r="AM215" s="16" t="s">
        <v>570</v>
      </c>
      <c r="AN215" s="16">
        <f>COUNTIF(RawData[Customer_ID],AL215)</f>
        <v>7</v>
      </c>
      <c r="AO215" s="16">
        <f>SUMIF(RawData[Customer_ID],AL215,RawData[Quantity])</f>
        <v>30</v>
      </c>
      <c r="AP215" s="21">
        <f>SUMIF(RawData[Customer_ID],AL215,RawData[Revenue])</f>
        <v>331821.90000000002</v>
      </c>
      <c r="AQ215" s="21">
        <f>SUMIF(RawData[Customer_ID],AL215,RawData[Profit])</f>
        <v>36822.400000000045</v>
      </c>
      <c r="AR215" s="16">
        <f t="shared" si="32"/>
        <v>47403.128571428577</v>
      </c>
      <c r="AS215" s="16" t="str">
        <f t="shared" si="33"/>
        <v>Loyal</v>
      </c>
    </row>
    <row r="216" spans="38:45" x14ac:dyDescent="0.25">
      <c r="AL216" s="16" t="s">
        <v>5157</v>
      </c>
      <c r="AM216" s="16" t="s">
        <v>571</v>
      </c>
      <c r="AN216" s="16">
        <f>COUNTIF(RawData[Customer_ID],AL216)</f>
        <v>0</v>
      </c>
      <c r="AO216" s="16">
        <f>SUMIF(RawData[Customer_ID],AL216,RawData[Quantity])</f>
        <v>0</v>
      </c>
      <c r="AP216" s="21">
        <f>SUMIF(RawData[Customer_ID],AL216,RawData[Revenue])</f>
        <v>0</v>
      </c>
      <c r="AQ216" s="21">
        <f>SUMIF(RawData[Customer_ID],AL216,RawData[Profit])</f>
        <v>0</v>
      </c>
      <c r="AR216" s="16">
        <f t="shared" si="32"/>
        <v>0</v>
      </c>
      <c r="AS216" s="16" t="str">
        <f t="shared" si="33"/>
        <v>Occasional</v>
      </c>
    </row>
    <row r="217" spans="38:45" x14ac:dyDescent="0.25">
      <c r="AL217" s="16" t="s">
        <v>5158</v>
      </c>
      <c r="AM217" s="16" t="s">
        <v>572</v>
      </c>
      <c r="AN217" s="16">
        <f>COUNTIF(RawData[Customer_ID],AL217)</f>
        <v>0</v>
      </c>
      <c r="AO217" s="16">
        <f>SUMIF(RawData[Customer_ID],AL217,RawData[Quantity])</f>
        <v>0</v>
      </c>
      <c r="AP217" s="21">
        <f>SUMIF(RawData[Customer_ID],AL217,RawData[Revenue])</f>
        <v>0</v>
      </c>
      <c r="AQ217" s="21">
        <f>SUMIF(RawData[Customer_ID],AL217,RawData[Profit])</f>
        <v>0</v>
      </c>
      <c r="AR217" s="16">
        <f t="shared" si="32"/>
        <v>0</v>
      </c>
      <c r="AS217" s="16" t="str">
        <f t="shared" si="33"/>
        <v>Occasional</v>
      </c>
    </row>
    <row r="218" spans="38:45" x14ac:dyDescent="0.25">
      <c r="AL218" s="16" t="s">
        <v>5094</v>
      </c>
      <c r="AM218" s="16" t="s">
        <v>573</v>
      </c>
      <c r="AN218" s="16">
        <f>COUNTIF(RawData[Customer_ID],AL218)</f>
        <v>4</v>
      </c>
      <c r="AO218" s="16">
        <f>SUMIF(RawData[Customer_ID],AL218,RawData[Quantity])</f>
        <v>12</v>
      </c>
      <c r="AP218" s="21">
        <f>SUMIF(RawData[Customer_ID],AL218,RawData[Revenue])</f>
        <v>288386.40000000002</v>
      </c>
      <c r="AQ218" s="21">
        <f>SUMIF(RawData[Customer_ID],AL218,RawData[Profit])</f>
        <v>32152.510000000017</v>
      </c>
      <c r="AR218" s="16">
        <f t="shared" si="32"/>
        <v>72096.600000000006</v>
      </c>
      <c r="AS218" s="16" t="str">
        <f t="shared" si="33"/>
        <v>Occasional</v>
      </c>
    </row>
    <row r="219" spans="38:45" x14ac:dyDescent="0.25">
      <c r="AL219" s="16" t="s">
        <v>3317</v>
      </c>
      <c r="AM219" s="16" t="s">
        <v>574</v>
      </c>
      <c r="AN219" s="16">
        <f>COUNTIF(RawData[Customer_ID],AL219)</f>
        <v>1</v>
      </c>
      <c r="AO219" s="16">
        <f>SUMIF(RawData[Customer_ID],AL219,RawData[Quantity])</f>
        <v>3</v>
      </c>
      <c r="AP219" s="21">
        <f>SUMIF(RawData[Customer_ID],AL219,RawData[Revenue])</f>
        <v>45042.270000000004</v>
      </c>
      <c r="AQ219" s="21">
        <f>SUMIF(RawData[Customer_ID],AL219,RawData[Profit])</f>
        <v>1484.9100000000035</v>
      </c>
      <c r="AR219" s="16">
        <f t="shared" si="32"/>
        <v>45042.270000000004</v>
      </c>
      <c r="AS219" s="16" t="str">
        <f t="shared" si="33"/>
        <v>One-time</v>
      </c>
    </row>
    <row r="220" spans="38:45" x14ac:dyDescent="0.25">
      <c r="AL220" s="16" t="s">
        <v>2169</v>
      </c>
      <c r="AM220" s="16" t="s">
        <v>575</v>
      </c>
      <c r="AN220" s="16">
        <f>COUNTIF(RawData[Customer_ID],AL220)</f>
        <v>6</v>
      </c>
      <c r="AO220" s="16">
        <f>SUMIF(RawData[Customer_ID],AL220,RawData[Quantity])</f>
        <v>19</v>
      </c>
      <c r="AP220" s="21">
        <f>SUMIF(RawData[Customer_ID],AL220,RawData[Revenue])</f>
        <v>346030.33</v>
      </c>
      <c r="AQ220" s="21">
        <f>SUMIF(RawData[Customer_ID],AL220,RawData[Profit])</f>
        <v>46935.249999999949</v>
      </c>
      <c r="AR220" s="16">
        <f t="shared" si="32"/>
        <v>57671.721666666672</v>
      </c>
      <c r="AS220" s="16" t="str">
        <f t="shared" si="33"/>
        <v>Loyal</v>
      </c>
    </row>
    <row r="221" spans="38:45" x14ac:dyDescent="0.25">
      <c r="AL221" s="16" t="s">
        <v>5108</v>
      </c>
      <c r="AM221" s="16" t="s">
        <v>576</v>
      </c>
      <c r="AN221" s="16">
        <f>COUNTIF(RawData[Customer_ID],AL221)</f>
        <v>1</v>
      </c>
      <c r="AO221" s="16">
        <f>SUMIF(RawData[Customer_ID],AL221,RawData[Quantity])</f>
        <v>1</v>
      </c>
      <c r="AP221" s="21">
        <f>SUMIF(RawData[Customer_ID],AL221,RawData[Revenue])</f>
        <v>8740</v>
      </c>
      <c r="AQ221" s="21">
        <f>SUMIF(RawData[Customer_ID],AL221,RawData[Profit])</f>
        <v>2090</v>
      </c>
      <c r="AR221" s="16">
        <f t="shared" si="32"/>
        <v>8740</v>
      </c>
      <c r="AS221" s="16" t="str">
        <f t="shared" si="33"/>
        <v>One-time</v>
      </c>
    </row>
    <row r="222" spans="38:45" x14ac:dyDescent="0.25">
      <c r="AL222" s="16" t="s">
        <v>2983</v>
      </c>
      <c r="AM222" s="16" t="s">
        <v>577</v>
      </c>
      <c r="AN222" s="16">
        <f>COUNTIF(RawData[Customer_ID],AL222)</f>
        <v>3</v>
      </c>
      <c r="AO222" s="16">
        <f>SUMIF(RawData[Customer_ID],AL222,RawData[Quantity])</f>
        <v>11</v>
      </c>
      <c r="AP222" s="21">
        <f>SUMIF(RawData[Customer_ID],AL222,RawData[Revenue])</f>
        <v>27630.5</v>
      </c>
      <c r="AQ222" s="21">
        <f>SUMIF(RawData[Customer_ID],AL222,RawData[Profit])</f>
        <v>3299</v>
      </c>
      <c r="AR222" s="16">
        <f t="shared" si="32"/>
        <v>9210.1666666666661</v>
      </c>
      <c r="AS222" s="16" t="str">
        <f t="shared" si="33"/>
        <v>Occasional</v>
      </c>
    </row>
    <row r="223" spans="38:45" x14ac:dyDescent="0.25">
      <c r="AL223" s="16" t="s">
        <v>2285</v>
      </c>
      <c r="AM223" s="16" t="s">
        <v>578</v>
      </c>
      <c r="AN223" s="16">
        <f>COUNTIF(RawData[Customer_ID],AL223)</f>
        <v>2</v>
      </c>
      <c r="AO223" s="16">
        <f>SUMIF(RawData[Customer_ID],AL223,RawData[Quantity])</f>
        <v>5</v>
      </c>
      <c r="AP223" s="21">
        <f>SUMIF(RawData[Customer_ID],AL223,RawData[Revenue])</f>
        <v>645</v>
      </c>
      <c r="AQ223" s="21">
        <f>SUMIF(RawData[Customer_ID],AL223,RawData[Profit])</f>
        <v>205.20000000000002</v>
      </c>
      <c r="AR223" s="16">
        <f t="shared" si="32"/>
        <v>322.5</v>
      </c>
      <c r="AS223" s="16" t="str">
        <f t="shared" si="33"/>
        <v>Occasional</v>
      </c>
    </row>
    <row r="224" spans="38:45" x14ac:dyDescent="0.25">
      <c r="AL224" s="16" t="s">
        <v>3107</v>
      </c>
      <c r="AM224" s="16" t="s">
        <v>579</v>
      </c>
      <c r="AN224" s="16">
        <f>COUNTIF(RawData[Customer_ID],AL224)</f>
        <v>4</v>
      </c>
      <c r="AO224" s="16">
        <f>SUMIF(RawData[Customer_ID],AL224,RawData[Quantity])</f>
        <v>17</v>
      </c>
      <c r="AP224" s="21">
        <f>SUMIF(RawData[Customer_ID],AL224,RawData[Revenue])</f>
        <v>74359.200000000012</v>
      </c>
      <c r="AQ224" s="21">
        <f>SUMIF(RawData[Customer_ID],AL224,RawData[Profit])</f>
        <v>13805.779999999999</v>
      </c>
      <c r="AR224" s="16">
        <f t="shared" si="32"/>
        <v>18589.800000000003</v>
      </c>
      <c r="AS224" s="16" t="str">
        <f t="shared" si="33"/>
        <v>Occasional</v>
      </c>
    </row>
    <row r="225" spans="38:45" x14ac:dyDescent="0.25">
      <c r="AL225" s="16" t="s">
        <v>1553</v>
      </c>
      <c r="AM225" s="16" t="s">
        <v>580</v>
      </c>
      <c r="AN225" s="16">
        <f>COUNTIF(RawData[Customer_ID],AL225)</f>
        <v>2</v>
      </c>
      <c r="AO225" s="16">
        <f>SUMIF(RawData[Customer_ID],AL225,RawData[Quantity])</f>
        <v>4</v>
      </c>
      <c r="AP225" s="21">
        <f>SUMIF(RawData[Customer_ID],AL225,RawData[Revenue])</f>
        <v>30816.32</v>
      </c>
      <c r="AQ225" s="21">
        <f>SUMIF(RawData[Customer_ID],AL225,RawData[Profit])</f>
        <v>6829.1800000000021</v>
      </c>
      <c r="AR225" s="16">
        <f t="shared" si="32"/>
        <v>15408.16</v>
      </c>
      <c r="AS225" s="16" t="str">
        <f t="shared" si="33"/>
        <v>Occasional</v>
      </c>
    </row>
    <row r="226" spans="38:45" x14ac:dyDescent="0.25">
      <c r="AL226" s="16" t="s">
        <v>4957</v>
      </c>
      <c r="AM226" s="16" t="s">
        <v>581</v>
      </c>
      <c r="AN226" s="16">
        <f>COUNTIF(RawData[Customer_ID],AL226)</f>
        <v>2</v>
      </c>
      <c r="AO226" s="16">
        <f>SUMIF(RawData[Customer_ID],AL226,RawData[Quantity])</f>
        <v>6</v>
      </c>
      <c r="AP226" s="21">
        <f>SUMIF(RawData[Customer_ID],AL226,RawData[Revenue])</f>
        <v>126044.45</v>
      </c>
      <c r="AQ226" s="21">
        <f>SUMIF(RawData[Customer_ID],AL226,RawData[Profit])</f>
        <v>8458.7000000000116</v>
      </c>
      <c r="AR226" s="16">
        <f t="shared" si="32"/>
        <v>63022.224999999999</v>
      </c>
      <c r="AS226" s="16" t="str">
        <f t="shared" si="33"/>
        <v>Occasional</v>
      </c>
    </row>
    <row r="227" spans="38:45" x14ac:dyDescent="0.25">
      <c r="AL227" s="16" t="s">
        <v>1616</v>
      </c>
      <c r="AM227" s="16" t="s">
        <v>582</v>
      </c>
      <c r="AN227" s="16">
        <f>COUNTIF(RawData[Customer_ID],AL227)</f>
        <v>9</v>
      </c>
      <c r="AO227" s="16">
        <f>SUMIF(RawData[Customer_ID],AL227,RawData[Quantity])</f>
        <v>26</v>
      </c>
      <c r="AP227" s="21">
        <f>SUMIF(RawData[Customer_ID],AL227,RawData[Revenue])</f>
        <v>319480.33999999997</v>
      </c>
      <c r="AQ227" s="21">
        <f>SUMIF(RawData[Customer_ID],AL227,RawData[Profit])</f>
        <v>44482.249999999985</v>
      </c>
      <c r="AR227" s="16">
        <f t="shared" si="32"/>
        <v>35497.81555555555</v>
      </c>
      <c r="AS227" s="16" t="str">
        <f t="shared" si="33"/>
        <v>Review</v>
      </c>
    </row>
    <row r="228" spans="38:45" x14ac:dyDescent="0.25">
      <c r="AL228" s="16" t="s">
        <v>3696</v>
      </c>
      <c r="AM228" s="16" t="s">
        <v>583</v>
      </c>
      <c r="AN228" s="16">
        <f>COUNTIF(RawData[Customer_ID],AL228)</f>
        <v>2</v>
      </c>
      <c r="AO228" s="16">
        <f>SUMIF(RawData[Customer_ID],AL228,RawData[Quantity])</f>
        <v>6</v>
      </c>
      <c r="AP228" s="21">
        <f>SUMIF(RawData[Customer_ID],AL228,RawData[Revenue])</f>
        <v>116731.85999999999</v>
      </c>
      <c r="AQ228" s="21">
        <f>SUMIF(RawData[Customer_ID],AL228,RawData[Profit])</f>
        <v>18561.629999999983</v>
      </c>
      <c r="AR228" s="16">
        <f t="shared" si="32"/>
        <v>58365.929999999993</v>
      </c>
      <c r="AS228" s="16" t="str">
        <f t="shared" si="33"/>
        <v>Occasional</v>
      </c>
    </row>
    <row r="229" spans="38:45" x14ac:dyDescent="0.25">
      <c r="AL229" s="16" t="s">
        <v>2962</v>
      </c>
      <c r="AM229" s="16" t="s">
        <v>584</v>
      </c>
      <c r="AN229" s="16">
        <f>COUNTIF(RawData[Customer_ID],AL229)</f>
        <v>3</v>
      </c>
      <c r="AO229" s="16">
        <f>SUMIF(RawData[Customer_ID],AL229,RawData[Quantity])</f>
        <v>9</v>
      </c>
      <c r="AP229" s="21">
        <f>SUMIF(RawData[Customer_ID],AL229,RawData[Revenue])</f>
        <v>108143.72</v>
      </c>
      <c r="AQ229" s="21">
        <f>SUMIF(RawData[Customer_ID],AL229,RawData[Profit])</f>
        <v>16051.999999999989</v>
      </c>
      <c r="AR229" s="16">
        <f t="shared" si="32"/>
        <v>36047.906666666669</v>
      </c>
      <c r="AS229" s="16" t="str">
        <f t="shared" si="33"/>
        <v>Occasional</v>
      </c>
    </row>
    <row r="230" spans="38:45" x14ac:dyDescent="0.25">
      <c r="AL230" s="16" t="s">
        <v>5075</v>
      </c>
      <c r="AM230" s="16" t="s">
        <v>407</v>
      </c>
      <c r="AN230" s="16">
        <f>COUNTIF(RawData[Customer_ID],AL230)</f>
        <v>5</v>
      </c>
      <c r="AO230" s="16">
        <f>SUMIF(RawData[Customer_ID],AL230,RawData[Quantity])</f>
        <v>15</v>
      </c>
      <c r="AP230" s="21">
        <f>SUMIF(RawData[Customer_ID],AL230,RawData[Revenue])</f>
        <v>239849.86000000002</v>
      </c>
      <c r="AQ230" s="21">
        <f>SUMIF(RawData[Customer_ID],AL230,RawData[Profit])</f>
        <v>42826.979999999996</v>
      </c>
      <c r="AR230" s="16">
        <f t="shared" si="32"/>
        <v>47969.972000000002</v>
      </c>
      <c r="AS230" s="16" t="str">
        <f t="shared" si="33"/>
        <v>Loyal</v>
      </c>
    </row>
    <row r="231" spans="38:45" x14ac:dyDescent="0.25">
      <c r="AL231" s="16" t="s">
        <v>2377</v>
      </c>
      <c r="AM231" s="16" t="s">
        <v>585</v>
      </c>
      <c r="AN231" s="16">
        <f>COUNTIF(RawData[Customer_ID],AL231)</f>
        <v>4</v>
      </c>
      <c r="AO231" s="16">
        <f>SUMIF(RawData[Customer_ID],AL231,RawData[Quantity])</f>
        <v>14</v>
      </c>
      <c r="AP231" s="21">
        <f>SUMIF(RawData[Customer_ID],AL231,RawData[Revenue])</f>
        <v>336487.18</v>
      </c>
      <c r="AQ231" s="21">
        <f>SUMIF(RawData[Customer_ID],AL231,RawData[Profit])</f>
        <v>46389.639999999985</v>
      </c>
      <c r="AR231" s="16">
        <f t="shared" si="32"/>
        <v>84121.794999999998</v>
      </c>
      <c r="AS231" s="16" t="str">
        <f t="shared" si="33"/>
        <v>Occasional</v>
      </c>
    </row>
    <row r="232" spans="38:45" x14ac:dyDescent="0.25">
      <c r="AL232" s="16" t="s">
        <v>3308</v>
      </c>
      <c r="AM232" s="16" t="s">
        <v>586</v>
      </c>
      <c r="AN232" s="16">
        <f>COUNTIF(RawData[Customer_ID],AL232)</f>
        <v>1</v>
      </c>
      <c r="AO232" s="16">
        <f>SUMIF(RawData[Customer_ID],AL232,RawData[Quantity])</f>
        <v>5</v>
      </c>
      <c r="AP232" s="21">
        <f>SUMIF(RawData[Customer_ID],AL232,RawData[Revenue])</f>
        <v>31740</v>
      </c>
      <c r="AQ232" s="21">
        <f>SUMIF(RawData[Customer_ID],AL232,RawData[Profit])</f>
        <v>3105</v>
      </c>
      <c r="AR232" s="16">
        <f t="shared" si="32"/>
        <v>31740</v>
      </c>
      <c r="AS232" s="16" t="str">
        <f t="shared" si="33"/>
        <v>One-time</v>
      </c>
    </row>
    <row r="233" spans="38:45" x14ac:dyDescent="0.25">
      <c r="AL233" s="16" t="s">
        <v>1899</v>
      </c>
      <c r="AM233" s="16" t="s">
        <v>587</v>
      </c>
      <c r="AN233" s="16">
        <f>COUNTIF(RawData[Customer_ID],AL233)</f>
        <v>2</v>
      </c>
      <c r="AO233" s="16">
        <f>SUMIF(RawData[Customer_ID],AL233,RawData[Quantity])</f>
        <v>4</v>
      </c>
      <c r="AP233" s="21">
        <f>SUMIF(RawData[Customer_ID],AL233,RawData[Revenue])</f>
        <v>64206.259999999995</v>
      </c>
      <c r="AQ233" s="21">
        <f>SUMIF(RawData[Customer_ID],AL233,RawData[Profit])</f>
        <v>8359.3600000000042</v>
      </c>
      <c r="AR233" s="16">
        <f t="shared" si="32"/>
        <v>32103.129999999997</v>
      </c>
      <c r="AS233" s="16" t="str">
        <f t="shared" si="33"/>
        <v>Occasional</v>
      </c>
    </row>
    <row r="234" spans="38:45" x14ac:dyDescent="0.25">
      <c r="AL234" s="16" t="s">
        <v>4635</v>
      </c>
      <c r="AM234" s="16" t="s">
        <v>588</v>
      </c>
      <c r="AN234" s="16">
        <f>COUNTIF(RawData[Customer_ID],AL234)</f>
        <v>6</v>
      </c>
      <c r="AO234" s="16">
        <f>SUMIF(RawData[Customer_ID],AL234,RawData[Quantity])</f>
        <v>17</v>
      </c>
      <c r="AP234" s="21">
        <f>SUMIF(RawData[Customer_ID],AL234,RawData[Revenue])</f>
        <v>57261.75</v>
      </c>
      <c r="AQ234" s="21">
        <f>SUMIF(RawData[Customer_ID],AL234,RawData[Profit])</f>
        <v>11379.770000000004</v>
      </c>
      <c r="AR234" s="16">
        <f t="shared" si="32"/>
        <v>9543.625</v>
      </c>
      <c r="AS234" s="16" t="str">
        <f t="shared" si="33"/>
        <v>Loyal</v>
      </c>
    </row>
    <row r="235" spans="38:45" x14ac:dyDescent="0.25">
      <c r="AL235" s="16" t="s">
        <v>1574</v>
      </c>
      <c r="AM235" s="16" t="s">
        <v>401</v>
      </c>
      <c r="AN235" s="16">
        <f>COUNTIF(RawData[Customer_ID],AL235)</f>
        <v>3</v>
      </c>
      <c r="AO235" s="16">
        <f>SUMIF(RawData[Customer_ID],AL235,RawData[Quantity])</f>
        <v>8</v>
      </c>
      <c r="AP235" s="21">
        <f>SUMIF(RawData[Customer_ID],AL235,RawData[Revenue])</f>
        <v>67248.149999999994</v>
      </c>
      <c r="AQ235" s="21">
        <f>SUMIF(RawData[Customer_ID],AL235,RawData[Profit])</f>
        <v>10352.549999999996</v>
      </c>
      <c r="AR235" s="16">
        <f t="shared" si="32"/>
        <v>22416.05</v>
      </c>
      <c r="AS235" s="16" t="str">
        <f t="shared" si="33"/>
        <v>Occasional</v>
      </c>
    </row>
    <row r="236" spans="38:45" x14ac:dyDescent="0.25">
      <c r="AL236" s="16" t="s">
        <v>1848</v>
      </c>
      <c r="AM236" s="16" t="s">
        <v>589</v>
      </c>
      <c r="AN236" s="16">
        <f>COUNTIF(RawData[Customer_ID],AL236)</f>
        <v>5</v>
      </c>
      <c r="AO236" s="16">
        <f>SUMIF(RawData[Customer_ID],AL236,RawData[Quantity])</f>
        <v>15</v>
      </c>
      <c r="AP236" s="21">
        <f>SUMIF(RawData[Customer_ID],AL236,RawData[Revenue])</f>
        <v>307234.79000000004</v>
      </c>
      <c r="AQ236" s="21">
        <f>SUMIF(RawData[Customer_ID],AL236,RawData[Profit])</f>
        <v>43826.919999999976</v>
      </c>
      <c r="AR236" s="16">
        <f t="shared" si="32"/>
        <v>61446.958000000006</v>
      </c>
      <c r="AS236" s="16" t="str">
        <f t="shared" si="33"/>
        <v>Loyal</v>
      </c>
    </row>
    <row r="237" spans="38:45" x14ac:dyDescent="0.25">
      <c r="AL237" s="16" t="s">
        <v>1632</v>
      </c>
      <c r="AM237" s="16" t="s">
        <v>590</v>
      </c>
      <c r="AN237" s="16">
        <f>COUNTIF(RawData[Customer_ID],AL237)</f>
        <v>5</v>
      </c>
      <c r="AO237" s="16">
        <f>SUMIF(RawData[Customer_ID],AL237,RawData[Quantity])</f>
        <v>17</v>
      </c>
      <c r="AP237" s="21">
        <f>SUMIF(RawData[Customer_ID],AL237,RawData[Revenue])</f>
        <v>397332.85</v>
      </c>
      <c r="AQ237" s="21">
        <f>SUMIF(RawData[Customer_ID],AL237,RawData[Profit])</f>
        <v>50249.449999999983</v>
      </c>
      <c r="AR237" s="16">
        <f t="shared" si="32"/>
        <v>79466.569999999992</v>
      </c>
      <c r="AS237" s="16" t="str">
        <f t="shared" si="33"/>
        <v>Loyal</v>
      </c>
    </row>
    <row r="238" spans="38:45" x14ac:dyDescent="0.25">
      <c r="AL238" s="16" t="s">
        <v>3765</v>
      </c>
      <c r="AM238" s="16" t="s">
        <v>591</v>
      </c>
      <c r="AN238" s="16">
        <f>COUNTIF(RawData[Customer_ID],AL238)</f>
        <v>5</v>
      </c>
      <c r="AO238" s="16">
        <f>SUMIF(RawData[Customer_ID],AL238,RawData[Quantity])</f>
        <v>13</v>
      </c>
      <c r="AP238" s="21">
        <f>SUMIF(RawData[Customer_ID],AL238,RawData[Revenue])</f>
        <v>296591.44</v>
      </c>
      <c r="AQ238" s="21">
        <f>SUMIF(RawData[Customer_ID],AL238,RawData[Profit])</f>
        <v>27555.169999999969</v>
      </c>
      <c r="AR238" s="16">
        <f t="shared" si="32"/>
        <v>59318.288</v>
      </c>
      <c r="AS238" s="16" t="str">
        <f t="shared" si="33"/>
        <v>Loyal</v>
      </c>
    </row>
    <row r="239" spans="38:45" x14ac:dyDescent="0.25">
      <c r="AL239" s="16" t="s">
        <v>3359</v>
      </c>
      <c r="AM239" s="16" t="s">
        <v>592</v>
      </c>
      <c r="AN239" s="16">
        <f>COUNTIF(RawData[Customer_ID],AL239)</f>
        <v>2</v>
      </c>
      <c r="AO239" s="16">
        <f>SUMIF(RawData[Customer_ID],AL239,RawData[Quantity])</f>
        <v>4</v>
      </c>
      <c r="AP239" s="21">
        <f>SUMIF(RawData[Customer_ID],AL239,RawData[Revenue])</f>
        <v>55202.58</v>
      </c>
      <c r="AQ239" s="21">
        <f>SUMIF(RawData[Customer_ID],AL239,RawData[Profit])</f>
        <v>7133.4000000000015</v>
      </c>
      <c r="AR239" s="16">
        <f t="shared" si="32"/>
        <v>27601.29</v>
      </c>
      <c r="AS239" s="16" t="str">
        <f t="shared" si="33"/>
        <v>Occasional</v>
      </c>
    </row>
    <row r="240" spans="38:45" x14ac:dyDescent="0.25">
      <c r="AL240" s="16" t="s">
        <v>1986</v>
      </c>
      <c r="AM240" s="16" t="s">
        <v>593</v>
      </c>
      <c r="AN240" s="16">
        <f>COUNTIF(RawData[Customer_ID],AL240)</f>
        <v>2</v>
      </c>
      <c r="AO240" s="16">
        <f>SUMIF(RawData[Customer_ID],AL240,RawData[Quantity])</f>
        <v>10</v>
      </c>
      <c r="AP240" s="21">
        <f>SUMIF(RawData[Customer_ID],AL240,RawData[Revenue])</f>
        <v>264730.2</v>
      </c>
      <c r="AQ240" s="21">
        <f>SUMIF(RawData[Customer_ID],AL240,RawData[Profit])</f>
        <v>38746.800000000017</v>
      </c>
      <c r="AR240" s="16">
        <f t="shared" si="32"/>
        <v>132365.1</v>
      </c>
      <c r="AS240" s="16" t="str">
        <f t="shared" si="33"/>
        <v>Occasional</v>
      </c>
    </row>
    <row r="241" spans="38:45" x14ac:dyDescent="0.25">
      <c r="AL241" s="16" t="s">
        <v>2951</v>
      </c>
      <c r="AM241" s="16" t="s">
        <v>594</v>
      </c>
      <c r="AN241" s="16">
        <f>COUNTIF(RawData[Customer_ID],AL241)</f>
        <v>4</v>
      </c>
      <c r="AO241" s="16">
        <f>SUMIF(RawData[Customer_ID],AL241,RawData[Quantity])</f>
        <v>13</v>
      </c>
      <c r="AP241" s="21">
        <f>SUMIF(RawData[Customer_ID],AL241,RawData[Revenue])</f>
        <v>132337.78</v>
      </c>
      <c r="AQ241" s="21">
        <f>SUMIF(RawData[Customer_ID],AL241,RawData[Profit])</f>
        <v>24876.730000000003</v>
      </c>
      <c r="AR241" s="16">
        <f t="shared" si="32"/>
        <v>33084.445</v>
      </c>
      <c r="AS241" s="16" t="str">
        <f t="shared" si="33"/>
        <v>Occasional</v>
      </c>
    </row>
    <row r="242" spans="38:45" x14ac:dyDescent="0.25">
      <c r="AL242" s="16" t="s">
        <v>2088</v>
      </c>
      <c r="AM242" s="16" t="s">
        <v>595</v>
      </c>
      <c r="AN242" s="16">
        <f>COUNTIF(RawData[Customer_ID],AL242)</f>
        <v>5</v>
      </c>
      <c r="AO242" s="16">
        <f>SUMIF(RawData[Customer_ID],AL242,RawData[Quantity])</f>
        <v>16</v>
      </c>
      <c r="AP242" s="21">
        <f>SUMIF(RawData[Customer_ID],AL242,RawData[Revenue])</f>
        <v>115312.8</v>
      </c>
      <c r="AQ242" s="21">
        <f>SUMIF(RawData[Customer_ID],AL242,RawData[Profit])</f>
        <v>8953.1199999999935</v>
      </c>
      <c r="AR242" s="16">
        <f t="shared" si="32"/>
        <v>23062.560000000001</v>
      </c>
      <c r="AS242" s="16" t="str">
        <f t="shared" si="33"/>
        <v>Loyal</v>
      </c>
    </row>
    <row r="243" spans="38:45" x14ac:dyDescent="0.25">
      <c r="AL243" s="16" t="s">
        <v>5159</v>
      </c>
      <c r="AM243" s="16" t="s">
        <v>596</v>
      </c>
      <c r="AN243" s="16">
        <f>COUNTIF(RawData[Customer_ID],AL243)</f>
        <v>0</v>
      </c>
      <c r="AO243" s="16">
        <f>SUMIF(RawData[Customer_ID],AL243,RawData[Quantity])</f>
        <v>0</v>
      </c>
      <c r="AP243" s="21">
        <f>SUMIF(RawData[Customer_ID],AL243,RawData[Revenue])</f>
        <v>0</v>
      </c>
      <c r="AQ243" s="21">
        <f>SUMIF(RawData[Customer_ID],AL243,RawData[Profit])</f>
        <v>0</v>
      </c>
      <c r="AR243" s="16">
        <f t="shared" si="32"/>
        <v>0</v>
      </c>
      <c r="AS243" s="16" t="str">
        <f t="shared" si="33"/>
        <v>Occasional</v>
      </c>
    </row>
    <row r="244" spans="38:45" x14ac:dyDescent="0.25">
      <c r="AL244" s="16" t="s">
        <v>2001</v>
      </c>
      <c r="AM244" s="16" t="s">
        <v>597</v>
      </c>
      <c r="AN244" s="16">
        <f>COUNTIF(RawData[Customer_ID],AL244)</f>
        <v>5</v>
      </c>
      <c r="AO244" s="16">
        <f>SUMIF(RawData[Customer_ID],AL244,RawData[Quantity])</f>
        <v>15</v>
      </c>
      <c r="AP244" s="21">
        <f>SUMIF(RawData[Customer_ID],AL244,RawData[Revenue])</f>
        <v>401650.05000000005</v>
      </c>
      <c r="AQ244" s="21">
        <f>SUMIF(RawData[Customer_ID],AL244,RawData[Profit])</f>
        <v>57827.35</v>
      </c>
      <c r="AR244" s="16">
        <f t="shared" si="32"/>
        <v>80330.010000000009</v>
      </c>
      <c r="AS244" s="16" t="str">
        <f t="shared" si="33"/>
        <v>Loyal</v>
      </c>
    </row>
    <row r="245" spans="38:45" x14ac:dyDescent="0.25">
      <c r="AL245" s="16" t="s">
        <v>1764</v>
      </c>
      <c r="AM245" s="16" t="s">
        <v>475</v>
      </c>
      <c r="AN245" s="16">
        <f>COUNTIF(RawData[Customer_ID],AL245)</f>
        <v>1</v>
      </c>
      <c r="AO245" s="16">
        <f>SUMIF(RawData[Customer_ID],AL245,RawData[Quantity])</f>
        <v>5</v>
      </c>
      <c r="AP245" s="21">
        <f>SUMIF(RawData[Customer_ID],AL245,RawData[Revenue])</f>
        <v>112745.90000000001</v>
      </c>
      <c r="AQ245" s="21">
        <f>SUMIF(RawData[Customer_ID],AL245,RawData[Profit])</f>
        <v>4124.8499999999913</v>
      </c>
      <c r="AR245" s="16">
        <f t="shared" si="32"/>
        <v>112745.90000000001</v>
      </c>
      <c r="AS245" s="16" t="str">
        <f t="shared" si="33"/>
        <v>One-time</v>
      </c>
    </row>
    <row r="246" spans="38:45" x14ac:dyDescent="0.25">
      <c r="AL246" s="16" t="s">
        <v>2876</v>
      </c>
      <c r="AM246" s="16" t="s">
        <v>598</v>
      </c>
      <c r="AN246" s="16">
        <f>COUNTIF(RawData[Customer_ID],AL246)</f>
        <v>3</v>
      </c>
      <c r="AO246" s="16">
        <f>SUMIF(RawData[Customer_ID],AL246,RawData[Quantity])</f>
        <v>9</v>
      </c>
      <c r="AP246" s="21">
        <f>SUMIF(RawData[Customer_ID],AL246,RawData[Revenue])</f>
        <v>155918.97</v>
      </c>
      <c r="AQ246" s="21">
        <f>SUMIF(RawData[Customer_ID],AL246,RawData[Profit])</f>
        <v>20686.329999999994</v>
      </c>
      <c r="AR246" s="16">
        <f t="shared" si="32"/>
        <v>51972.99</v>
      </c>
      <c r="AS246" s="16" t="str">
        <f t="shared" si="33"/>
        <v>Occasional</v>
      </c>
    </row>
    <row r="247" spans="38:45" x14ac:dyDescent="0.25">
      <c r="AL247" s="16" t="s">
        <v>2304</v>
      </c>
      <c r="AM247" s="16" t="s">
        <v>599</v>
      </c>
      <c r="AN247" s="16">
        <f>COUNTIF(RawData[Customer_ID],AL247)</f>
        <v>5</v>
      </c>
      <c r="AO247" s="16">
        <f>SUMIF(RawData[Customer_ID],AL247,RawData[Quantity])</f>
        <v>13</v>
      </c>
      <c r="AP247" s="21">
        <f>SUMIF(RawData[Customer_ID],AL247,RawData[Revenue])</f>
        <v>82987.700000000012</v>
      </c>
      <c r="AQ247" s="21">
        <f>SUMIF(RawData[Customer_ID],AL247,RawData[Profit])</f>
        <v>22242.600000000002</v>
      </c>
      <c r="AR247" s="16">
        <f t="shared" si="32"/>
        <v>16597.54</v>
      </c>
      <c r="AS247" s="16" t="str">
        <f t="shared" si="33"/>
        <v>Loyal</v>
      </c>
    </row>
    <row r="248" spans="38:45" x14ac:dyDescent="0.25">
      <c r="AL248" s="16" t="s">
        <v>3466</v>
      </c>
      <c r="AM248" s="16" t="s">
        <v>600</v>
      </c>
      <c r="AN248" s="16">
        <f>COUNTIF(RawData[Customer_ID],AL248)</f>
        <v>3</v>
      </c>
      <c r="AO248" s="16">
        <f>SUMIF(RawData[Customer_ID],AL248,RawData[Quantity])</f>
        <v>10</v>
      </c>
      <c r="AP248" s="21">
        <f>SUMIF(RawData[Customer_ID],AL248,RawData[Revenue])</f>
        <v>55408</v>
      </c>
      <c r="AQ248" s="21">
        <f>SUMIF(RawData[Customer_ID],AL248,RawData[Profit])</f>
        <v>13394</v>
      </c>
      <c r="AR248" s="16">
        <f t="shared" si="32"/>
        <v>18469.333333333332</v>
      </c>
      <c r="AS248" s="16" t="str">
        <f t="shared" si="33"/>
        <v>Occasional</v>
      </c>
    </row>
    <row r="249" spans="38:45" x14ac:dyDescent="0.25">
      <c r="AL249" s="16" t="s">
        <v>1714</v>
      </c>
      <c r="AM249" s="16" t="s">
        <v>521</v>
      </c>
      <c r="AN249" s="16">
        <f>COUNTIF(RawData[Customer_ID],AL249)</f>
        <v>3</v>
      </c>
      <c r="AO249" s="16">
        <f>SUMIF(RawData[Customer_ID],AL249,RawData[Quantity])</f>
        <v>9</v>
      </c>
      <c r="AP249" s="21">
        <f>SUMIF(RawData[Customer_ID],AL249,RawData[Revenue])</f>
        <v>22568.09</v>
      </c>
      <c r="AQ249" s="21">
        <f>SUMIF(RawData[Customer_ID],AL249,RawData[Profit])</f>
        <v>5648.84</v>
      </c>
      <c r="AR249" s="16">
        <f t="shared" si="32"/>
        <v>7522.6966666666667</v>
      </c>
      <c r="AS249" s="16" t="str">
        <f t="shared" si="33"/>
        <v>Occasional</v>
      </c>
    </row>
    <row r="250" spans="38:45" x14ac:dyDescent="0.25">
      <c r="AL250" s="16" t="s">
        <v>1306</v>
      </c>
      <c r="AM250" s="16" t="s">
        <v>601</v>
      </c>
      <c r="AN250" s="16">
        <f>COUNTIF(RawData[Customer_ID],AL250)</f>
        <v>1</v>
      </c>
      <c r="AO250" s="16">
        <f>SUMIF(RawData[Customer_ID],AL250,RawData[Quantity])</f>
        <v>5</v>
      </c>
      <c r="AP250" s="21">
        <f>SUMIF(RawData[Customer_ID],AL250,RawData[Revenue])</f>
        <v>30870.25</v>
      </c>
      <c r="AQ250" s="21">
        <f>SUMIF(RawData[Customer_ID],AL250,RawData[Profit])</f>
        <v>8123.7500000000036</v>
      </c>
      <c r="AR250" s="16">
        <f t="shared" si="32"/>
        <v>30870.25</v>
      </c>
      <c r="AS250" s="16" t="str">
        <f t="shared" si="33"/>
        <v>One-time</v>
      </c>
    </row>
    <row r="251" spans="38:45" x14ac:dyDescent="0.25">
      <c r="AL251" s="16" t="s">
        <v>1368</v>
      </c>
      <c r="AM251" s="16" t="s">
        <v>602</v>
      </c>
      <c r="AN251" s="16">
        <f>COUNTIF(RawData[Customer_ID],AL251)</f>
        <v>4</v>
      </c>
      <c r="AO251" s="16">
        <f>SUMIF(RawData[Customer_ID],AL251,RawData[Quantity])</f>
        <v>8</v>
      </c>
      <c r="AP251" s="21">
        <f>SUMIF(RawData[Customer_ID],AL251,RawData[Revenue])</f>
        <v>136131.84999999998</v>
      </c>
      <c r="AQ251" s="21">
        <f>SUMIF(RawData[Customer_ID],AL251,RawData[Profit])</f>
        <v>6060.0699999999924</v>
      </c>
      <c r="AR251" s="16">
        <f t="shared" si="32"/>
        <v>34032.962499999994</v>
      </c>
      <c r="AS251" s="16" t="str">
        <f t="shared" si="33"/>
        <v>Occasional</v>
      </c>
    </row>
    <row r="252" spans="38:45" x14ac:dyDescent="0.25">
      <c r="AL252" s="16" t="s">
        <v>4630</v>
      </c>
      <c r="AM252" s="16" t="s">
        <v>603</v>
      </c>
      <c r="AN252" s="16">
        <f>COUNTIF(RawData[Customer_ID],AL252)</f>
        <v>1</v>
      </c>
      <c r="AO252" s="16">
        <f>SUMIF(RawData[Customer_ID],AL252,RawData[Quantity])</f>
        <v>5</v>
      </c>
      <c r="AP252" s="21">
        <f>SUMIF(RawData[Customer_ID],AL252,RawData[Revenue])</f>
        <v>159310</v>
      </c>
      <c r="AQ252" s="21">
        <f>SUMIF(RawData[Customer_ID],AL252,RawData[Profit])</f>
        <v>16110</v>
      </c>
      <c r="AR252" s="16">
        <f t="shared" si="32"/>
        <v>159310</v>
      </c>
      <c r="AS252" s="16" t="str">
        <f t="shared" si="33"/>
        <v>One-time</v>
      </c>
    </row>
    <row r="253" spans="38:45" x14ac:dyDescent="0.25">
      <c r="AL253" s="16" t="s">
        <v>5160</v>
      </c>
      <c r="AM253" s="16" t="s">
        <v>604</v>
      </c>
      <c r="AN253" s="16">
        <f>COUNTIF(RawData[Customer_ID],AL253)</f>
        <v>0</v>
      </c>
      <c r="AO253" s="16">
        <f>SUMIF(RawData[Customer_ID],AL253,RawData[Quantity])</f>
        <v>0</v>
      </c>
      <c r="AP253" s="21">
        <f>SUMIF(RawData[Customer_ID],AL253,RawData[Revenue])</f>
        <v>0</v>
      </c>
      <c r="AQ253" s="21">
        <f>SUMIF(RawData[Customer_ID],AL253,RawData[Profit])</f>
        <v>0</v>
      </c>
      <c r="AR253" s="16">
        <f t="shared" si="32"/>
        <v>0</v>
      </c>
      <c r="AS253" s="16" t="str">
        <f t="shared" si="33"/>
        <v>Occasional</v>
      </c>
    </row>
    <row r="254" spans="38:45" x14ac:dyDescent="0.25">
      <c r="AL254" s="16" t="s">
        <v>3079</v>
      </c>
      <c r="AM254" s="16" t="s">
        <v>605</v>
      </c>
      <c r="AN254" s="16">
        <f>COUNTIF(RawData[Customer_ID],AL254)</f>
        <v>2</v>
      </c>
      <c r="AO254" s="16">
        <f>SUMIF(RawData[Customer_ID],AL254,RawData[Quantity])</f>
        <v>6</v>
      </c>
      <c r="AP254" s="21">
        <f>SUMIF(RawData[Customer_ID],AL254,RawData[Revenue])</f>
        <v>42386.020000000004</v>
      </c>
      <c r="AQ254" s="21">
        <f>SUMIF(RawData[Customer_ID],AL254,RawData[Profit])</f>
        <v>8994.3099999999977</v>
      </c>
      <c r="AR254" s="16">
        <f t="shared" si="32"/>
        <v>21193.010000000002</v>
      </c>
      <c r="AS254" s="16" t="str">
        <f t="shared" si="33"/>
        <v>Occasional</v>
      </c>
    </row>
    <row r="255" spans="38:45" x14ac:dyDescent="0.25">
      <c r="AL255" s="16" t="s">
        <v>2160</v>
      </c>
      <c r="AM255" s="16" t="s">
        <v>606</v>
      </c>
      <c r="AN255" s="16">
        <f>COUNTIF(RawData[Customer_ID],AL255)</f>
        <v>3</v>
      </c>
      <c r="AO255" s="16">
        <f>SUMIF(RawData[Customer_ID],AL255,RawData[Quantity])</f>
        <v>9</v>
      </c>
      <c r="AP255" s="21">
        <f>SUMIF(RawData[Customer_ID],AL255,RawData[Revenue])</f>
        <v>46659.57</v>
      </c>
      <c r="AQ255" s="21">
        <f>SUMIF(RawData[Customer_ID],AL255,RawData[Profit])</f>
        <v>4880.369999999999</v>
      </c>
      <c r="AR255" s="16">
        <f t="shared" si="32"/>
        <v>15553.19</v>
      </c>
      <c r="AS255" s="16" t="str">
        <f t="shared" si="33"/>
        <v>Occasional</v>
      </c>
    </row>
    <row r="256" spans="38:45" x14ac:dyDescent="0.25">
      <c r="AL256" s="16" t="s">
        <v>1496</v>
      </c>
      <c r="AM256" s="16" t="s">
        <v>607</v>
      </c>
      <c r="AN256" s="16">
        <f>COUNTIF(RawData[Customer_ID],AL256)</f>
        <v>3</v>
      </c>
      <c r="AO256" s="16">
        <f>SUMIF(RawData[Customer_ID],AL256,RawData[Quantity])</f>
        <v>10</v>
      </c>
      <c r="AP256" s="21">
        <f>SUMIF(RawData[Customer_ID],AL256,RawData[Revenue])</f>
        <v>182182.54</v>
      </c>
      <c r="AQ256" s="21">
        <f>SUMIF(RawData[Customer_ID],AL256,RawData[Profit])</f>
        <v>22279.290000000012</v>
      </c>
      <c r="AR256" s="16">
        <f t="shared" si="32"/>
        <v>60727.513333333336</v>
      </c>
      <c r="AS256" s="16" t="str">
        <f t="shared" si="33"/>
        <v>Occasional</v>
      </c>
    </row>
    <row r="257" spans="38:45" x14ac:dyDescent="0.25">
      <c r="AL257" s="16" t="s">
        <v>1699</v>
      </c>
      <c r="AM257" s="16" t="s">
        <v>608</v>
      </c>
      <c r="AN257" s="16">
        <f>COUNTIF(RawData[Customer_ID],AL257)</f>
        <v>6</v>
      </c>
      <c r="AO257" s="16">
        <f>SUMIF(RawData[Customer_ID],AL257,RawData[Quantity])</f>
        <v>16</v>
      </c>
      <c r="AP257" s="21">
        <f>SUMIF(RawData[Customer_ID],AL257,RawData[Revenue])</f>
        <v>138515.87</v>
      </c>
      <c r="AQ257" s="21">
        <f>SUMIF(RawData[Customer_ID],AL257,RawData[Profit])</f>
        <v>12564.750000000004</v>
      </c>
      <c r="AR257" s="16">
        <f t="shared" si="32"/>
        <v>23085.978333333333</v>
      </c>
      <c r="AS257" s="16" t="str">
        <f t="shared" si="33"/>
        <v>Loyal</v>
      </c>
    </row>
    <row r="258" spans="38:45" x14ac:dyDescent="0.25">
      <c r="AL258" s="16" t="s">
        <v>4676</v>
      </c>
      <c r="AM258" s="16" t="s">
        <v>609</v>
      </c>
      <c r="AN258" s="16">
        <f>COUNTIF(RawData[Customer_ID],AL258)</f>
        <v>3</v>
      </c>
      <c r="AO258" s="16">
        <f>SUMIF(RawData[Customer_ID],AL258,RawData[Quantity])</f>
        <v>11</v>
      </c>
      <c r="AP258" s="21">
        <f>SUMIF(RawData[Customer_ID],AL258,RawData[Revenue])</f>
        <v>196919</v>
      </c>
      <c r="AQ258" s="21">
        <f>SUMIF(RawData[Customer_ID],AL258,RawData[Profit])</f>
        <v>26609.399999999994</v>
      </c>
      <c r="AR258" s="16">
        <f t="shared" si="32"/>
        <v>65639.666666666672</v>
      </c>
      <c r="AS258" s="16" t="str">
        <f t="shared" si="33"/>
        <v>Occasional</v>
      </c>
    </row>
    <row r="259" spans="38:45" x14ac:dyDescent="0.25">
      <c r="AL259" s="16" t="s">
        <v>5103</v>
      </c>
      <c r="AM259" s="16" t="s">
        <v>610</v>
      </c>
      <c r="AN259" s="16">
        <f>COUNTIF(RawData[Customer_ID],AL259)</f>
        <v>4</v>
      </c>
      <c r="AO259" s="16">
        <f>SUMIF(RawData[Customer_ID],AL259,RawData[Quantity])</f>
        <v>11</v>
      </c>
      <c r="AP259" s="21">
        <f>SUMIF(RawData[Customer_ID],AL259,RawData[Revenue])</f>
        <v>348509.87</v>
      </c>
      <c r="AQ259" s="21">
        <f>SUMIF(RawData[Customer_ID],AL259,RawData[Profit])</f>
        <v>50658.549999999981</v>
      </c>
      <c r="AR259" s="16">
        <f t="shared" ref="AR259:AR322" si="34">IF(AN259=0,0,AP259/AN259)</f>
        <v>87127.467499999999</v>
      </c>
      <c r="AS259" s="16" t="str">
        <f t="shared" ref="AS259:AS322" si="35">IF(AN259=1,"One-time",IF(AN259&lt;=4,"Occasional",IF(AN259&lt;=8,"Loyal","Review")))</f>
        <v>Occasional</v>
      </c>
    </row>
    <row r="260" spans="38:45" x14ac:dyDescent="0.25">
      <c r="AL260" s="16" t="s">
        <v>5089</v>
      </c>
      <c r="AM260" s="16" t="s">
        <v>611</v>
      </c>
      <c r="AN260" s="16">
        <f>COUNTIF(RawData[Customer_ID],AL260)</f>
        <v>4</v>
      </c>
      <c r="AO260" s="16">
        <f>SUMIF(RawData[Customer_ID],AL260,RawData[Quantity])</f>
        <v>18</v>
      </c>
      <c r="AP260" s="21">
        <f>SUMIF(RawData[Customer_ID],AL260,RawData[Revenue])</f>
        <v>174390.52000000002</v>
      </c>
      <c r="AQ260" s="21">
        <f>SUMIF(RawData[Customer_ID],AL260,RawData[Profit])</f>
        <v>15657.139999999998</v>
      </c>
      <c r="AR260" s="16">
        <f t="shared" si="34"/>
        <v>43597.630000000005</v>
      </c>
      <c r="AS260" s="16" t="str">
        <f t="shared" si="35"/>
        <v>Occasional</v>
      </c>
    </row>
    <row r="261" spans="38:45" x14ac:dyDescent="0.25">
      <c r="AL261" s="16" t="s">
        <v>2079</v>
      </c>
      <c r="AM261" s="16" t="s">
        <v>612</v>
      </c>
      <c r="AN261" s="16">
        <f>COUNTIF(RawData[Customer_ID],AL261)</f>
        <v>4</v>
      </c>
      <c r="AO261" s="16">
        <f>SUMIF(RawData[Customer_ID],AL261,RawData[Quantity])</f>
        <v>12</v>
      </c>
      <c r="AP261" s="21">
        <f>SUMIF(RawData[Customer_ID],AL261,RawData[Revenue])</f>
        <v>151109.45000000001</v>
      </c>
      <c r="AQ261" s="21">
        <f>SUMIF(RawData[Customer_ID],AL261,RawData[Profit])</f>
        <v>24019.099999999991</v>
      </c>
      <c r="AR261" s="16">
        <f t="shared" si="34"/>
        <v>37777.362500000003</v>
      </c>
      <c r="AS261" s="16" t="str">
        <f t="shared" si="35"/>
        <v>Occasional</v>
      </c>
    </row>
    <row r="262" spans="38:45" x14ac:dyDescent="0.25">
      <c r="AL262" s="16" t="s">
        <v>2595</v>
      </c>
      <c r="AM262" s="16" t="s">
        <v>613</v>
      </c>
      <c r="AN262" s="16">
        <f>COUNTIF(RawData[Customer_ID],AL262)</f>
        <v>6</v>
      </c>
      <c r="AO262" s="16">
        <f>SUMIF(RawData[Customer_ID],AL262,RawData[Quantity])</f>
        <v>15</v>
      </c>
      <c r="AP262" s="21">
        <f>SUMIF(RawData[Customer_ID],AL262,RawData[Revenue])</f>
        <v>449488.57000000007</v>
      </c>
      <c r="AQ262" s="21">
        <f>SUMIF(RawData[Customer_ID],AL262,RawData[Profit])</f>
        <v>66016.710000000021</v>
      </c>
      <c r="AR262" s="16">
        <f t="shared" si="34"/>
        <v>74914.761666666673</v>
      </c>
      <c r="AS262" s="16" t="str">
        <f t="shared" si="35"/>
        <v>Loyal</v>
      </c>
    </row>
    <row r="263" spans="38:45" x14ac:dyDescent="0.25">
      <c r="AL263" s="16" t="s">
        <v>1431</v>
      </c>
      <c r="AM263" s="16" t="s">
        <v>614</v>
      </c>
      <c r="AN263" s="16">
        <f>COUNTIF(RawData[Customer_ID],AL263)</f>
        <v>3</v>
      </c>
      <c r="AO263" s="16">
        <f>SUMIF(RawData[Customer_ID],AL263,RawData[Quantity])</f>
        <v>9</v>
      </c>
      <c r="AP263" s="21">
        <f>SUMIF(RawData[Customer_ID],AL263,RawData[Revenue])</f>
        <v>70372</v>
      </c>
      <c r="AQ263" s="21">
        <f>SUMIF(RawData[Customer_ID],AL263,RawData[Profit])</f>
        <v>14512</v>
      </c>
      <c r="AR263" s="16">
        <f t="shared" si="34"/>
        <v>23457.333333333332</v>
      </c>
      <c r="AS263" s="16" t="str">
        <f t="shared" si="35"/>
        <v>Occasional</v>
      </c>
    </row>
    <row r="264" spans="38:45" x14ac:dyDescent="0.25">
      <c r="AL264" s="16" t="s">
        <v>1625</v>
      </c>
      <c r="AM264" s="16" t="s">
        <v>615</v>
      </c>
      <c r="AN264" s="16">
        <f>COUNTIF(RawData[Customer_ID],AL264)</f>
        <v>5</v>
      </c>
      <c r="AO264" s="16">
        <f>SUMIF(RawData[Customer_ID],AL264,RawData[Quantity])</f>
        <v>15</v>
      </c>
      <c r="AP264" s="21">
        <f>SUMIF(RawData[Customer_ID],AL264,RawData[Revenue])</f>
        <v>128770.31999999998</v>
      </c>
      <c r="AQ264" s="21">
        <f>SUMIF(RawData[Customer_ID],AL264,RawData[Profit])</f>
        <v>17750.619999999995</v>
      </c>
      <c r="AR264" s="16">
        <f t="shared" si="34"/>
        <v>25754.063999999995</v>
      </c>
      <c r="AS264" s="16" t="str">
        <f t="shared" si="35"/>
        <v>Loyal</v>
      </c>
    </row>
    <row r="265" spans="38:45" x14ac:dyDescent="0.25">
      <c r="AL265" s="16" t="s">
        <v>2743</v>
      </c>
      <c r="AM265" s="16" t="s">
        <v>616</v>
      </c>
      <c r="AN265" s="16">
        <f>COUNTIF(RawData[Customer_ID],AL265)</f>
        <v>4</v>
      </c>
      <c r="AO265" s="16">
        <f>SUMIF(RawData[Customer_ID],AL265,RawData[Quantity])</f>
        <v>12</v>
      </c>
      <c r="AP265" s="21">
        <f>SUMIF(RawData[Customer_ID],AL265,RawData[Revenue])</f>
        <v>277019.83999999997</v>
      </c>
      <c r="AQ265" s="21">
        <f>SUMIF(RawData[Customer_ID],AL265,RawData[Profit])</f>
        <v>42616.289999999964</v>
      </c>
      <c r="AR265" s="16">
        <f t="shared" si="34"/>
        <v>69254.959999999992</v>
      </c>
      <c r="AS265" s="16" t="str">
        <f t="shared" si="35"/>
        <v>Occasional</v>
      </c>
    </row>
    <row r="266" spans="38:45" x14ac:dyDescent="0.25">
      <c r="AL266" s="16" t="s">
        <v>4617</v>
      </c>
      <c r="AM266" s="16" t="s">
        <v>617</v>
      </c>
      <c r="AN266" s="16">
        <f>COUNTIF(RawData[Customer_ID],AL266)</f>
        <v>3</v>
      </c>
      <c r="AO266" s="16">
        <f>SUMIF(RawData[Customer_ID],AL266,RawData[Quantity])</f>
        <v>12</v>
      </c>
      <c r="AP266" s="21">
        <f>SUMIF(RawData[Customer_ID],AL266,RawData[Revenue])</f>
        <v>33382.700000000004</v>
      </c>
      <c r="AQ266" s="21">
        <f>SUMIF(RawData[Customer_ID],AL266,RawData[Profit])</f>
        <v>5673.4499999999989</v>
      </c>
      <c r="AR266" s="16">
        <f t="shared" si="34"/>
        <v>11127.566666666668</v>
      </c>
      <c r="AS266" s="16" t="str">
        <f t="shared" si="35"/>
        <v>Occasional</v>
      </c>
    </row>
    <row r="267" spans="38:45" x14ac:dyDescent="0.25">
      <c r="AL267" s="16" t="s">
        <v>3773</v>
      </c>
      <c r="AM267" s="16" t="s">
        <v>618</v>
      </c>
      <c r="AN267" s="16">
        <f>COUNTIF(RawData[Customer_ID],AL267)</f>
        <v>7</v>
      </c>
      <c r="AO267" s="16">
        <f>SUMIF(RawData[Customer_ID],AL267,RawData[Quantity])</f>
        <v>21</v>
      </c>
      <c r="AP267" s="21">
        <f>SUMIF(RawData[Customer_ID],AL267,RawData[Revenue])</f>
        <v>238772.13</v>
      </c>
      <c r="AQ267" s="21">
        <f>SUMIF(RawData[Customer_ID],AL267,RawData[Profit])</f>
        <v>40177.109999999979</v>
      </c>
      <c r="AR267" s="16">
        <f t="shared" si="34"/>
        <v>34110.304285714286</v>
      </c>
      <c r="AS267" s="16" t="str">
        <f t="shared" si="35"/>
        <v>Loyal</v>
      </c>
    </row>
    <row r="268" spans="38:45" x14ac:dyDescent="0.25">
      <c r="AL268" s="16" t="s">
        <v>1504</v>
      </c>
      <c r="AM268" s="16" t="s">
        <v>619</v>
      </c>
      <c r="AN268" s="16">
        <f>COUNTIF(RawData[Customer_ID],AL268)</f>
        <v>1</v>
      </c>
      <c r="AO268" s="16">
        <f>SUMIF(RawData[Customer_ID],AL268,RawData[Quantity])</f>
        <v>1</v>
      </c>
      <c r="AP268" s="21">
        <f>SUMIF(RawData[Customer_ID],AL268,RawData[Revenue])</f>
        <v>5329.18</v>
      </c>
      <c r="AQ268" s="21">
        <f>SUMIF(RawData[Customer_ID],AL268,RawData[Profit])</f>
        <v>779.88000000000102</v>
      </c>
      <c r="AR268" s="16">
        <f t="shared" si="34"/>
        <v>5329.18</v>
      </c>
      <c r="AS268" s="16" t="str">
        <f t="shared" si="35"/>
        <v>One-time</v>
      </c>
    </row>
    <row r="269" spans="38:45" x14ac:dyDescent="0.25">
      <c r="AL269" s="16" t="s">
        <v>4260</v>
      </c>
      <c r="AM269" s="16" t="s">
        <v>620</v>
      </c>
      <c r="AN269" s="16">
        <f>COUNTIF(RawData[Customer_ID],AL269)</f>
        <v>3</v>
      </c>
      <c r="AO269" s="16">
        <f>SUMIF(RawData[Customer_ID],AL269,RawData[Quantity])</f>
        <v>7</v>
      </c>
      <c r="AP269" s="21">
        <f>SUMIF(RawData[Customer_ID],AL269,RawData[Revenue])</f>
        <v>60384.58</v>
      </c>
      <c r="AQ269" s="21">
        <f>SUMIF(RawData[Customer_ID],AL269,RawData[Profit])</f>
        <v>7493.2199999999993</v>
      </c>
      <c r="AR269" s="16">
        <f t="shared" si="34"/>
        <v>20128.193333333333</v>
      </c>
      <c r="AS269" s="16" t="str">
        <f t="shared" si="35"/>
        <v>Occasional</v>
      </c>
    </row>
    <row r="270" spans="38:45" x14ac:dyDescent="0.25">
      <c r="AL270" s="16" t="s">
        <v>2532</v>
      </c>
      <c r="AM270" s="16" t="s">
        <v>621</v>
      </c>
      <c r="AN270" s="16">
        <f>COUNTIF(RawData[Customer_ID],AL270)</f>
        <v>3</v>
      </c>
      <c r="AO270" s="16">
        <f>SUMIF(RawData[Customer_ID],AL270,RawData[Quantity])</f>
        <v>9</v>
      </c>
      <c r="AP270" s="21">
        <f>SUMIF(RawData[Customer_ID],AL270,RawData[Revenue])</f>
        <v>194539.90000000002</v>
      </c>
      <c r="AQ270" s="21">
        <f>SUMIF(RawData[Customer_ID],AL270,RawData[Profit])</f>
        <v>12607.800000000017</v>
      </c>
      <c r="AR270" s="16">
        <f t="shared" si="34"/>
        <v>64846.633333333339</v>
      </c>
      <c r="AS270" s="16" t="str">
        <f t="shared" si="35"/>
        <v>Occasional</v>
      </c>
    </row>
    <row r="271" spans="38:45" x14ac:dyDescent="0.25">
      <c r="AL271" s="16" t="s">
        <v>2750</v>
      </c>
      <c r="AM271" s="16" t="s">
        <v>622</v>
      </c>
      <c r="AN271" s="16">
        <f>COUNTIF(RawData[Customer_ID],AL271)</f>
        <v>6</v>
      </c>
      <c r="AO271" s="16">
        <f>SUMIF(RawData[Customer_ID],AL271,RawData[Quantity])</f>
        <v>13</v>
      </c>
      <c r="AP271" s="21">
        <f>SUMIF(RawData[Customer_ID],AL271,RawData[Revenue])</f>
        <v>244490.23999999999</v>
      </c>
      <c r="AQ271" s="21">
        <f>SUMIF(RawData[Customer_ID],AL271,RawData[Profit])</f>
        <v>35233.37000000001</v>
      </c>
      <c r="AR271" s="16">
        <f t="shared" si="34"/>
        <v>40748.373333333329</v>
      </c>
      <c r="AS271" s="16" t="str">
        <f t="shared" si="35"/>
        <v>Loyal</v>
      </c>
    </row>
    <row r="272" spans="38:45" x14ac:dyDescent="0.25">
      <c r="AL272" s="16" t="s">
        <v>3120</v>
      </c>
      <c r="AM272" s="16" t="s">
        <v>623</v>
      </c>
      <c r="AN272" s="16">
        <f>COUNTIF(RawData[Customer_ID],AL272)</f>
        <v>1</v>
      </c>
      <c r="AO272" s="16">
        <f>SUMIF(RawData[Customer_ID],AL272,RawData[Quantity])</f>
        <v>2</v>
      </c>
      <c r="AP272" s="21">
        <f>SUMIF(RawData[Customer_ID],AL272,RawData[Revenue])</f>
        <v>13110</v>
      </c>
      <c r="AQ272" s="21">
        <f>SUMIF(RawData[Customer_ID],AL272,RawData[Profit])</f>
        <v>1656</v>
      </c>
      <c r="AR272" s="16">
        <f t="shared" si="34"/>
        <v>13110</v>
      </c>
      <c r="AS272" s="16" t="str">
        <f t="shared" si="35"/>
        <v>One-time</v>
      </c>
    </row>
    <row r="273" spans="38:45" x14ac:dyDescent="0.25">
      <c r="AL273" s="16" t="s">
        <v>2086</v>
      </c>
      <c r="AM273" s="16" t="s">
        <v>624</v>
      </c>
      <c r="AN273" s="16">
        <f>COUNTIF(RawData[Customer_ID],AL273)</f>
        <v>5</v>
      </c>
      <c r="AO273" s="16">
        <f>SUMIF(RawData[Customer_ID],AL273,RawData[Quantity])</f>
        <v>11</v>
      </c>
      <c r="AP273" s="21">
        <f>SUMIF(RawData[Customer_ID],AL273,RawData[Revenue])</f>
        <v>198677.97999999998</v>
      </c>
      <c r="AQ273" s="21">
        <f>SUMIF(RawData[Customer_ID],AL273,RawData[Profit])</f>
        <v>32582.089999999982</v>
      </c>
      <c r="AR273" s="16">
        <f t="shared" si="34"/>
        <v>39735.595999999998</v>
      </c>
      <c r="AS273" s="16" t="str">
        <f t="shared" si="35"/>
        <v>Loyal</v>
      </c>
    </row>
    <row r="274" spans="38:45" x14ac:dyDescent="0.25">
      <c r="AL274" s="16" t="s">
        <v>1261</v>
      </c>
      <c r="AM274" s="16" t="s">
        <v>625</v>
      </c>
      <c r="AN274" s="16">
        <f>COUNTIF(RawData[Customer_ID],AL274)</f>
        <v>4</v>
      </c>
      <c r="AO274" s="16">
        <f>SUMIF(RawData[Customer_ID],AL274,RawData[Quantity])</f>
        <v>11</v>
      </c>
      <c r="AP274" s="21">
        <f>SUMIF(RawData[Customer_ID],AL274,RawData[Revenue])</f>
        <v>32108.129999999997</v>
      </c>
      <c r="AQ274" s="21">
        <f>SUMIF(RawData[Customer_ID],AL274,RawData[Profit])</f>
        <v>5539.7299999999987</v>
      </c>
      <c r="AR274" s="16">
        <f t="shared" si="34"/>
        <v>8027.0324999999993</v>
      </c>
      <c r="AS274" s="16" t="str">
        <f t="shared" si="35"/>
        <v>Occasional</v>
      </c>
    </row>
    <row r="275" spans="38:45" x14ac:dyDescent="0.25">
      <c r="AL275" s="16" t="s">
        <v>2349</v>
      </c>
      <c r="AM275" s="16" t="s">
        <v>626</v>
      </c>
      <c r="AN275" s="16">
        <f>COUNTIF(RawData[Customer_ID],AL275)</f>
        <v>3</v>
      </c>
      <c r="AO275" s="16">
        <f>SUMIF(RawData[Customer_ID],AL275,RawData[Quantity])</f>
        <v>10</v>
      </c>
      <c r="AP275" s="21">
        <f>SUMIF(RawData[Customer_ID],AL275,RawData[Revenue])</f>
        <v>41180.299999999996</v>
      </c>
      <c r="AQ275" s="21">
        <f>SUMIF(RawData[Customer_ID],AL275,RawData[Profit])</f>
        <v>11024.500000000002</v>
      </c>
      <c r="AR275" s="16">
        <f t="shared" si="34"/>
        <v>13726.766666666665</v>
      </c>
      <c r="AS275" s="16" t="str">
        <f t="shared" si="35"/>
        <v>Occasional</v>
      </c>
    </row>
    <row r="276" spans="38:45" x14ac:dyDescent="0.25">
      <c r="AL276" s="16" t="s">
        <v>1450</v>
      </c>
      <c r="AM276" s="16" t="s">
        <v>627</v>
      </c>
      <c r="AN276" s="16">
        <f>COUNTIF(RawData[Customer_ID],AL276)</f>
        <v>4</v>
      </c>
      <c r="AO276" s="16">
        <f>SUMIF(RawData[Customer_ID],AL276,RawData[Quantity])</f>
        <v>15</v>
      </c>
      <c r="AP276" s="21">
        <f>SUMIF(RawData[Customer_ID],AL276,RawData[Revenue])</f>
        <v>172833.74</v>
      </c>
      <c r="AQ276" s="21">
        <f>SUMIF(RawData[Customer_ID],AL276,RawData[Profit])</f>
        <v>31386.62</v>
      </c>
      <c r="AR276" s="16">
        <f t="shared" si="34"/>
        <v>43208.434999999998</v>
      </c>
      <c r="AS276" s="16" t="str">
        <f t="shared" si="35"/>
        <v>Occasional</v>
      </c>
    </row>
    <row r="277" spans="38:45" x14ac:dyDescent="0.25">
      <c r="AL277" s="16" t="s">
        <v>5082</v>
      </c>
      <c r="AM277" s="16" t="s">
        <v>628</v>
      </c>
      <c r="AN277" s="16">
        <f>COUNTIF(RawData[Customer_ID],AL277)</f>
        <v>8</v>
      </c>
      <c r="AO277" s="16">
        <f>SUMIF(RawData[Customer_ID],AL277,RawData[Quantity])</f>
        <v>25</v>
      </c>
      <c r="AP277" s="21">
        <f>SUMIF(RawData[Customer_ID],AL277,RawData[Revenue])</f>
        <v>324429.40000000002</v>
      </c>
      <c r="AQ277" s="21">
        <f>SUMIF(RawData[Customer_ID],AL277,RawData[Profit])</f>
        <v>49708.06</v>
      </c>
      <c r="AR277" s="16">
        <f t="shared" si="34"/>
        <v>40553.675000000003</v>
      </c>
      <c r="AS277" s="16" t="str">
        <f t="shared" si="35"/>
        <v>Loyal</v>
      </c>
    </row>
    <row r="278" spans="38:45" x14ac:dyDescent="0.25">
      <c r="AL278" s="16" t="s">
        <v>1696</v>
      </c>
      <c r="AM278" s="16" t="s">
        <v>629</v>
      </c>
      <c r="AN278" s="16">
        <f>COUNTIF(RawData[Customer_ID],AL278)</f>
        <v>2</v>
      </c>
      <c r="AO278" s="16">
        <f>SUMIF(RawData[Customer_ID],AL278,RawData[Quantity])</f>
        <v>5</v>
      </c>
      <c r="AP278" s="21">
        <f>SUMIF(RawData[Customer_ID],AL278,RawData[Revenue])</f>
        <v>25223.86</v>
      </c>
      <c r="AQ278" s="21">
        <f>SUMIF(RawData[Customer_ID],AL278,RawData[Profit])</f>
        <v>6036.6600000000035</v>
      </c>
      <c r="AR278" s="16">
        <f t="shared" si="34"/>
        <v>12611.93</v>
      </c>
      <c r="AS278" s="16" t="str">
        <f t="shared" si="35"/>
        <v>Occasional</v>
      </c>
    </row>
    <row r="279" spans="38:45" x14ac:dyDescent="0.25">
      <c r="AL279" s="16" t="s">
        <v>1839</v>
      </c>
      <c r="AM279" s="16" t="s">
        <v>630</v>
      </c>
      <c r="AN279" s="16">
        <f>COUNTIF(RawData[Customer_ID],AL279)</f>
        <v>3</v>
      </c>
      <c r="AO279" s="16">
        <f>SUMIF(RawData[Customer_ID],AL279,RawData[Quantity])</f>
        <v>11</v>
      </c>
      <c r="AP279" s="21">
        <f>SUMIF(RawData[Customer_ID],AL279,RawData[Revenue])</f>
        <v>118521.27</v>
      </c>
      <c r="AQ279" s="21">
        <f>SUMIF(RawData[Customer_ID],AL279,RawData[Profit])</f>
        <v>17123.61</v>
      </c>
      <c r="AR279" s="16">
        <f t="shared" si="34"/>
        <v>39507.090000000004</v>
      </c>
      <c r="AS279" s="16" t="str">
        <f t="shared" si="35"/>
        <v>Occasional</v>
      </c>
    </row>
    <row r="280" spans="38:45" x14ac:dyDescent="0.25">
      <c r="AL280" s="16" t="s">
        <v>2138</v>
      </c>
      <c r="AM280" s="16" t="s">
        <v>631</v>
      </c>
      <c r="AN280" s="16">
        <f>COUNTIF(RawData[Customer_ID],AL280)</f>
        <v>2</v>
      </c>
      <c r="AO280" s="16">
        <f>SUMIF(RawData[Customer_ID],AL280,RawData[Quantity])</f>
        <v>6</v>
      </c>
      <c r="AP280" s="21">
        <f>SUMIF(RawData[Customer_ID],AL280,RawData[Revenue])</f>
        <v>296994.59999999998</v>
      </c>
      <c r="AQ280" s="21">
        <f>SUMIF(RawData[Customer_ID],AL280,RawData[Profit])</f>
        <v>26399.51999999996</v>
      </c>
      <c r="AR280" s="16">
        <f t="shared" si="34"/>
        <v>148497.29999999999</v>
      </c>
      <c r="AS280" s="16" t="str">
        <f t="shared" si="35"/>
        <v>Occasional</v>
      </c>
    </row>
    <row r="281" spans="38:45" x14ac:dyDescent="0.25">
      <c r="AL281" s="16" t="s">
        <v>3643</v>
      </c>
      <c r="AM281" s="16" t="s">
        <v>632</v>
      </c>
      <c r="AN281" s="16">
        <f>COUNTIF(RawData[Customer_ID],AL281)</f>
        <v>5</v>
      </c>
      <c r="AO281" s="16">
        <f>SUMIF(RawData[Customer_ID],AL281,RawData[Quantity])</f>
        <v>20</v>
      </c>
      <c r="AP281" s="21">
        <f>SUMIF(RawData[Customer_ID],AL281,RawData[Revenue])</f>
        <v>613493.55000000005</v>
      </c>
      <c r="AQ281" s="21">
        <f>SUMIF(RawData[Customer_ID],AL281,RawData[Profit])</f>
        <v>85385.900000000009</v>
      </c>
      <c r="AR281" s="16">
        <f t="shared" si="34"/>
        <v>122698.71</v>
      </c>
      <c r="AS281" s="16" t="str">
        <f t="shared" si="35"/>
        <v>Loyal</v>
      </c>
    </row>
    <row r="282" spans="38:45" x14ac:dyDescent="0.25">
      <c r="AL282" s="16" t="s">
        <v>3075</v>
      </c>
      <c r="AM282" s="16" t="s">
        <v>633</v>
      </c>
      <c r="AN282" s="16">
        <f>COUNTIF(RawData[Customer_ID],AL282)</f>
        <v>3</v>
      </c>
      <c r="AO282" s="16">
        <f>SUMIF(RawData[Customer_ID],AL282,RawData[Quantity])</f>
        <v>8</v>
      </c>
      <c r="AP282" s="21">
        <f>SUMIF(RawData[Customer_ID],AL282,RawData[Revenue])</f>
        <v>160295.37</v>
      </c>
      <c r="AQ282" s="21">
        <f>SUMIF(RawData[Customer_ID],AL282,RawData[Profit])</f>
        <v>20124.479999999996</v>
      </c>
      <c r="AR282" s="16">
        <f t="shared" si="34"/>
        <v>53431.79</v>
      </c>
      <c r="AS282" s="16" t="str">
        <f t="shared" si="35"/>
        <v>Occasional</v>
      </c>
    </row>
    <row r="283" spans="38:45" x14ac:dyDescent="0.25">
      <c r="AL283" s="16" t="s">
        <v>2329</v>
      </c>
      <c r="AM283" s="16" t="s">
        <v>634</v>
      </c>
      <c r="AN283" s="16">
        <f>COUNTIF(RawData[Customer_ID],AL283)</f>
        <v>4</v>
      </c>
      <c r="AO283" s="16">
        <f>SUMIF(RawData[Customer_ID],AL283,RawData[Quantity])</f>
        <v>10</v>
      </c>
      <c r="AP283" s="21">
        <f>SUMIF(RawData[Customer_ID],AL283,RawData[Revenue])</f>
        <v>48480.5</v>
      </c>
      <c r="AQ283" s="21">
        <f>SUMIF(RawData[Customer_ID],AL283,RawData[Profit])</f>
        <v>8343.09</v>
      </c>
      <c r="AR283" s="16">
        <f t="shared" si="34"/>
        <v>12120.125</v>
      </c>
      <c r="AS283" s="16" t="str">
        <f t="shared" si="35"/>
        <v>Occasional</v>
      </c>
    </row>
    <row r="284" spans="38:45" x14ac:dyDescent="0.25">
      <c r="AL284" s="16" t="s">
        <v>2572</v>
      </c>
      <c r="AM284" s="16" t="s">
        <v>635</v>
      </c>
      <c r="AN284" s="16">
        <f>COUNTIF(RawData[Customer_ID],AL284)</f>
        <v>3</v>
      </c>
      <c r="AO284" s="16">
        <f>SUMIF(RawData[Customer_ID],AL284,RawData[Quantity])</f>
        <v>7</v>
      </c>
      <c r="AP284" s="21">
        <f>SUMIF(RawData[Customer_ID],AL284,RawData[Revenue])</f>
        <v>160709.21</v>
      </c>
      <c r="AQ284" s="21">
        <f>SUMIF(RawData[Customer_ID],AL284,RawData[Profit])</f>
        <v>25201.609999999986</v>
      </c>
      <c r="AR284" s="16">
        <f t="shared" si="34"/>
        <v>53569.736666666664</v>
      </c>
      <c r="AS284" s="16" t="str">
        <f t="shared" si="35"/>
        <v>Occasional</v>
      </c>
    </row>
    <row r="285" spans="38:45" x14ac:dyDescent="0.25">
      <c r="AL285" s="16" t="s">
        <v>3267</v>
      </c>
      <c r="AM285" s="16" t="s">
        <v>636</v>
      </c>
      <c r="AN285" s="16">
        <f>COUNTIF(RawData[Customer_ID],AL285)</f>
        <v>1</v>
      </c>
      <c r="AO285" s="16">
        <f>SUMIF(RawData[Customer_ID],AL285,RawData[Quantity])</f>
        <v>4</v>
      </c>
      <c r="AP285" s="21">
        <f>SUMIF(RawData[Customer_ID],AL285,RawData[Revenue])</f>
        <v>23916.32</v>
      </c>
      <c r="AQ285" s="21">
        <f>SUMIF(RawData[Customer_ID],AL285,RawData[Profit])</f>
        <v>5719.1200000000026</v>
      </c>
      <c r="AR285" s="16">
        <f t="shared" si="34"/>
        <v>23916.32</v>
      </c>
      <c r="AS285" s="16" t="str">
        <f t="shared" si="35"/>
        <v>One-time</v>
      </c>
    </row>
    <row r="286" spans="38:45" x14ac:dyDescent="0.25">
      <c r="AL286" s="16" t="s">
        <v>2924</v>
      </c>
      <c r="AM286" s="16" t="s">
        <v>637</v>
      </c>
      <c r="AN286" s="16">
        <f>COUNTIF(RawData[Customer_ID],AL286)</f>
        <v>3</v>
      </c>
      <c r="AO286" s="16">
        <f>SUMIF(RawData[Customer_ID],AL286,RawData[Quantity])</f>
        <v>7</v>
      </c>
      <c r="AP286" s="21">
        <f>SUMIF(RawData[Customer_ID],AL286,RawData[Revenue])</f>
        <v>24686.670000000002</v>
      </c>
      <c r="AQ286" s="21">
        <f>SUMIF(RawData[Customer_ID],AL286,RawData[Profit])</f>
        <v>5066.970000000003</v>
      </c>
      <c r="AR286" s="16">
        <f t="shared" si="34"/>
        <v>8228.8900000000012</v>
      </c>
      <c r="AS286" s="16" t="str">
        <f t="shared" si="35"/>
        <v>Occasional</v>
      </c>
    </row>
    <row r="287" spans="38:45" x14ac:dyDescent="0.25">
      <c r="AL287" s="16" t="s">
        <v>3750</v>
      </c>
      <c r="AM287" s="16" t="s">
        <v>579</v>
      </c>
      <c r="AN287" s="16">
        <f>COUNTIF(RawData[Customer_ID],AL287)</f>
        <v>4</v>
      </c>
      <c r="AO287" s="16">
        <f>SUMIF(RawData[Customer_ID],AL287,RawData[Quantity])</f>
        <v>13</v>
      </c>
      <c r="AP287" s="21">
        <f>SUMIF(RawData[Customer_ID],AL287,RawData[Revenue])</f>
        <v>65781.450000000012</v>
      </c>
      <c r="AQ287" s="21">
        <f>SUMIF(RawData[Customer_ID],AL287,RawData[Profit])</f>
        <v>12425.200000000004</v>
      </c>
      <c r="AR287" s="16">
        <f t="shared" si="34"/>
        <v>16445.362500000003</v>
      </c>
      <c r="AS287" s="16" t="str">
        <f t="shared" si="35"/>
        <v>Occasional</v>
      </c>
    </row>
    <row r="288" spans="38:45" x14ac:dyDescent="0.25">
      <c r="AL288" s="16" t="s">
        <v>5093</v>
      </c>
      <c r="AM288" s="16" t="s">
        <v>638</v>
      </c>
      <c r="AN288" s="16">
        <f>COUNTIF(RawData[Customer_ID],AL288)</f>
        <v>9</v>
      </c>
      <c r="AO288" s="16">
        <f>SUMIF(RawData[Customer_ID],AL288,RawData[Quantity])</f>
        <v>31</v>
      </c>
      <c r="AP288" s="21">
        <f>SUMIF(RawData[Customer_ID],AL288,RawData[Revenue])</f>
        <v>388114.57999999996</v>
      </c>
      <c r="AQ288" s="21">
        <f>SUMIF(RawData[Customer_ID],AL288,RawData[Profit])</f>
        <v>43259.159999999989</v>
      </c>
      <c r="AR288" s="16">
        <f t="shared" si="34"/>
        <v>43123.842222222214</v>
      </c>
      <c r="AS288" s="16" t="str">
        <f t="shared" si="35"/>
        <v>Review</v>
      </c>
    </row>
    <row r="289" spans="38:45" x14ac:dyDescent="0.25">
      <c r="AL289" s="16" t="s">
        <v>2019</v>
      </c>
      <c r="AM289" s="16" t="s">
        <v>639</v>
      </c>
      <c r="AN289" s="16">
        <f>COUNTIF(RawData[Customer_ID],AL289)</f>
        <v>3</v>
      </c>
      <c r="AO289" s="16">
        <f>SUMIF(RawData[Customer_ID],AL289,RawData[Quantity])</f>
        <v>12</v>
      </c>
      <c r="AP289" s="21">
        <f>SUMIF(RawData[Customer_ID],AL289,RawData[Revenue])</f>
        <v>51734</v>
      </c>
      <c r="AQ289" s="21">
        <f>SUMIF(RawData[Customer_ID],AL289,RawData[Profit])</f>
        <v>9451.4999999999964</v>
      </c>
      <c r="AR289" s="16">
        <f t="shared" si="34"/>
        <v>17244.666666666668</v>
      </c>
      <c r="AS289" s="16" t="str">
        <f t="shared" si="35"/>
        <v>Occasional</v>
      </c>
    </row>
    <row r="290" spans="38:45" x14ac:dyDescent="0.25">
      <c r="AL290" s="16" t="s">
        <v>2327</v>
      </c>
      <c r="AM290" s="16" t="s">
        <v>640</v>
      </c>
      <c r="AN290" s="16">
        <f>COUNTIF(RawData[Customer_ID],AL290)</f>
        <v>1</v>
      </c>
      <c r="AO290" s="16">
        <f>SUMIF(RawData[Customer_ID],AL290,RawData[Quantity])</f>
        <v>4</v>
      </c>
      <c r="AP290" s="21">
        <f>SUMIF(RawData[Customer_ID],AL290,RawData[Revenue])</f>
        <v>104496.2</v>
      </c>
      <c r="AQ290" s="21">
        <f>SUMIF(RawData[Customer_ID],AL290,RawData[Profit])</f>
        <v>10999.600000000006</v>
      </c>
      <c r="AR290" s="16">
        <f t="shared" si="34"/>
        <v>104496.2</v>
      </c>
      <c r="AS290" s="16" t="str">
        <f t="shared" si="35"/>
        <v>One-time</v>
      </c>
    </row>
    <row r="291" spans="38:45" x14ac:dyDescent="0.25">
      <c r="AL291" s="16" t="s">
        <v>3398</v>
      </c>
      <c r="AM291" s="16" t="s">
        <v>641</v>
      </c>
      <c r="AN291" s="16">
        <f>COUNTIF(RawData[Customer_ID],AL291)</f>
        <v>5</v>
      </c>
      <c r="AO291" s="16">
        <f>SUMIF(RawData[Customer_ID],AL291,RawData[Quantity])</f>
        <v>10</v>
      </c>
      <c r="AP291" s="21">
        <f>SUMIF(RawData[Customer_ID],AL291,RawData[Revenue])</f>
        <v>244559.7</v>
      </c>
      <c r="AQ291" s="21">
        <f>SUMIF(RawData[Customer_ID],AL291,RawData[Profit])</f>
        <v>23948.540000000008</v>
      </c>
      <c r="AR291" s="16">
        <f t="shared" si="34"/>
        <v>48911.94</v>
      </c>
      <c r="AS291" s="16" t="str">
        <f t="shared" si="35"/>
        <v>Loyal</v>
      </c>
    </row>
    <row r="292" spans="38:45" x14ac:dyDescent="0.25">
      <c r="AL292" s="16" t="s">
        <v>1485</v>
      </c>
      <c r="AM292" s="16" t="s">
        <v>435</v>
      </c>
      <c r="AN292" s="16">
        <f>COUNTIF(RawData[Customer_ID],AL292)</f>
        <v>2</v>
      </c>
      <c r="AO292" s="16">
        <f>SUMIF(RawData[Customer_ID],AL292,RawData[Quantity])</f>
        <v>6</v>
      </c>
      <c r="AP292" s="21">
        <f>SUMIF(RawData[Customer_ID],AL292,RawData[Revenue])</f>
        <v>33776.28</v>
      </c>
      <c r="AQ292" s="21">
        <f>SUMIF(RawData[Customer_ID],AL292,RawData[Profit])</f>
        <v>7664.16</v>
      </c>
      <c r="AR292" s="16">
        <f t="shared" si="34"/>
        <v>16888.14</v>
      </c>
      <c r="AS292" s="16" t="str">
        <f t="shared" si="35"/>
        <v>Occasional</v>
      </c>
    </row>
    <row r="293" spans="38:45" x14ac:dyDescent="0.25">
      <c r="AL293" s="16" t="s">
        <v>1872</v>
      </c>
      <c r="AM293" s="16" t="s">
        <v>642</v>
      </c>
      <c r="AN293" s="16">
        <f>COUNTIF(RawData[Customer_ID],AL293)</f>
        <v>3</v>
      </c>
      <c r="AO293" s="16">
        <f>SUMIF(RawData[Customer_ID],AL293,RawData[Quantity])</f>
        <v>3</v>
      </c>
      <c r="AP293" s="21">
        <f>SUMIF(RawData[Customer_ID],AL293,RawData[Revenue])</f>
        <v>14071.7</v>
      </c>
      <c r="AQ293" s="21">
        <f>SUMIF(RawData[Customer_ID],AL293,RawData[Profit])</f>
        <v>4098.2</v>
      </c>
      <c r="AR293" s="16">
        <f t="shared" si="34"/>
        <v>4690.5666666666666</v>
      </c>
      <c r="AS293" s="16" t="str">
        <f t="shared" si="35"/>
        <v>Occasional</v>
      </c>
    </row>
    <row r="294" spans="38:45" x14ac:dyDescent="0.25">
      <c r="AL294" s="16" t="s">
        <v>3754</v>
      </c>
      <c r="AM294" s="16" t="s">
        <v>643</v>
      </c>
      <c r="AN294" s="16">
        <f>COUNTIF(RawData[Customer_ID],AL294)</f>
        <v>1</v>
      </c>
      <c r="AO294" s="16">
        <f>SUMIF(RawData[Customer_ID],AL294,RawData[Quantity])</f>
        <v>4</v>
      </c>
      <c r="AP294" s="21">
        <f>SUMIF(RawData[Customer_ID],AL294,RawData[Revenue])</f>
        <v>25392</v>
      </c>
      <c r="AQ294" s="21">
        <f>SUMIF(RawData[Customer_ID],AL294,RawData[Profit])</f>
        <v>2484</v>
      </c>
      <c r="AR294" s="16">
        <f t="shared" si="34"/>
        <v>25392</v>
      </c>
      <c r="AS294" s="16" t="str">
        <f t="shared" si="35"/>
        <v>One-time</v>
      </c>
    </row>
    <row r="295" spans="38:45" x14ac:dyDescent="0.25">
      <c r="AL295" s="16" t="s">
        <v>3153</v>
      </c>
      <c r="AM295" s="16" t="s">
        <v>644</v>
      </c>
      <c r="AN295" s="16">
        <f>COUNTIF(RawData[Customer_ID],AL295)</f>
        <v>2</v>
      </c>
      <c r="AO295" s="16">
        <f>SUMIF(RawData[Customer_ID],AL295,RawData[Quantity])</f>
        <v>4</v>
      </c>
      <c r="AP295" s="21">
        <f>SUMIF(RawData[Customer_ID],AL295,RawData[Revenue])</f>
        <v>21185</v>
      </c>
      <c r="AQ295" s="21">
        <f>SUMIF(RawData[Customer_ID],AL295,RawData[Profit])</f>
        <v>5905</v>
      </c>
      <c r="AR295" s="16">
        <f t="shared" si="34"/>
        <v>10592.5</v>
      </c>
      <c r="AS295" s="16" t="str">
        <f t="shared" si="35"/>
        <v>Occasional</v>
      </c>
    </row>
    <row r="296" spans="38:45" x14ac:dyDescent="0.25">
      <c r="AL296" s="16" t="s">
        <v>2784</v>
      </c>
      <c r="AM296" s="16" t="s">
        <v>645</v>
      </c>
      <c r="AN296" s="16">
        <f>COUNTIF(RawData[Customer_ID],AL296)</f>
        <v>8</v>
      </c>
      <c r="AO296" s="16">
        <f>SUMIF(RawData[Customer_ID],AL296,RawData[Quantity])</f>
        <v>23</v>
      </c>
      <c r="AP296" s="21">
        <f>SUMIF(RawData[Customer_ID],AL296,RawData[Revenue])</f>
        <v>313219.90000000002</v>
      </c>
      <c r="AQ296" s="21">
        <f>SUMIF(RawData[Customer_ID],AL296,RawData[Profit])</f>
        <v>56253.299999999996</v>
      </c>
      <c r="AR296" s="16">
        <f t="shared" si="34"/>
        <v>39152.487500000003</v>
      </c>
      <c r="AS296" s="16" t="str">
        <f t="shared" si="35"/>
        <v>Loyal</v>
      </c>
    </row>
    <row r="297" spans="38:45" x14ac:dyDescent="0.25">
      <c r="AL297" s="16" t="s">
        <v>2941</v>
      </c>
      <c r="AM297" s="16" t="s">
        <v>646</v>
      </c>
      <c r="AN297" s="16">
        <f>COUNTIF(RawData[Customer_ID],AL297)</f>
        <v>2</v>
      </c>
      <c r="AO297" s="16">
        <f>SUMIF(RawData[Customer_ID],AL297,RawData[Quantity])</f>
        <v>8</v>
      </c>
      <c r="AP297" s="21">
        <f>SUMIF(RawData[Customer_ID],AL297,RawData[Revenue])</f>
        <v>5302.5</v>
      </c>
      <c r="AQ297" s="21">
        <f>SUMIF(RawData[Customer_ID],AL297,RawData[Profit])</f>
        <v>1924.5</v>
      </c>
      <c r="AR297" s="16">
        <f t="shared" si="34"/>
        <v>2651.25</v>
      </c>
      <c r="AS297" s="16" t="str">
        <f t="shared" si="35"/>
        <v>Occasional</v>
      </c>
    </row>
    <row r="298" spans="38:45" x14ac:dyDescent="0.25">
      <c r="AL298" s="16" t="s">
        <v>1513</v>
      </c>
      <c r="AM298" s="16" t="s">
        <v>647</v>
      </c>
      <c r="AN298" s="16">
        <f>COUNTIF(RawData[Customer_ID],AL298)</f>
        <v>7</v>
      </c>
      <c r="AO298" s="16">
        <f>SUMIF(RawData[Customer_ID],AL298,RawData[Quantity])</f>
        <v>25</v>
      </c>
      <c r="AP298" s="21">
        <f>SUMIF(RawData[Customer_ID],AL298,RawData[Revenue])</f>
        <v>513962.99000000005</v>
      </c>
      <c r="AQ298" s="21">
        <f>SUMIF(RawData[Customer_ID],AL298,RawData[Profit])</f>
        <v>88176.919999999984</v>
      </c>
      <c r="AR298" s="16">
        <f t="shared" si="34"/>
        <v>73423.284285714297</v>
      </c>
      <c r="AS298" s="16" t="str">
        <f t="shared" si="35"/>
        <v>Loyal</v>
      </c>
    </row>
    <row r="299" spans="38:45" x14ac:dyDescent="0.25">
      <c r="AL299" s="16" t="s">
        <v>3197</v>
      </c>
      <c r="AM299" s="16" t="s">
        <v>648</v>
      </c>
      <c r="AN299" s="16">
        <f>COUNTIF(RawData[Customer_ID],AL299)</f>
        <v>4</v>
      </c>
      <c r="AO299" s="16">
        <f>SUMIF(RawData[Customer_ID],AL299,RawData[Quantity])</f>
        <v>10</v>
      </c>
      <c r="AP299" s="21">
        <f>SUMIF(RawData[Customer_ID],AL299,RawData[Revenue])</f>
        <v>198111.84</v>
      </c>
      <c r="AQ299" s="21">
        <f>SUMIF(RawData[Customer_ID],AL299,RawData[Profit])</f>
        <v>30337.799999999988</v>
      </c>
      <c r="AR299" s="16">
        <f t="shared" si="34"/>
        <v>49527.96</v>
      </c>
      <c r="AS299" s="16" t="str">
        <f t="shared" si="35"/>
        <v>Occasional</v>
      </c>
    </row>
    <row r="300" spans="38:45" x14ac:dyDescent="0.25">
      <c r="AL300" s="16" t="s">
        <v>2489</v>
      </c>
      <c r="AM300" s="16" t="s">
        <v>649</v>
      </c>
      <c r="AN300" s="16">
        <f>COUNTIF(RawData[Customer_ID],AL300)</f>
        <v>3</v>
      </c>
      <c r="AO300" s="16">
        <f>SUMIF(RawData[Customer_ID],AL300,RawData[Quantity])</f>
        <v>10</v>
      </c>
      <c r="AP300" s="21">
        <f>SUMIF(RawData[Customer_ID],AL300,RawData[Revenue])</f>
        <v>316355.40000000002</v>
      </c>
      <c r="AQ300" s="21">
        <f>SUMIF(RawData[Customer_ID],AL300,RawData[Profit])</f>
        <v>46781.100000000013</v>
      </c>
      <c r="AR300" s="16">
        <f t="shared" si="34"/>
        <v>105451.8</v>
      </c>
      <c r="AS300" s="16" t="str">
        <f t="shared" si="35"/>
        <v>Occasional</v>
      </c>
    </row>
    <row r="301" spans="38:45" x14ac:dyDescent="0.25">
      <c r="AL301" s="16" t="s">
        <v>1509</v>
      </c>
      <c r="AM301" s="16" t="s">
        <v>650</v>
      </c>
      <c r="AN301" s="16">
        <f>COUNTIF(RawData[Customer_ID],AL301)</f>
        <v>2</v>
      </c>
      <c r="AO301" s="16">
        <f>SUMIF(RawData[Customer_ID],AL301,RawData[Quantity])</f>
        <v>7</v>
      </c>
      <c r="AP301" s="21">
        <f>SUMIF(RawData[Customer_ID],AL301,RawData[Revenue])</f>
        <v>31950</v>
      </c>
      <c r="AQ301" s="21">
        <f>SUMIF(RawData[Customer_ID],AL301,RawData[Profit])</f>
        <v>1335</v>
      </c>
      <c r="AR301" s="16">
        <f t="shared" si="34"/>
        <v>15975</v>
      </c>
      <c r="AS301" s="16" t="str">
        <f t="shared" si="35"/>
        <v>Occasional</v>
      </c>
    </row>
    <row r="302" spans="38:45" x14ac:dyDescent="0.25">
      <c r="AL302" s="16" t="s">
        <v>2855</v>
      </c>
      <c r="AM302" s="16" t="s">
        <v>651</v>
      </c>
      <c r="AN302" s="16">
        <f>COUNTIF(RawData[Customer_ID],AL302)</f>
        <v>2</v>
      </c>
      <c r="AO302" s="16">
        <f>SUMIF(RawData[Customer_ID],AL302,RawData[Quantity])</f>
        <v>5</v>
      </c>
      <c r="AP302" s="21">
        <f>SUMIF(RawData[Customer_ID],AL302,RawData[Revenue])</f>
        <v>2154</v>
      </c>
      <c r="AQ302" s="21">
        <f>SUMIF(RawData[Customer_ID],AL302,RawData[Profit])</f>
        <v>555</v>
      </c>
      <c r="AR302" s="16">
        <f t="shared" si="34"/>
        <v>1077</v>
      </c>
      <c r="AS302" s="16" t="str">
        <f t="shared" si="35"/>
        <v>Occasional</v>
      </c>
    </row>
    <row r="303" spans="38:45" x14ac:dyDescent="0.25">
      <c r="AL303" s="16" t="s">
        <v>1716</v>
      </c>
      <c r="AM303" s="16" t="s">
        <v>652</v>
      </c>
      <c r="AN303" s="16">
        <f>COUNTIF(RawData[Customer_ID],AL303)</f>
        <v>3</v>
      </c>
      <c r="AO303" s="16">
        <f>SUMIF(RawData[Customer_ID],AL303,RawData[Quantity])</f>
        <v>9</v>
      </c>
      <c r="AP303" s="21">
        <f>SUMIF(RawData[Customer_ID],AL303,RawData[Revenue])</f>
        <v>276880.12</v>
      </c>
      <c r="AQ303" s="21">
        <f>SUMIF(RawData[Customer_ID],AL303,RawData[Profit])</f>
        <v>32951.69999999999</v>
      </c>
      <c r="AR303" s="16">
        <f t="shared" si="34"/>
        <v>92293.373333333337</v>
      </c>
      <c r="AS303" s="16" t="str">
        <f t="shared" si="35"/>
        <v>Occasional</v>
      </c>
    </row>
    <row r="304" spans="38:45" x14ac:dyDescent="0.25">
      <c r="AL304" s="16" t="s">
        <v>1318</v>
      </c>
      <c r="AM304" s="16" t="s">
        <v>653</v>
      </c>
      <c r="AN304" s="16">
        <f>COUNTIF(RawData[Customer_ID],AL304)</f>
        <v>8</v>
      </c>
      <c r="AO304" s="16">
        <f>SUMIF(RawData[Customer_ID],AL304,RawData[Quantity])</f>
        <v>23</v>
      </c>
      <c r="AP304" s="21">
        <f>SUMIF(RawData[Customer_ID],AL304,RawData[Revenue])</f>
        <v>242446.75</v>
      </c>
      <c r="AQ304" s="21">
        <f>SUMIF(RawData[Customer_ID],AL304,RawData[Profit])</f>
        <v>36241.269999999982</v>
      </c>
      <c r="AR304" s="16">
        <f t="shared" si="34"/>
        <v>30305.84375</v>
      </c>
      <c r="AS304" s="16" t="str">
        <f t="shared" si="35"/>
        <v>Loyal</v>
      </c>
    </row>
    <row r="305" spans="38:45" x14ac:dyDescent="0.25">
      <c r="AL305" s="16" t="s">
        <v>2467</v>
      </c>
      <c r="AM305" s="16" t="s">
        <v>654</v>
      </c>
      <c r="AN305" s="16">
        <f>COUNTIF(RawData[Customer_ID],AL305)</f>
        <v>4</v>
      </c>
      <c r="AO305" s="16">
        <f>SUMIF(RawData[Customer_ID],AL305,RawData[Quantity])</f>
        <v>13</v>
      </c>
      <c r="AP305" s="21">
        <f>SUMIF(RawData[Customer_ID],AL305,RawData[Revenue])</f>
        <v>348161.94999999995</v>
      </c>
      <c r="AQ305" s="21">
        <f>SUMIF(RawData[Customer_ID],AL305,RawData[Profit])</f>
        <v>52013.179999999964</v>
      </c>
      <c r="AR305" s="16">
        <f t="shared" si="34"/>
        <v>87040.487499999988</v>
      </c>
      <c r="AS305" s="16" t="str">
        <f t="shared" si="35"/>
        <v>Occasional</v>
      </c>
    </row>
    <row r="306" spans="38:45" x14ac:dyDescent="0.25">
      <c r="AL306" s="16" t="s">
        <v>1387</v>
      </c>
      <c r="AM306" s="16" t="s">
        <v>655</v>
      </c>
      <c r="AN306" s="16">
        <f>COUNTIF(RawData[Customer_ID],AL306)</f>
        <v>2</v>
      </c>
      <c r="AO306" s="16">
        <f>SUMIF(RawData[Customer_ID],AL306,RawData[Quantity])</f>
        <v>7</v>
      </c>
      <c r="AP306" s="21">
        <f>SUMIF(RawData[Customer_ID],AL306,RawData[Revenue])</f>
        <v>97040.81</v>
      </c>
      <c r="AQ306" s="21">
        <f>SUMIF(RawData[Customer_ID],AL306,RawData[Profit])</f>
        <v>13006.569999999992</v>
      </c>
      <c r="AR306" s="16">
        <f t="shared" si="34"/>
        <v>48520.404999999999</v>
      </c>
      <c r="AS306" s="16" t="str">
        <f t="shared" si="35"/>
        <v>Occasional</v>
      </c>
    </row>
    <row r="307" spans="38:45" x14ac:dyDescent="0.25">
      <c r="AL307" s="16" t="s">
        <v>3357</v>
      </c>
      <c r="AM307" s="16" t="s">
        <v>656</v>
      </c>
      <c r="AN307" s="16">
        <f>COUNTIF(RawData[Customer_ID],AL307)</f>
        <v>4</v>
      </c>
      <c r="AO307" s="16">
        <f>SUMIF(RawData[Customer_ID],AL307,RawData[Quantity])</f>
        <v>11</v>
      </c>
      <c r="AP307" s="21">
        <f>SUMIF(RawData[Customer_ID],AL307,RawData[Revenue])</f>
        <v>77000.37999999999</v>
      </c>
      <c r="AQ307" s="21">
        <f>SUMIF(RawData[Customer_ID],AL307,RawData[Profit])</f>
        <v>3133.9300000000003</v>
      </c>
      <c r="AR307" s="16">
        <f t="shared" si="34"/>
        <v>19250.094999999998</v>
      </c>
      <c r="AS307" s="16" t="str">
        <f t="shared" si="35"/>
        <v>Occasional</v>
      </c>
    </row>
    <row r="308" spans="38:45" x14ac:dyDescent="0.25">
      <c r="AL308" s="16" t="s">
        <v>1829</v>
      </c>
      <c r="AM308" s="16" t="s">
        <v>657</v>
      </c>
      <c r="AN308" s="16">
        <f>COUNTIF(RawData[Customer_ID],AL308)</f>
        <v>3</v>
      </c>
      <c r="AO308" s="16">
        <f>SUMIF(RawData[Customer_ID],AL308,RawData[Quantity])</f>
        <v>7</v>
      </c>
      <c r="AP308" s="21">
        <f>SUMIF(RawData[Customer_ID],AL308,RawData[Revenue])</f>
        <v>33257.65</v>
      </c>
      <c r="AQ308" s="21">
        <f>SUMIF(RawData[Customer_ID],AL308,RawData[Profit])</f>
        <v>6476.4399999999969</v>
      </c>
      <c r="AR308" s="16">
        <f t="shared" si="34"/>
        <v>11085.883333333333</v>
      </c>
      <c r="AS308" s="16" t="str">
        <f t="shared" si="35"/>
        <v>Occasional</v>
      </c>
    </row>
    <row r="309" spans="38:45" x14ac:dyDescent="0.25">
      <c r="AL309" s="16" t="s">
        <v>5161</v>
      </c>
      <c r="AM309" s="16" t="s">
        <v>658</v>
      </c>
      <c r="AN309" s="16">
        <f>COUNTIF(RawData[Customer_ID],AL309)</f>
        <v>0</v>
      </c>
      <c r="AO309" s="16">
        <f>SUMIF(RawData[Customer_ID],AL309,RawData[Quantity])</f>
        <v>0</v>
      </c>
      <c r="AP309" s="21">
        <f>SUMIF(RawData[Customer_ID],AL309,RawData[Revenue])</f>
        <v>0</v>
      </c>
      <c r="AQ309" s="21">
        <f>SUMIF(RawData[Customer_ID],AL309,RawData[Profit])</f>
        <v>0</v>
      </c>
      <c r="AR309" s="16">
        <f t="shared" si="34"/>
        <v>0</v>
      </c>
      <c r="AS309" s="16" t="str">
        <f t="shared" si="35"/>
        <v>Occasional</v>
      </c>
    </row>
    <row r="310" spans="38:45" x14ac:dyDescent="0.25">
      <c r="AL310" s="16" t="s">
        <v>1283</v>
      </c>
      <c r="AM310" s="16" t="s">
        <v>659</v>
      </c>
      <c r="AN310" s="16">
        <f>COUNTIF(RawData[Customer_ID],AL310)</f>
        <v>2</v>
      </c>
      <c r="AO310" s="16">
        <f>SUMIF(RawData[Customer_ID],AL310,RawData[Quantity])</f>
        <v>5</v>
      </c>
      <c r="AP310" s="21">
        <f>SUMIF(RawData[Customer_ID],AL310,RawData[Revenue])</f>
        <v>69284.12</v>
      </c>
      <c r="AQ310" s="21">
        <f>SUMIF(RawData[Customer_ID],AL310,RawData[Profit])</f>
        <v>14727.000000000004</v>
      </c>
      <c r="AR310" s="16">
        <f t="shared" si="34"/>
        <v>34642.06</v>
      </c>
      <c r="AS310" s="16" t="str">
        <f t="shared" si="35"/>
        <v>Occasional</v>
      </c>
    </row>
    <row r="311" spans="38:45" x14ac:dyDescent="0.25">
      <c r="AL311" s="16" t="s">
        <v>2394</v>
      </c>
      <c r="AM311" s="16" t="s">
        <v>660</v>
      </c>
      <c r="AN311" s="16">
        <f>COUNTIF(RawData[Customer_ID],AL311)</f>
        <v>1</v>
      </c>
      <c r="AO311" s="16">
        <f>SUMIF(RawData[Customer_ID],AL311,RawData[Quantity])</f>
        <v>1</v>
      </c>
      <c r="AP311" s="21">
        <f>SUMIF(RawData[Customer_ID],AL311,RawData[Revenue])</f>
        <v>8459.06</v>
      </c>
      <c r="AQ311" s="21">
        <f>SUMIF(RawData[Customer_ID],AL311,RawData[Profit])</f>
        <v>1979.7799999999997</v>
      </c>
      <c r="AR311" s="16">
        <f t="shared" si="34"/>
        <v>8459.06</v>
      </c>
      <c r="AS311" s="16" t="str">
        <f t="shared" si="35"/>
        <v>One-time</v>
      </c>
    </row>
    <row r="312" spans="38:45" x14ac:dyDescent="0.25">
      <c r="AL312" s="16" t="s">
        <v>1452</v>
      </c>
      <c r="AM312" s="16" t="s">
        <v>661</v>
      </c>
      <c r="AN312" s="16">
        <f>COUNTIF(RawData[Customer_ID],AL312)</f>
        <v>4</v>
      </c>
      <c r="AO312" s="16">
        <f>SUMIF(RawData[Customer_ID],AL312,RawData[Quantity])</f>
        <v>11</v>
      </c>
      <c r="AP312" s="21">
        <f>SUMIF(RawData[Customer_ID],AL312,RawData[Revenue])</f>
        <v>154672.87000000002</v>
      </c>
      <c r="AQ312" s="21">
        <f>SUMIF(RawData[Customer_ID],AL312,RawData[Profit])</f>
        <v>22943.81</v>
      </c>
      <c r="AR312" s="16">
        <f t="shared" si="34"/>
        <v>38668.217500000006</v>
      </c>
      <c r="AS312" s="16" t="str">
        <f t="shared" si="35"/>
        <v>Occasional</v>
      </c>
    </row>
    <row r="313" spans="38:45" x14ac:dyDescent="0.25">
      <c r="AL313" s="16" t="s">
        <v>3293</v>
      </c>
      <c r="AM313" s="16" t="s">
        <v>662</v>
      </c>
      <c r="AN313" s="16">
        <f>COUNTIF(RawData[Customer_ID],AL313)</f>
        <v>3</v>
      </c>
      <c r="AO313" s="16">
        <f>SUMIF(RawData[Customer_ID],AL313,RawData[Quantity])</f>
        <v>6</v>
      </c>
      <c r="AP313" s="21">
        <f>SUMIF(RawData[Customer_ID],AL313,RawData[Revenue])</f>
        <v>25116.3</v>
      </c>
      <c r="AQ313" s="21">
        <f>SUMIF(RawData[Customer_ID],AL313,RawData[Profit])</f>
        <v>3112.0899999999992</v>
      </c>
      <c r="AR313" s="16">
        <f t="shared" si="34"/>
        <v>8372.1</v>
      </c>
      <c r="AS313" s="16" t="str">
        <f t="shared" si="35"/>
        <v>Occasional</v>
      </c>
    </row>
    <row r="314" spans="38:45" x14ac:dyDescent="0.25">
      <c r="AL314" s="16" t="s">
        <v>2296</v>
      </c>
      <c r="AM314" s="16" t="s">
        <v>663</v>
      </c>
      <c r="AN314" s="16">
        <f>COUNTIF(RawData[Customer_ID],AL314)</f>
        <v>3</v>
      </c>
      <c r="AO314" s="16">
        <f>SUMIF(RawData[Customer_ID],AL314,RawData[Quantity])</f>
        <v>12</v>
      </c>
      <c r="AP314" s="21">
        <f>SUMIF(RawData[Customer_ID],AL314,RawData[Revenue])</f>
        <v>74998</v>
      </c>
      <c r="AQ314" s="21">
        <f>SUMIF(RawData[Customer_ID],AL314,RawData[Profit])</f>
        <v>11803</v>
      </c>
      <c r="AR314" s="16">
        <f t="shared" si="34"/>
        <v>24999.333333333332</v>
      </c>
      <c r="AS314" s="16" t="str">
        <f t="shared" si="35"/>
        <v>Occasional</v>
      </c>
    </row>
    <row r="315" spans="38:45" x14ac:dyDescent="0.25">
      <c r="AL315" s="16" t="s">
        <v>5162</v>
      </c>
      <c r="AM315" s="16" t="s">
        <v>664</v>
      </c>
      <c r="AN315" s="16">
        <f>COUNTIF(RawData[Customer_ID],AL315)</f>
        <v>0</v>
      </c>
      <c r="AO315" s="16">
        <f>SUMIF(RawData[Customer_ID],AL315,RawData[Quantity])</f>
        <v>0</v>
      </c>
      <c r="AP315" s="21">
        <f>SUMIF(RawData[Customer_ID],AL315,RawData[Revenue])</f>
        <v>0</v>
      </c>
      <c r="AQ315" s="21">
        <f>SUMIF(RawData[Customer_ID],AL315,RawData[Profit])</f>
        <v>0</v>
      </c>
      <c r="AR315" s="16">
        <f t="shared" si="34"/>
        <v>0</v>
      </c>
      <c r="AS315" s="16" t="str">
        <f t="shared" si="35"/>
        <v>Occasional</v>
      </c>
    </row>
    <row r="316" spans="38:45" x14ac:dyDescent="0.25">
      <c r="AL316" s="16" t="s">
        <v>3009</v>
      </c>
      <c r="AM316" s="16" t="s">
        <v>665</v>
      </c>
      <c r="AN316" s="16">
        <f>COUNTIF(RawData[Customer_ID],AL316)</f>
        <v>1</v>
      </c>
      <c r="AO316" s="16">
        <f>SUMIF(RawData[Customer_ID],AL316,RawData[Quantity])</f>
        <v>3</v>
      </c>
      <c r="AP316" s="21">
        <f>SUMIF(RawData[Customer_ID],AL316,RawData[Revenue])</f>
        <v>320.39999999999998</v>
      </c>
      <c r="AQ316" s="21">
        <f>SUMIF(RawData[Customer_ID],AL316,RawData[Profit])</f>
        <v>75.599999999999994</v>
      </c>
      <c r="AR316" s="16">
        <f t="shared" si="34"/>
        <v>320.39999999999998</v>
      </c>
      <c r="AS316" s="16" t="str">
        <f t="shared" si="35"/>
        <v>One-time</v>
      </c>
    </row>
    <row r="317" spans="38:45" x14ac:dyDescent="0.25">
      <c r="AL317" s="16" t="s">
        <v>1807</v>
      </c>
      <c r="AM317" s="16" t="s">
        <v>666</v>
      </c>
      <c r="AN317" s="16">
        <f>COUNTIF(RawData[Customer_ID],AL317)</f>
        <v>2</v>
      </c>
      <c r="AO317" s="16">
        <f>SUMIF(RawData[Customer_ID],AL317,RawData[Quantity])</f>
        <v>3</v>
      </c>
      <c r="AP317" s="21">
        <f>SUMIF(RawData[Customer_ID],AL317,RawData[Revenue])</f>
        <v>2981</v>
      </c>
      <c r="AQ317" s="21">
        <f>SUMIF(RawData[Customer_ID],AL317,RawData[Profit])</f>
        <v>835.99999999999989</v>
      </c>
      <c r="AR317" s="16">
        <f t="shared" si="34"/>
        <v>1490.5</v>
      </c>
      <c r="AS317" s="16" t="str">
        <f t="shared" si="35"/>
        <v>Occasional</v>
      </c>
    </row>
    <row r="318" spans="38:45" x14ac:dyDescent="0.25">
      <c r="AL318" s="16" t="s">
        <v>2392</v>
      </c>
      <c r="AM318" s="16" t="s">
        <v>667</v>
      </c>
      <c r="AN318" s="16">
        <f>COUNTIF(RawData[Customer_ID],AL318)</f>
        <v>10</v>
      </c>
      <c r="AO318" s="16">
        <f>SUMIF(RawData[Customer_ID],AL318,RawData[Quantity])</f>
        <v>37</v>
      </c>
      <c r="AP318" s="21">
        <f>SUMIF(RawData[Customer_ID],AL318,RawData[Revenue])</f>
        <v>506960.31000000006</v>
      </c>
      <c r="AQ318" s="21">
        <f>SUMIF(RawData[Customer_ID],AL318,RawData[Profit])</f>
        <v>83565.66</v>
      </c>
      <c r="AR318" s="16">
        <f t="shared" si="34"/>
        <v>50696.031000000003</v>
      </c>
      <c r="AS318" s="16" t="str">
        <f t="shared" si="35"/>
        <v>Review</v>
      </c>
    </row>
    <row r="319" spans="38:45" x14ac:dyDescent="0.25">
      <c r="AL319" s="16" t="s">
        <v>5163</v>
      </c>
      <c r="AM319" s="16" t="s">
        <v>668</v>
      </c>
      <c r="AN319" s="16">
        <f>COUNTIF(RawData[Customer_ID],AL319)</f>
        <v>0</v>
      </c>
      <c r="AO319" s="16">
        <f>SUMIF(RawData[Customer_ID],AL319,RawData[Quantity])</f>
        <v>0</v>
      </c>
      <c r="AP319" s="21">
        <f>SUMIF(RawData[Customer_ID],AL319,RawData[Revenue])</f>
        <v>0</v>
      </c>
      <c r="AQ319" s="21">
        <f>SUMIF(RawData[Customer_ID],AL319,RawData[Profit])</f>
        <v>0</v>
      </c>
      <c r="AR319" s="16">
        <f t="shared" si="34"/>
        <v>0</v>
      </c>
      <c r="AS319" s="16" t="str">
        <f t="shared" si="35"/>
        <v>Occasional</v>
      </c>
    </row>
    <row r="320" spans="38:45" x14ac:dyDescent="0.25">
      <c r="AL320" s="16" t="s">
        <v>4422</v>
      </c>
      <c r="AM320" s="16" t="s">
        <v>669</v>
      </c>
      <c r="AN320" s="16">
        <f>COUNTIF(RawData[Customer_ID],AL320)</f>
        <v>1</v>
      </c>
      <c r="AO320" s="16">
        <f>SUMIF(RawData[Customer_ID],AL320,RawData[Quantity])</f>
        <v>4</v>
      </c>
      <c r="AP320" s="21">
        <f>SUMIF(RawData[Customer_ID],AL320,RawData[Revenue])</f>
        <v>522</v>
      </c>
      <c r="AQ320" s="21">
        <f>SUMIF(RawData[Customer_ID],AL320,RawData[Profit])</f>
        <v>132</v>
      </c>
      <c r="AR320" s="16">
        <f t="shared" si="34"/>
        <v>522</v>
      </c>
      <c r="AS320" s="16" t="str">
        <f t="shared" si="35"/>
        <v>One-time</v>
      </c>
    </row>
    <row r="321" spans="38:45" x14ac:dyDescent="0.25">
      <c r="AL321" s="16" t="s">
        <v>2768</v>
      </c>
      <c r="AM321" s="16" t="s">
        <v>670</v>
      </c>
      <c r="AN321" s="16">
        <f>COUNTIF(RawData[Customer_ID],AL321)</f>
        <v>3</v>
      </c>
      <c r="AO321" s="16">
        <f>SUMIF(RawData[Customer_ID],AL321,RawData[Quantity])</f>
        <v>12</v>
      </c>
      <c r="AP321" s="21">
        <f>SUMIF(RawData[Customer_ID],AL321,RawData[Revenue])</f>
        <v>92613.53</v>
      </c>
      <c r="AQ321" s="21">
        <f>SUMIF(RawData[Customer_ID],AL321,RawData[Profit])</f>
        <v>12981.330000000005</v>
      </c>
      <c r="AR321" s="16">
        <f t="shared" si="34"/>
        <v>30871.176666666666</v>
      </c>
      <c r="AS321" s="16" t="str">
        <f t="shared" si="35"/>
        <v>Occasional</v>
      </c>
    </row>
    <row r="322" spans="38:45" x14ac:dyDescent="0.25">
      <c r="AL322" s="16" t="s">
        <v>4788</v>
      </c>
      <c r="AM322" s="16" t="s">
        <v>671</v>
      </c>
      <c r="AN322" s="16">
        <f>COUNTIF(RawData[Customer_ID],AL322)</f>
        <v>7</v>
      </c>
      <c r="AO322" s="16">
        <f>SUMIF(RawData[Customer_ID],AL322,RawData[Quantity])</f>
        <v>25</v>
      </c>
      <c r="AP322" s="21">
        <f>SUMIF(RawData[Customer_ID],AL322,RawData[Revenue])</f>
        <v>407521.1</v>
      </c>
      <c r="AQ322" s="21">
        <f>SUMIF(RawData[Customer_ID],AL322,RawData[Profit])</f>
        <v>61695.700000000019</v>
      </c>
      <c r="AR322" s="16">
        <f t="shared" si="34"/>
        <v>58217.299999999996</v>
      </c>
      <c r="AS322" s="16" t="str">
        <f t="shared" si="35"/>
        <v>Loyal</v>
      </c>
    </row>
    <row r="323" spans="38:45" x14ac:dyDescent="0.25">
      <c r="AL323" s="16" t="s">
        <v>1797</v>
      </c>
      <c r="AM323" s="16" t="s">
        <v>672</v>
      </c>
      <c r="AN323" s="16">
        <f>COUNTIF(RawData[Customer_ID],AL323)</f>
        <v>1</v>
      </c>
      <c r="AO323" s="16">
        <f>SUMIF(RawData[Customer_ID],AL323,RawData[Quantity])</f>
        <v>3</v>
      </c>
      <c r="AP323" s="21">
        <f>SUMIF(RawData[Customer_ID],AL323,RawData[Revenue])</f>
        <v>727.5</v>
      </c>
      <c r="AQ323" s="21">
        <f>SUMIF(RawData[Customer_ID],AL323,RawData[Profit])</f>
        <v>262.5</v>
      </c>
      <c r="AR323" s="16">
        <f t="shared" ref="AR323:AR386" si="36">IF(AN323=0,0,AP323/AN323)</f>
        <v>727.5</v>
      </c>
      <c r="AS323" s="16" t="str">
        <f t="shared" ref="AS323:AS386" si="37">IF(AN323=1,"One-time",IF(AN323&lt;=4,"Occasional",IF(AN323&lt;=8,"Loyal","Review")))</f>
        <v>One-time</v>
      </c>
    </row>
    <row r="324" spans="38:45" x14ac:dyDescent="0.25">
      <c r="AL324" s="16" t="s">
        <v>1785</v>
      </c>
      <c r="AM324" s="16" t="s">
        <v>673</v>
      </c>
      <c r="AN324" s="16">
        <f>COUNTIF(RawData[Customer_ID],AL324)</f>
        <v>2</v>
      </c>
      <c r="AO324" s="16">
        <f>SUMIF(RawData[Customer_ID],AL324,RawData[Quantity])</f>
        <v>9</v>
      </c>
      <c r="AP324" s="21">
        <f>SUMIF(RawData[Customer_ID],AL324,RawData[Revenue])</f>
        <v>88851.419999999984</v>
      </c>
      <c r="AQ324" s="21">
        <f>SUMIF(RawData[Customer_ID],AL324,RawData[Profit])</f>
        <v>20458.019999999993</v>
      </c>
      <c r="AR324" s="16">
        <f t="shared" si="36"/>
        <v>44425.709999999992</v>
      </c>
      <c r="AS324" s="16" t="str">
        <f t="shared" si="37"/>
        <v>Occasional</v>
      </c>
    </row>
    <row r="325" spans="38:45" x14ac:dyDescent="0.25">
      <c r="AL325" s="16" t="s">
        <v>2611</v>
      </c>
      <c r="AM325" s="16" t="s">
        <v>674</v>
      </c>
      <c r="AN325" s="16">
        <f>COUNTIF(RawData[Customer_ID],AL325)</f>
        <v>5</v>
      </c>
      <c r="AO325" s="16">
        <f>SUMIF(RawData[Customer_ID],AL325,RawData[Quantity])</f>
        <v>17</v>
      </c>
      <c r="AP325" s="21">
        <f>SUMIF(RawData[Customer_ID],AL325,RawData[Revenue])</f>
        <v>232743.28999999998</v>
      </c>
      <c r="AQ325" s="21">
        <f>SUMIF(RawData[Customer_ID],AL325,RawData[Profit])</f>
        <v>26758.299999999988</v>
      </c>
      <c r="AR325" s="16">
        <f t="shared" si="36"/>
        <v>46548.657999999996</v>
      </c>
      <c r="AS325" s="16" t="str">
        <f t="shared" si="37"/>
        <v>Loyal</v>
      </c>
    </row>
    <row r="326" spans="38:45" x14ac:dyDescent="0.25">
      <c r="AL326" s="16" t="s">
        <v>1875</v>
      </c>
      <c r="AM326" s="16" t="s">
        <v>675</v>
      </c>
      <c r="AN326" s="16">
        <f>COUNTIF(RawData[Customer_ID],AL326)</f>
        <v>1</v>
      </c>
      <c r="AO326" s="16">
        <f>SUMIF(RawData[Customer_ID],AL326,RawData[Quantity])</f>
        <v>4</v>
      </c>
      <c r="AP326" s="21">
        <f>SUMIF(RawData[Customer_ID],AL326,RawData[Revenue])</f>
        <v>52796.159999999996</v>
      </c>
      <c r="AQ326" s="21">
        <f>SUMIF(RawData[Customer_ID],AL326,RawData[Profit])</f>
        <v>8799.3599999999933</v>
      </c>
      <c r="AR326" s="16">
        <f t="shared" si="36"/>
        <v>52796.159999999996</v>
      </c>
      <c r="AS326" s="16" t="str">
        <f t="shared" si="37"/>
        <v>One-time</v>
      </c>
    </row>
    <row r="327" spans="38:45" x14ac:dyDescent="0.25">
      <c r="AL327" s="16" t="s">
        <v>1370</v>
      </c>
      <c r="AM327" s="16" t="s">
        <v>676</v>
      </c>
      <c r="AN327" s="16">
        <f>COUNTIF(RawData[Customer_ID],AL327)</f>
        <v>3</v>
      </c>
      <c r="AO327" s="16">
        <f>SUMIF(RawData[Customer_ID],AL327,RawData[Quantity])</f>
        <v>11</v>
      </c>
      <c r="AP327" s="21">
        <f>SUMIF(RawData[Customer_ID],AL327,RawData[Revenue])</f>
        <v>199256.24</v>
      </c>
      <c r="AQ327" s="21">
        <f>SUMIF(RawData[Customer_ID],AL327,RawData[Profit])</f>
        <v>38034.359999999986</v>
      </c>
      <c r="AR327" s="16">
        <f t="shared" si="36"/>
        <v>66418.746666666659</v>
      </c>
      <c r="AS327" s="16" t="str">
        <f t="shared" si="37"/>
        <v>Occasional</v>
      </c>
    </row>
    <row r="328" spans="38:45" x14ac:dyDescent="0.25">
      <c r="AL328" s="16" t="s">
        <v>3037</v>
      </c>
      <c r="AM328" s="16" t="s">
        <v>677</v>
      </c>
      <c r="AN328" s="16">
        <f>COUNTIF(RawData[Customer_ID],AL328)</f>
        <v>2</v>
      </c>
      <c r="AO328" s="16">
        <f>SUMIF(RawData[Customer_ID],AL328,RawData[Quantity])</f>
        <v>9</v>
      </c>
      <c r="AP328" s="21">
        <f>SUMIF(RawData[Customer_ID],AL328,RawData[Revenue])</f>
        <v>177391.55</v>
      </c>
      <c r="AQ328" s="21">
        <f>SUMIF(RawData[Customer_ID],AL328,RawData[Profit])</f>
        <v>29998.499999999993</v>
      </c>
      <c r="AR328" s="16">
        <f t="shared" si="36"/>
        <v>88695.774999999994</v>
      </c>
      <c r="AS328" s="16" t="str">
        <f t="shared" si="37"/>
        <v>Occasional</v>
      </c>
    </row>
    <row r="329" spans="38:45" x14ac:dyDescent="0.25">
      <c r="AL329" s="16" t="s">
        <v>1914</v>
      </c>
      <c r="AM329" s="16" t="s">
        <v>678</v>
      </c>
      <c r="AN329" s="16">
        <f>COUNTIF(RawData[Customer_ID],AL329)</f>
        <v>5</v>
      </c>
      <c r="AO329" s="16">
        <f>SUMIF(RawData[Customer_ID],AL329,RawData[Quantity])</f>
        <v>16</v>
      </c>
      <c r="AP329" s="21">
        <f>SUMIF(RawData[Customer_ID],AL329,RawData[Revenue])</f>
        <v>77986.05</v>
      </c>
      <c r="AQ329" s="21">
        <f>SUMIF(RawData[Customer_ID],AL329,RawData[Profit])</f>
        <v>17255.339999999997</v>
      </c>
      <c r="AR329" s="16">
        <f t="shared" si="36"/>
        <v>15597.210000000001</v>
      </c>
      <c r="AS329" s="16" t="str">
        <f t="shared" si="37"/>
        <v>Loyal</v>
      </c>
    </row>
    <row r="330" spans="38:45" x14ac:dyDescent="0.25">
      <c r="AL330" s="16" t="s">
        <v>1477</v>
      </c>
      <c r="AM330" s="16" t="s">
        <v>679</v>
      </c>
      <c r="AN330" s="16">
        <f>COUNTIF(RawData[Customer_ID],AL330)</f>
        <v>2</v>
      </c>
      <c r="AO330" s="16">
        <f>SUMIF(RawData[Customer_ID],AL330,RawData[Quantity])</f>
        <v>7</v>
      </c>
      <c r="AP330" s="21">
        <f>SUMIF(RawData[Customer_ID],AL330,RawData[Revenue])</f>
        <v>74393.179999999993</v>
      </c>
      <c r="AQ330" s="21">
        <f>SUMIF(RawData[Customer_ID],AL330,RawData[Profit])</f>
        <v>11527.279999999999</v>
      </c>
      <c r="AR330" s="16">
        <f t="shared" si="36"/>
        <v>37196.589999999997</v>
      </c>
      <c r="AS330" s="16" t="str">
        <f t="shared" si="37"/>
        <v>Occasional</v>
      </c>
    </row>
    <row r="331" spans="38:45" x14ac:dyDescent="0.25">
      <c r="AL331" s="16" t="s">
        <v>1950</v>
      </c>
      <c r="AM331" s="16" t="s">
        <v>680</v>
      </c>
      <c r="AN331" s="16">
        <f>COUNTIF(RawData[Customer_ID],AL331)</f>
        <v>3</v>
      </c>
      <c r="AO331" s="16">
        <f>SUMIF(RawData[Customer_ID],AL331,RawData[Quantity])</f>
        <v>10</v>
      </c>
      <c r="AP331" s="21">
        <f>SUMIF(RawData[Customer_ID],AL331,RawData[Revenue])</f>
        <v>270517.75</v>
      </c>
      <c r="AQ331" s="21">
        <f>SUMIF(RawData[Customer_ID],AL331,RawData[Profit])</f>
        <v>26749.819999999963</v>
      </c>
      <c r="AR331" s="16">
        <f t="shared" si="36"/>
        <v>90172.583333333328</v>
      </c>
      <c r="AS331" s="16" t="str">
        <f t="shared" si="37"/>
        <v>Occasional</v>
      </c>
    </row>
    <row r="332" spans="38:45" x14ac:dyDescent="0.25">
      <c r="AL332" s="16" t="s">
        <v>2385</v>
      </c>
      <c r="AM332" s="16" t="s">
        <v>481</v>
      </c>
      <c r="AN332" s="16">
        <f>COUNTIF(RawData[Customer_ID],AL332)</f>
        <v>5</v>
      </c>
      <c r="AO332" s="16">
        <f>SUMIF(RawData[Customer_ID],AL332,RawData[Quantity])</f>
        <v>18</v>
      </c>
      <c r="AP332" s="21">
        <f>SUMIF(RawData[Customer_ID],AL332,RawData[Revenue])</f>
        <v>131946.38999999998</v>
      </c>
      <c r="AQ332" s="21">
        <f>SUMIF(RawData[Customer_ID],AL332,RawData[Profit])</f>
        <v>25036.989999999991</v>
      </c>
      <c r="AR332" s="16">
        <f t="shared" si="36"/>
        <v>26389.277999999998</v>
      </c>
      <c r="AS332" s="16" t="str">
        <f t="shared" si="37"/>
        <v>Loyal</v>
      </c>
    </row>
    <row r="333" spans="38:45" x14ac:dyDescent="0.25">
      <c r="AL333" s="16" t="s">
        <v>2371</v>
      </c>
      <c r="AM333" s="16" t="s">
        <v>681</v>
      </c>
      <c r="AN333" s="16">
        <f>COUNTIF(RawData[Customer_ID],AL333)</f>
        <v>5</v>
      </c>
      <c r="AO333" s="16">
        <f>SUMIF(RawData[Customer_ID],AL333,RawData[Quantity])</f>
        <v>17</v>
      </c>
      <c r="AP333" s="21">
        <f>SUMIF(RawData[Customer_ID],AL333,RawData[Revenue])</f>
        <v>519493.95999999996</v>
      </c>
      <c r="AQ333" s="21">
        <f>SUMIF(RawData[Customer_ID],AL333,RawData[Profit])</f>
        <v>59319.53</v>
      </c>
      <c r="AR333" s="16">
        <f t="shared" si="36"/>
        <v>103898.79199999999</v>
      </c>
      <c r="AS333" s="16" t="str">
        <f t="shared" si="37"/>
        <v>Loyal</v>
      </c>
    </row>
    <row r="334" spans="38:45" x14ac:dyDescent="0.25">
      <c r="AL334" s="16" t="s">
        <v>4257</v>
      </c>
      <c r="AM334" s="16" t="s">
        <v>682</v>
      </c>
      <c r="AN334" s="16">
        <f>COUNTIF(RawData[Customer_ID],AL334)</f>
        <v>4</v>
      </c>
      <c r="AO334" s="16">
        <f>SUMIF(RawData[Customer_ID],AL334,RawData[Quantity])</f>
        <v>10</v>
      </c>
      <c r="AP334" s="21">
        <f>SUMIF(RawData[Customer_ID],AL334,RawData[Revenue])</f>
        <v>246254.36</v>
      </c>
      <c r="AQ334" s="21">
        <f>SUMIF(RawData[Customer_ID],AL334,RawData[Profit])</f>
        <v>41574.109999999986</v>
      </c>
      <c r="AR334" s="16">
        <f t="shared" si="36"/>
        <v>61563.59</v>
      </c>
      <c r="AS334" s="16" t="str">
        <f t="shared" si="37"/>
        <v>Occasional</v>
      </c>
    </row>
    <row r="335" spans="38:45" x14ac:dyDescent="0.25">
      <c r="AL335" s="16" t="s">
        <v>1738</v>
      </c>
      <c r="AM335" s="16" t="s">
        <v>683</v>
      </c>
      <c r="AN335" s="16">
        <f>COUNTIF(RawData[Customer_ID],AL335)</f>
        <v>3</v>
      </c>
      <c r="AO335" s="16">
        <f>SUMIF(RawData[Customer_ID],AL335,RawData[Quantity])</f>
        <v>7</v>
      </c>
      <c r="AP335" s="21">
        <f>SUMIF(RawData[Customer_ID],AL335,RawData[Revenue])</f>
        <v>253823.31</v>
      </c>
      <c r="AQ335" s="21">
        <f>SUMIF(RawData[Customer_ID],AL335,RawData[Profit])</f>
        <v>42933.839999999982</v>
      </c>
      <c r="AR335" s="16">
        <f t="shared" si="36"/>
        <v>84607.77</v>
      </c>
      <c r="AS335" s="16" t="str">
        <f t="shared" si="37"/>
        <v>Occasional</v>
      </c>
    </row>
    <row r="336" spans="38:45" x14ac:dyDescent="0.25">
      <c r="AL336" s="16" t="s">
        <v>1398</v>
      </c>
      <c r="AM336" s="16" t="s">
        <v>684</v>
      </c>
      <c r="AN336" s="16">
        <f>COUNTIF(RawData[Customer_ID],AL336)</f>
        <v>2</v>
      </c>
      <c r="AO336" s="16">
        <f>SUMIF(RawData[Customer_ID],AL336,RawData[Quantity])</f>
        <v>6</v>
      </c>
      <c r="AP336" s="21">
        <f>SUMIF(RawData[Customer_ID],AL336,RawData[Revenue])</f>
        <v>220804.18</v>
      </c>
      <c r="AQ336" s="21">
        <f>SUMIF(RawData[Customer_ID],AL336,RawData[Profit])</f>
        <v>43198.879999999976</v>
      </c>
      <c r="AR336" s="16">
        <f t="shared" si="36"/>
        <v>110402.09</v>
      </c>
      <c r="AS336" s="16" t="str">
        <f t="shared" si="37"/>
        <v>Occasional</v>
      </c>
    </row>
    <row r="337" spans="38:45" x14ac:dyDescent="0.25">
      <c r="AL337" s="16" t="s">
        <v>1724</v>
      </c>
      <c r="AM337" s="16" t="s">
        <v>685</v>
      </c>
      <c r="AN337" s="16">
        <f>COUNTIF(RawData[Customer_ID],AL337)</f>
        <v>6</v>
      </c>
      <c r="AO337" s="16">
        <f>SUMIF(RawData[Customer_ID],AL337,RawData[Quantity])</f>
        <v>22</v>
      </c>
      <c r="AP337" s="21">
        <f>SUMIF(RawData[Customer_ID],AL337,RawData[Revenue])</f>
        <v>261502.74</v>
      </c>
      <c r="AQ337" s="21">
        <f>SUMIF(RawData[Customer_ID],AL337,RawData[Profit])</f>
        <v>35902.239999999991</v>
      </c>
      <c r="AR337" s="16">
        <f t="shared" si="36"/>
        <v>43583.79</v>
      </c>
      <c r="AS337" s="16" t="str">
        <f t="shared" si="37"/>
        <v>Loyal</v>
      </c>
    </row>
    <row r="338" spans="38:45" x14ac:dyDescent="0.25">
      <c r="AL338" s="16" t="s">
        <v>1832</v>
      </c>
      <c r="AM338" s="16" t="s">
        <v>686</v>
      </c>
      <c r="AN338" s="16">
        <f>COUNTIF(RawData[Customer_ID],AL338)</f>
        <v>2</v>
      </c>
      <c r="AO338" s="16">
        <f>SUMIF(RawData[Customer_ID],AL338,RawData[Quantity])</f>
        <v>9</v>
      </c>
      <c r="AP338" s="21">
        <f>SUMIF(RawData[Customer_ID],AL338,RawData[Revenue])</f>
        <v>237666.49</v>
      </c>
      <c r="AQ338" s="21">
        <f>SUMIF(RawData[Customer_ID],AL338,RawData[Profit])</f>
        <v>34523.26999999999</v>
      </c>
      <c r="AR338" s="16">
        <f t="shared" si="36"/>
        <v>118833.245</v>
      </c>
      <c r="AS338" s="16" t="str">
        <f t="shared" si="37"/>
        <v>Occasional</v>
      </c>
    </row>
    <row r="339" spans="38:45" x14ac:dyDescent="0.25">
      <c r="AL339" s="16" t="s">
        <v>2873</v>
      </c>
      <c r="AM339" s="16" t="s">
        <v>687</v>
      </c>
      <c r="AN339" s="16">
        <f>COUNTIF(RawData[Customer_ID],AL339)</f>
        <v>7</v>
      </c>
      <c r="AO339" s="16">
        <f>SUMIF(RawData[Customer_ID],AL339,RawData[Quantity])</f>
        <v>18</v>
      </c>
      <c r="AP339" s="21">
        <f>SUMIF(RawData[Customer_ID],AL339,RawData[Revenue])</f>
        <v>297212.99</v>
      </c>
      <c r="AQ339" s="21">
        <f>SUMIF(RawData[Customer_ID],AL339,RawData[Profit])</f>
        <v>38567.72</v>
      </c>
      <c r="AR339" s="16">
        <f t="shared" si="36"/>
        <v>42458.998571428572</v>
      </c>
      <c r="AS339" s="16" t="str">
        <f t="shared" si="37"/>
        <v>Loyal</v>
      </c>
    </row>
    <row r="340" spans="38:45" x14ac:dyDescent="0.25">
      <c r="AL340" s="16" t="s">
        <v>1519</v>
      </c>
      <c r="AM340" s="16" t="s">
        <v>688</v>
      </c>
      <c r="AN340" s="16">
        <f>COUNTIF(RawData[Customer_ID],AL340)</f>
        <v>1</v>
      </c>
      <c r="AO340" s="16">
        <f>SUMIF(RawData[Customer_ID],AL340,RawData[Quantity])</f>
        <v>3</v>
      </c>
      <c r="AP340" s="21">
        <f>SUMIF(RawData[Customer_ID],AL340,RawData[Revenue])</f>
        <v>71772.39</v>
      </c>
      <c r="AQ340" s="21">
        <f>SUMIF(RawData[Customer_ID],AL340,RawData[Profit])</f>
        <v>1649.9400000000023</v>
      </c>
      <c r="AR340" s="16">
        <f t="shared" si="36"/>
        <v>71772.39</v>
      </c>
      <c r="AS340" s="16" t="str">
        <f t="shared" si="37"/>
        <v>One-time</v>
      </c>
    </row>
    <row r="341" spans="38:45" x14ac:dyDescent="0.25">
      <c r="AL341" s="16" t="s">
        <v>2090</v>
      </c>
      <c r="AM341" s="16" t="s">
        <v>689</v>
      </c>
      <c r="AN341" s="16">
        <f>COUNTIF(RawData[Customer_ID],AL341)</f>
        <v>3</v>
      </c>
      <c r="AO341" s="16">
        <f>SUMIF(RawData[Customer_ID],AL341,RawData[Quantity])</f>
        <v>11</v>
      </c>
      <c r="AP341" s="21">
        <f>SUMIF(RawData[Customer_ID],AL341,RawData[Revenue])</f>
        <v>230394.97999999998</v>
      </c>
      <c r="AQ341" s="21">
        <f>SUMIF(RawData[Customer_ID],AL341,RawData[Profit])</f>
        <v>35772.58</v>
      </c>
      <c r="AR341" s="16">
        <f t="shared" si="36"/>
        <v>76798.32666666666</v>
      </c>
      <c r="AS341" s="16" t="str">
        <f t="shared" si="37"/>
        <v>Occasional</v>
      </c>
    </row>
    <row r="342" spans="38:45" x14ac:dyDescent="0.25">
      <c r="AL342" s="16" t="s">
        <v>2403</v>
      </c>
      <c r="AM342" s="16" t="s">
        <v>690</v>
      </c>
      <c r="AN342" s="16">
        <f>COUNTIF(RawData[Customer_ID],AL342)</f>
        <v>5</v>
      </c>
      <c r="AO342" s="16">
        <f>SUMIF(RawData[Customer_ID],AL342,RawData[Quantity])</f>
        <v>14</v>
      </c>
      <c r="AP342" s="21">
        <f>SUMIF(RawData[Customer_ID],AL342,RawData[Revenue])</f>
        <v>260406.60000000003</v>
      </c>
      <c r="AQ342" s="21">
        <f>SUMIF(RawData[Customer_ID],AL342,RawData[Profit])</f>
        <v>35193.770000000004</v>
      </c>
      <c r="AR342" s="16">
        <f t="shared" si="36"/>
        <v>52081.320000000007</v>
      </c>
      <c r="AS342" s="16" t="str">
        <f t="shared" si="37"/>
        <v>Loyal</v>
      </c>
    </row>
    <row r="343" spans="38:45" x14ac:dyDescent="0.25">
      <c r="AL343" s="16" t="s">
        <v>1466</v>
      </c>
      <c r="AM343" s="16" t="s">
        <v>691</v>
      </c>
      <c r="AN343" s="16">
        <f>COUNTIF(RawData[Customer_ID],AL343)</f>
        <v>2</v>
      </c>
      <c r="AO343" s="16">
        <f>SUMIF(RawData[Customer_ID],AL343,RawData[Quantity])</f>
        <v>7</v>
      </c>
      <c r="AP343" s="21">
        <f>SUMIF(RawData[Customer_ID],AL343,RawData[Revenue])</f>
        <v>64153.14</v>
      </c>
      <c r="AQ343" s="21">
        <f>SUMIF(RawData[Customer_ID],AL343,RawData[Profit])</f>
        <v>6479.8999999999978</v>
      </c>
      <c r="AR343" s="16">
        <f t="shared" si="36"/>
        <v>32076.57</v>
      </c>
      <c r="AS343" s="16" t="str">
        <f t="shared" si="37"/>
        <v>Occasional</v>
      </c>
    </row>
    <row r="344" spans="38:45" x14ac:dyDescent="0.25">
      <c r="AL344" s="16" t="s">
        <v>3685</v>
      </c>
      <c r="AM344" s="16" t="s">
        <v>692</v>
      </c>
      <c r="AN344" s="16">
        <f>COUNTIF(RawData[Customer_ID],AL344)</f>
        <v>2</v>
      </c>
      <c r="AO344" s="16">
        <f>SUMIF(RawData[Customer_ID],AL344,RawData[Quantity])</f>
        <v>8</v>
      </c>
      <c r="AP344" s="21">
        <f>SUMIF(RawData[Customer_ID],AL344,RawData[Revenue])</f>
        <v>301992.92</v>
      </c>
      <c r="AQ344" s="21">
        <f>SUMIF(RawData[Customer_ID],AL344,RawData[Profit])</f>
        <v>19199.399999999994</v>
      </c>
      <c r="AR344" s="16">
        <f t="shared" si="36"/>
        <v>150996.46</v>
      </c>
      <c r="AS344" s="16" t="str">
        <f t="shared" si="37"/>
        <v>Occasional</v>
      </c>
    </row>
    <row r="345" spans="38:45" x14ac:dyDescent="0.25">
      <c r="AL345" s="16" t="s">
        <v>5084</v>
      </c>
      <c r="AM345" s="16" t="s">
        <v>693</v>
      </c>
      <c r="AN345" s="16">
        <f>COUNTIF(RawData[Customer_ID],AL345)</f>
        <v>2</v>
      </c>
      <c r="AO345" s="16">
        <f>SUMIF(RawData[Customer_ID],AL345,RawData[Quantity])</f>
        <v>7</v>
      </c>
      <c r="AP345" s="21">
        <f>SUMIF(RawData[Customer_ID],AL345,RawData[Revenue])</f>
        <v>46331.5</v>
      </c>
      <c r="AQ345" s="21">
        <f>SUMIF(RawData[Customer_ID],AL345,RawData[Profit])</f>
        <v>12731</v>
      </c>
      <c r="AR345" s="16">
        <f t="shared" si="36"/>
        <v>23165.75</v>
      </c>
      <c r="AS345" s="16" t="str">
        <f t="shared" si="37"/>
        <v>Occasional</v>
      </c>
    </row>
    <row r="346" spans="38:45" x14ac:dyDescent="0.25">
      <c r="AL346" s="16" t="s">
        <v>1285</v>
      </c>
      <c r="AM346" s="16" t="s">
        <v>694</v>
      </c>
      <c r="AN346" s="16">
        <f>COUNTIF(RawData[Customer_ID],AL346)</f>
        <v>5</v>
      </c>
      <c r="AO346" s="16">
        <f>SUMIF(RawData[Customer_ID],AL346,RawData[Quantity])</f>
        <v>11</v>
      </c>
      <c r="AP346" s="21">
        <f>SUMIF(RawData[Customer_ID],AL346,RawData[Revenue])</f>
        <v>162216.87</v>
      </c>
      <c r="AQ346" s="21">
        <f>SUMIF(RawData[Customer_ID],AL346,RawData[Profit])</f>
        <v>25721.129999999986</v>
      </c>
      <c r="AR346" s="16">
        <f t="shared" si="36"/>
        <v>32443.374</v>
      </c>
      <c r="AS346" s="16" t="str">
        <f t="shared" si="37"/>
        <v>Loyal</v>
      </c>
    </row>
    <row r="347" spans="38:45" x14ac:dyDescent="0.25">
      <c r="AL347" s="16" t="s">
        <v>1772</v>
      </c>
      <c r="AM347" s="16" t="s">
        <v>695</v>
      </c>
      <c r="AN347" s="16">
        <f>COUNTIF(RawData[Customer_ID],AL347)</f>
        <v>6</v>
      </c>
      <c r="AO347" s="16">
        <f>SUMIF(RawData[Customer_ID],AL347,RawData[Quantity])</f>
        <v>13</v>
      </c>
      <c r="AP347" s="21">
        <f>SUMIF(RawData[Customer_ID],AL347,RawData[Revenue])</f>
        <v>117488.88</v>
      </c>
      <c r="AQ347" s="21">
        <f>SUMIF(RawData[Customer_ID],AL347,RawData[Profit])</f>
        <v>20468.240000000002</v>
      </c>
      <c r="AR347" s="16">
        <f t="shared" si="36"/>
        <v>19581.48</v>
      </c>
      <c r="AS347" s="16" t="str">
        <f t="shared" si="37"/>
        <v>Loyal</v>
      </c>
    </row>
    <row r="348" spans="38:45" x14ac:dyDescent="0.25">
      <c r="AL348" s="16" t="s">
        <v>2964</v>
      </c>
      <c r="AM348" s="16" t="s">
        <v>696</v>
      </c>
      <c r="AN348" s="16">
        <f>COUNTIF(RawData[Customer_ID],AL348)</f>
        <v>1</v>
      </c>
      <c r="AO348" s="16">
        <f>SUMIF(RawData[Customer_ID],AL348,RawData[Quantity])</f>
        <v>2</v>
      </c>
      <c r="AP348" s="21">
        <f>SUMIF(RawData[Customer_ID],AL348,RawData[Revenue])</f>
        <v>480</v>
      </c>
      <c r="AQ348" s="21">
        <f>SUMIF(RawData[Customer_ID],AL348,RawData[Profit])</f>
        <v>170</v>
      </c>
      <c r="AR348" s="16">
        <f t="shared" si="36"/>
        <v>480</v>
      </c>
      <c r="AS348" s="16" t="str">
        <f t="shared" si="37"/>
        <v>One-time</v>
      </c>
    </row>
    <row r="349" spans="38:45" x14ac:dyDescent="0.25">
      <c r="AL349" s="16" t="s">
        <v>1526</v>
      </c>
      <c r="AM349" s="16" t="s">
        <v>697</v>
      </c>
      <c r="AN349" s="16">
        <f>COUNTIF(RawData[Customer_ID],AL349)</f>
        <v>2</v>
      </c>
      <c r="AO349" s="16">
        <f>SUMIF(RawData[Customer_ID],AL349,RawData[Quantity])</f>
        <v>8</v>
      </c>
      <c r="AP349" s="21">
        <f>SUMIF(RawData[Customer_ID],AL349,RawData[Revenue])</f>
        <v>24593.879999999997</v>
      </c>
      <c r="AQ349" s="21">
        <f>SUMIF(RawData[Customer_ID],AL349,RawData[Profit])</f>
        <v>6070.2800000000016</v>
      </c>
      <c r="AR349" s="16">
        <f t="shared" si="36"/>
        <v>12296.939999999999</v>
      </c>
      <c r="AS349" s="16" t="str">
        <f t="shared" si="37"/>
        <v>Occasional</v>
      </c>
    </row>
    <row r="350" spans="38:45" x14ac:dyDescent="0.25">
      <c r="AL350" s="16" t="s">
        <v>4531</v>
      </c>
      <c r="AM350" s="16" t="s">
        <v>698</v>
      </c>
      <c r="AN350" s="16">
        <f>COUNTIF(RawData[Customer_ID],AL350)</f>
        <v>3</v>
      </c>
      <c r="AO350" s="16">
        <f>SUMIF(RawData[Customer_ID],AL350,RawData[Quantity])</f>
        <v>6</v>
      </c>
      <c r="AP350" s="21">
        <f>SUMIF(RawData[Customer_ID],AL350,RawData[Revenue])</f>
        <v>13901.039999999999</v>
      </c>
      <c r="AQ350" s="21">
        <f>SUMIF(RawData[Customer_ID],AL350,RawData[Profit])</f>
        <v>2430.2399999999984</v>
      </c>
      <c r="AR350" s="16">
        <f t="shared" si="36"/>
        <v>4633.6799999999994</v>
      </c>
      <c r="AS350" s="16" t="str">
        <f t="shared" si="37"/>
        <v>Occasional</v>
      </c>
    </row>
    <row r="351" spans="38:45" x14ac:dyDescent="0.25">
      <c r="AL351" s="16" t="s">
        <v>1611</v>
      </c>
      <c r="AM351" s="16" t="s">
        <v>699</v>
      </c>
      <c r="AN351" s="16">
        <f>COUNTIF(RawData[Customer_ID],AL351)</f>
        <v>2</v>
      </c>
      <c r="AO351" s="16">
        <f>SUMIF(RawData[Customer_ID],AL351,RawData[Quantity])</f>
        <v>7</v>
      </c>
      <c r="AP351" s="21">
        <f>SUMIF(RawData[Customer_ID],AL351,RawData[Revenue])</f>
        <v>241524.18</v>
      </c>
      <c r="AQ351" s="21">
        <f>SUMIF(RawData[Customer_ID],AL351,RawData[Profit])</f>
        <v>6929.6799999999967</v>
      </c>
      <c r="AR351" s="16">
        <f t="shared" si="36"/>
        <v>120762.09</v>
      </c>
      <c r="AS351" s="16" t="str">
        <f t="shared" si="37"/>
        <v>Occasional</v>
      </c>
    </row>
    <row r="352" spans="38:45" x14ac:dyDescent="0.25">
      <c r="AL352" s="16" t="s">
        <v>4210</v>
      </c>
      <c r="AM352" s="16" t="s">
        <v>700</v>
      </c>
      <c r="AN352" s="16">
        <f>COUNTIF(RawData[Customer_ID],AL352)</f>
        <v>3</v>
      </c>
      <c r="AO352" s="16">
        <f>SUMIF(RawData[Customer_ID],AL352,RawData[Quantity])</f>
        <v>14</v>
      </c>
      <c r="AP352" s="21">
        <f>SUMIF(RawData[Customer_ID],AL352,RawData[Revenue])</f>
        <v>144071.12</v>
      </c>
      <c r="AQ352" s="21">
        <f>SUMIF(RawData[Customer_ID],AL352,RawData[Profit])</f>
        <v>33574.319999999992</v>
      </c>
      <c r="AR352" s="16">
        <f t="shared" si="36"/>
        <v>48023.706666666665</v>
      </c>
      <c r="AS352" s="16" t="str">
        <f t="shared" si="37"/>
        <v>Occasional</v>
      </c>
    </row>
    <row r="353" spans="38:45" x14ac:dyDescent="0.25">
      <c r="AL353" s="16" t="s">
        <v>5096</v>
      </c>
      <c r="AM353" s="16" t="s">
        <v>701</v>
      </c>
      <c r="AN353" s="16">
        <f>COUNTIF(RawData[Customer_ID],AL353)</f>
        <v>4</v>
      </c>
      <c r="AO353" s="16">
        <f>SUMIF(RawData[Customer_ID],AL353,RawData[Quantity])</f>
        <v>10</v>
      </c>
      <c r="AP353" s="21">
        <f>SUMIF(RawData[Customer_ID],AL353,RawData[Revenue])</f>
        <v>137818.57</v>
      </c>
      <c r="AQ353" s="21">
        <f>SUMIF(RawData[Customer_ID],AL353,RawData[Profit])</f>
        <v>22855.369999999992</v>
      </c>
      <c r="AR353" s="16">
        <f t="shared" si="36"/>
        <v>34454.642500000002</v>
      </c>
      <c r="AS353" s="16" t="str">
        <f t="shared" si="37"/>
        <v>Occasional</v>
      </c>
    </row>
    <row r="354" spans="38:45" x14ac:dyDescent="0.25">
      <c r="AL354" s="16" t="s">
        <v>1425</v>
      </c>
      <c r="AM354" s="16" t="s">
        <v>702</v>
      </c>
      <c r="AN354" s="16">
        <f>COUNTIF(RawData[Customer_ID],AL354)</f>
        <v>2</v>
      </c>
      <c r="AO354" s="16">
        <f>SUMIF(RawData[Customer_ID],AL354,RawData[Quantity])</f>
        <v>5</v>
      </c>
      <c r="AP354" s="21">
        <f>SUMIF(RawData[Customer_ID],AL354,RawData[Revenue])</f>
        <v>199052.4</v>
      </c>
      <c r="AQ354" s="21">
        <f>SUMIF(RawData[Customer_ID],AL354,RawData[Profit])</f>
        <v>17940.679999999993</v>
      </c>
      <c r="AR354" s="16">
        <f t="shared" si="36"/>
        <v>99526.2</v>
      </c>
      <c r="AS354" s="16" t="str">
        <f t="shared" si="37"/>
        <v>Occasional</v>
      </c>
    </row>
    <row r="355" spans="38:45" x14ac:dyDescent="0.25">
      <c r="AL355" s="16" t="s">
        <v>1988</v>
      </c>
      <c r="AM355" s="16" t="s">
        <v>703</v>
      </c>
      <c r="AN355" s="16">
        <f>COUNTIF(RawData[Customer_ID],AL355)</f>
        <v>3</v>
      </c>
      <c r="AO355" s="16">
        <f>SUMIF(RawData[Customer_ID],AL355,RawData[Quantity])</f>
        <v>9</v>
      </c>
      <c r="AP355" s="21">
        <f>SUMIF(RawData[Customer_ID],AL355,RawData[Revenue])</f>
        <v>18497.78</v>
      </c>
      <c r="AQ355" s="21">
        <f>SUMIF(RawData[Customer_ID],AL355,RawData[Profit])</f>
        <v>4607.9799999999996</v>
      </c>
      <c r="AR355" s="16">
        <f t="shared" si="36"/>
        <v>6165.9266666666663</v>
      </c>
      <c r="AS355" s="16" t="str">
        <f t="shared" si="37"/>
        <v>Occasional</v>
      </c>
    </row>
    <row r="356" spans="38:45" x14ac:dyDescent="0.25">
      <c r="AL356" s="16" t="s">
        <v>2528</v>
      </c>
      <c r="AM356" s="16" t="s">
        <v>704</v>
      </c>
      <c r="AN356" s="16">
        <f>COUNTIF(RawData[Customer_ID],AL356)</f>
        <v>3</v>
      </c>
      <c r="AO356" s="16">
        <f>SUMIF(RawData[Customer_ID],AL356,RawData[Quantity])</f>
        <v>4</v>
      </c>
      <c r="AP356" s="21">
        <f>SUMIF(RawData[Customer_ID],AL356,RawData[Revenue])</f>
        <v>43495.15</v>
      </c>
      <c r="AQ356" s="21">
        <f>SUMIF(RawData[Customer_ID],AL356,RawData[Profit])</f>
        <v>3002.909999999998</v>
      </c>
      <c r="AR356" s="16">
        <f t="shared" si="36"/>
        <v>14498.383333333333</v>
      </c>
      <c r="AS356" s="16" t="str">
        <f t="shared" si="37"/>
        <v>Occasional</v>
      </c>
    </row>
    <row r="357" spans="38:45" x14ac:dyDescent="0.25">
      <c r="AL357" s="16" t="s">
        <v>4425</v>
      </c>
      <c r="AM357" s="16" t="s">
        <v>705</v>
      </c>
      <c r="AN357" s="16">
        <f>COUNTIF(RawData[Customer_ID],AL357)</f>
        <v>3</v>
      </c>
      <c r="AO357" s="16">
        <f>SUMIF(RawData[Customer_ID],AL357,RawData[Quantity])</f>
        <v>7</v>
      </c>
      <c r="AP357" s="21">
        <f>SUMIF(RawData[Customer_ID],AL357,RawData[Revenue])</f>
        <v>275626.14</v>
      </c>
      <c r="AQ357" s="21">
        <f>SUMIF(RawData[Customer_ID],AL357,RawData[Profit])</f>
        <v>24611.920000000006</v>
      </c>
      <c r="AR357" s="16">
        <f t="shared" si="36"/>
        <v>91875.38</v>
      </c>
      <c r="AS357" s="16" t="str">
        <f t="shared" si="37"/>
        <v>Occasional</v>
      </c>
    </row>
    <row r="358" spans="38:45" x14ac:dyDescent="0.25">
      <c r="AL358" s="16" t="s">
        <v>1470</v>
      </c>
      <c r="AM358" s="16" t="s">
        <v>706</v>
      </c>
      <c r="AN358" s="16">
        <f>COUNTIF(RawData[Customer_ID],AL358)</f>
        <v>2</v>
      </c>
      <c r="AO358" s="16">
        <f>SUMIF(RawData[Customer_ID],AL358,RawData[Quantity])</f>
        <v>5</v>
      </c>
      <c r="AP358" s="21">
        <f>SUMIF(RawData[Customer_ID],AL358,RawData[Revenue])</f>
        <v>52362.6</v>
      </c>
      <c r="AQ358" s="21">
        <f>SUMIF(RawData[Customer_ID],AL358,RawData[Profit])</f>
        <v>8284.1999999999935</v>
      </c>
      <c r="AR358" s="16">
        <f t="shared" si="36"/>
        <v>26181.3</v>
      </c>
      <c r="AS358" s="16" t="str">
        <f t="shared" si="37"/>
        <v>Occasional</v>
      </c>
    </row>
    <row r="359" spans="38:45" x14ac:dyDescent="0.25">
      <c r="AL359" s="16" t="s">
        <v>2435</v>
      </c>
      <c r="AM359" s="16" t="s">
        <v>707</v>
      </c>
      <c r="AN359" s="16">
        <f>COUNTIF(RawData[Customer_ID],AL359)</f>
        <v>2</v>
      </c>
      <c r="AO359" s="16">
        <f>SUMIF(RawData[Customer_ID],AL359,RawData[Quantity])</f>
        <v>7</v>
      </c>
      <c r="AP359" s="21">
        <f>SUMIF(RawData[Customer_ID],AL359,RawData[Revenue])</f>
        <v>143983.78</v>
      </c>
      <c r="AQ359" s="21">
        <f>SUMIF(RawData[Customer_ID],AL359,RawData[Profit])</f>
        <v>13529.57999999998</v>
      </c>
      <c r="AR359" s="16">
        <f t="shared" si="36"/>
        <v>71991.89</v>
      </c>
      <c r="AS359" s="16" t="str">
        <f t="shared" si="37"/>
        <v>Occasional</v>
      </c>
    </row>
    <row r="360" spans="38:45" x14ac:dyDescent="0.25">
      <c r="AL360" s="16" t="s">
        <v>2082</v>
      </c>
      <c r="AM360" s="16" t="s">
        <v>708</v>
      </c>
      <c r="AN360" s="16">
        <f>COUNTIF(RawData[Customer_ID],AL360)</f>
        <v>5</v>
      </c>
      <c r="AO360" s="16">
        <f>SUMIF(RawData[Customer_ID],AL360,RawData[Quantity])</f>
        <v>12</v>
      </c>
      <c r="AP360" s="21">
        <f>SUMIF(RawData[Customer_ID],AL360,RawData[Revenue])</f>
        <v>198728.08</v>
      </c>
      <c r="AQ360" s="21">
        <f>SUMIF(RawData[Customer_ID],AL360,RawData[Profit])</f>
        <v>25098.9</v>
      </c>
      <c r="AR360" s="16">
        <f t="shared" si="36"/>
        <v>39745.615999999995</v>
      </c>
      <c r="AS360" s="16" t="str">
        <f t="shared" si="37"/>
        <v>Loyal</v>
      </c>
    </row>
    <row r="361" spans="38:45" x14ac:dyDescent="0.25">
      <c r="AL361" s="16" t="s">
        <v>3061</v>
      </c>
      <c r="AM361" s="16" t="s">
        <v>709</v>
      </c>
      <c r="AN361" s="16">
        <f>COUNTIF(RawData[Customer_ID],AL361)</f>
        <v>5</v>
      </c>
      <c r="AO361" s="16">
        <f>SUMIF(RawData[Customer_ID],AL361,RawData[Quantity])</f>
        <v>12</v>
      </c>
      <c r="AP361" s="21">
        <f>SUMIF(RawData[Customer_ID],AL361,RawData[Revenue])</f>
        <v>189039.36000000002</v>
      </c>
      <c r="AQ361" s="21">
        <f>SUMIF(RawData[Customer_ID],AL361,RawData[Profit])</f>
        <v>20887.029999999981</v>
      </c>
      <c r="AR361" s="16">
        <f t="shared" si="36"/>
        <v>37807.872000000003</v>
      </c>
      <c r="AS361" s="16" t="str">
        <f t="shared" si="37"/>
        <v>Loyal</v>
      </c>
    </row>
    <row r="362" spans="38:45" x14ac:dyDescent="0.25">
      <c r="AL362" s="16" t="s">
        <v>1275</v>
      </c>
      <c r="AM362" s="16" t="s">
        <v>710</v>
      </c>
      <c r="AN362" s="16">
        <f>COUNTIF(RawData[Customer_ID],AL362)</f>
        <v>2</v>
      </c>
      <c r="AO362" s="16">
        <f>SUMIF(RawData[Customer_ID],AL362,RawData[Quantity])</f>
        <v>6</v>
      </c>
      <c r="AP362" s="21">
        <f>SUMIF(RawData[Customer_ID],AL362,RawData[Revenue])</f>
        <v>53632.32</v>
      </c>
      <c r="AQ362" s="21">
        <f>SUMIF(RawData[Customer_ID],AL362,RawData[Profit])</f>
        <v>7655.5199999999968</v>
      </c>
      <c r="AR362" s="16">
        <f t="shared" si="36"/>
        <v>26816.16</v>
      </c>
      <c r="AS362" s="16" t="str">
        <f t="shared" si="37"/>
        <v>Occasional</v>
      </c>
    </row>
    <row r="363" spans="38:45" x14ac:dyDescent="0.25">
      <c r="AL363" s="16" t="s">
        <v>2929</v>
      </c>
      <c r="AM363" s="16" t="s">
        <v>711</v>
      </c>
      <c r="AN363" s="16">
        <f>COUNTIF(RawData[Customer_ID],AL363)</f>
        <v>4</v>
      </c>
      <c r="AO363" s="16">
        <f>SUMIF(RawData[Customer_ID],AL363,RawData[Quantity])</f>
        <v>18</v>
      </c>
      <c r="AP363" s="21">
        <f>SUMIF(RawData[Customer_ID],AL363,RawData[Revenue])</f>
        <v>366262.04999999993</v>
      </c>
      <c r="AQ363" s="21">
        <f>SUMIF(RawData[Customer_ID],AL363,RawData[Profit])</f>
        <v>63474.949999999953</v>
      </c>
      <c r="AR363" s="16">
        <f t="shared" si="36"/>
        <v>91565.512499999983</v>
      </c>
      <c r="AS363" s="16" t="str">
        <f t="shared" si="37"/>
        <v>Occasional</v>
      </c>
    </row>
    <row r="364" spans="38:45" x14ac:dyDescent="0.25">
      <c r="AL364" s="16" t="s">
        <v>1390</v>
      </c>
      <c r="AM364" s="16" t="s">
        <v>712</v>
      </c>
      <c r="AN364" s="16">
        <f>COUNTIF(RawData[Customer_ID],AL364)</f>
        <v>2</v>
      </c>
      <c r="AO364" s="16">
        <f>SUMIF(RawData[Customer_ID],AL364,RawData[Quantity])</f>
        <v>5</v>
      </c>
      <c r="AP364" s="21">
        <f>SUMIF(RawData[Customer_ID],AL364,RawData[Revenue])</f>
        <v>41959.040000000001</v>
      </c>
      <c r="AQ364" s="21">
        <f>SUMIF(RawData[Customer_ID],AL364,RawData[Profit])</f>
        <v>10809.740000000002</v>
      </c>
      <c r="AR364" s="16">
        <f t="shared" si="36"/>
        <v>20979.52</v>
      </c>
      <c r="AS364" s="16" t="str">
        <f t="shared" si="37"/>
        <v>Occasional</v>
      </c>
    </row>
    <row r="365" spans="38:45" x14ac:dyDescent="0.25">
      <c r="AL365" s="16" t="s">
        <v>1654</v>
      </c>
      <c r="AM365" s="16" t="s">
        <v>713</v>
      </c>
      <c r="AN365" s="16">
        <f>COUNTIF(RawData[Customer_ID],AL365)</f>
        <v>2</v>
      </c>
      <c r="AO365" s="16">
        <f>SUMIF(RawData[Customer_ID],AL365,RawData[Quantity])</f>
        <v>7</v>
      </c>
      <c r="AP365" s="21">
        <f>SUMIF(RawData[Customer_ID],AL365,RawData[Revenue])</f>
        <v>207863.57</v>
      </c>
      <c r="AQ365" s="21">
        <f>SUMIF(RawData[Customer_ID],AL365,RawData[Profit])</f>
        <v>31068.870000000006</v>
      </c>
      <c r="AR365" s="16">
        <f t="shared" si="36"/>
        <v>103931.785</v>
      </c>
      <c r="AS365" s="16" t="str">
        <f t="shared" si="37"/>
        <v>Occasional</v>
      </c>
    </row>
    <row r="366" spans="38:45" x14ac:dyDescent="0.25">
      <c r="AL366" s="16" t="s">
        <v>1734</v>
      </c>
      <c r="AM366" s="16" t="s">
        <v>714</v>
      </c>
      <c r="AN366" s="16">
        <f>COUNTIF(RawData[Customer_ID],AL366)</f>
        <v>3</v>
      </c>
      <c r="AO366" s="16">
        <f>SUMIF(RawData[Customer_ID],AL366,RawData[Quantity])</f>
        <v>6</v>
      </c>
      <c r="AP366" s="21">
        <f>SUMIF(RawData[Customer_ID],AL366,RawData[Revenue])</f>
        <v>116582.26</v>
      </c>
      <c r="AQ366" s="21">
        <f>SUMIF(RawData[Customer_ID],AL366,RawData[Profit])</f>
        <v>3087.2100000000064</v>
      </c>
      <c r="AR366" s="16">
        <f t="shared" si="36"/>
        <v>38860.753333333334</v>
      </c>
      <c r="AS366" s="16" t="str">
        <f t="shared" si="37"/>
        <v>Occasional</v>
      </c>
    </row>
    <row r="367" spans="38:45" x14ac:dyDescent="0.25">
      <c r="AL367" s="16" t="s">
        <v>5164</v>
      </c>
      <c r="AM367" s="16" t="s">
        <v>715</v>
      </c>
      <c r="AN367" s="16">
        <f>COUNTIF(RawData[Customer_ID],AL367)</f>
        <v>0</v>
      </c>
      <c r="AO367" s="16">
        <f>SUMIF(RawData[Customer_ID],AL367,RawData[Quantity])</f>
        <v>0</v>
      </c>
      <c r="AP367" s="21">
        <f>SUMIF(RawData[Customer_ID],AL367,RawData[Revenue])</f>
        <v>0</v>
      </c>
      <c r="AQ367" s="21">
        <f>SUMIF(RawData[Customer_ID],AL367,RawData[Profit])</f>
        <v>0</v>
      </c>
      <c r="AR367" s="16">
        <f t="shared" si="36"/>
        <v>0</v>
      </c>
      <c r="AS367" s="16" t="str">
        <f t="shared" si="37"/>
        <v>Occasional</v>
      </c>
    </row>
    <row r="368" spans="38:45" x14ac:dyDescent="0.25">
      <c r="AL368" s="16" t="s">
        <v>2131</v>
      </c>
      <c r="AM368" s="16" t="s">
        <v>716</v>
      </c>
      <c r="AN368" s="16">
        <f>COUNTIF(RawData[Customer_ID],AL368)</f>
        <v>2</v>
      </c>
      <c r="AO368" s="16">
        <f>SUMIF(RawData[Customer_ID],AL368,RawData[Quantity])</f>
        <v>5</v>
      </c>
      <c r="AP368" s="21">
        <f>SUMIF(RawData[Customer_ID],AL368,RawData[Revenue])</f>
        <v>130555</v>
      </c>
      <c r="AQ368" s="21">
        <f>SUMIF(RawData[Customer_ID],AL368,RawData[Profit])</f>
        <v>9345</v>
      </c>
      <c r="AR368" s="16">
        <f t="shared" si="36"/>
        <v>65277.5</v>
      </c>
      <c r="AS368" s="16" t="str">
        <f t="shared" si="37"/>
        <v>Occasional</v>
      </c>
    </row>
    <row r="369" spans="38:45" x14ac:dyDescent="0.25">
      <c r="AL369" s="16" t="s">
        <v>5091</v>
      </c>
      <c r="AM369" s="16" t="s">
        <v>717</v>
      </c>
      <c r="AN369" s="16">
        <f>COUNTIF(RawData[Customer_ID],AL369)</f>
        <v>5</v>
      </c>
      <c r="AO369" s="16">
        <f>SUMIF(RawData[Customer_ID],AL369,RawData[Quantity])</f>
        <v>12</v>
      </c>
      <c r="AP369" s="21">
        <f>SUMIF(RawData[Customer_ID],AL369,RawData[Revenue])</f>
        <v>13217.699999999997</v>
      </c>
      <c r="AQ369" s="21">
        <f>SUMIF(RawData[Customer_ID],AL369,RawData[Profit])</f>
        <v>4280.1999999999989</v>
      </c>
      <c r="AR369" s="16">
        <f t="shared" si="36"/>
        <v>2643.5399999999995</v>
      </c>
      <c r="AS369" s="16" t="str">
        <f t="shared" si="37"/>
        <v>Loyal</v>
      </c>
    </row>
    <row r="370" spans="38:45" x14ac:dyDescent="0.25">
      <c r="AL370" s="16" t="s">
        <v>5165</v>
      </c>
      <c r="AM370" s="16" t="s">
        <v>718</v>
      </c>
      <c r="AN370" s="16">
        <f>COUNTIF(RawData[Customer_ID],AL370)</f>
        <v>0</v>
      </c>
      <c r="AO370" s="16">
        <f>SUMIF(RawData[Customer_ID],AL370,RawData[Quantity])</f>
        <v>0</v>
      </c>
      <c r="AP370" s="21">
        <f>SUMIF(RawData[Customer_ID],AL370,RawData[Revenue])</f>
        <v>0</v>
      </c>
      <c r="AQ370" s="21">
        <f>SUMIF(RawData[Customer_ID],AL370,RawData[Profit])</f>
        <v>0</v>
      </c>
      <c r="AR370" s="16">
        <f t="shared" si="36"/>
        <v>0</v>
      </c>
      <c r="AS370" s="16" t="str">
        <f t="shared" si="37"/>
        <v>Occasional</v>
      </c>
    </row>
    <row r="371" spans="38:45" x14ac:dyDescent="0.25">
      <c r="AL371" s="16" t="s">
        <v>4273</v>
      </c>
      <c r="AM371" s="16" t="s">
        <v>719</v>
      </c>
      <c r="AN371" s="16">
        <f>COUNTIF(RawData[Customer_ID],AL371)</f>
        <v>2</v>
      </c>
      <c r="AO371" s="16">
        <f>SUMIF(RawData[Customer_ID],AL371,RawData[Quantity])</f>
        <v>6</v>
      </c>
      <c r="AP371" s="21">
        <f>SUMIF(RawData[Customer_ID],AL371,RawData[Revenue])</f>
        <v>212032.19999999998</v>
      </c>
      <c r="AQ371" s="21">
        <f>SUMIF(RawData[Customer_ID],AL371,RawData[Profit])</f>
        <v>29655.479999999981</v>
      </c>
      <c r="AR371" s="16">
        <f t="shared" si="36"/>
        <v>106016.09999999999</v>
      </c>
      <c r="AS371" s="16" t="str">
        <f t="shared" si="37"/>
        <v>Occasional</v>
      </c>
    </row>
    <row r="372" spans="38:45" x14ac:dyDescent="0.25">
      <c r="AL372" s="16" t="s">
        <v>2507</v>
      </c>
      <c r="AM372" s="16" t="s">
        <v>720</v>
      </c>
      <c r="AN372" s="16">
        <f>COUNTIF(RawData[Customer_ID],AL372)</f>
        <v>3</v>
      </c>
      <c r="AO372" s="16">
        <f>SUMIF(RawData[Customer_ID],AL372,RawData[Quantity])</f>
        <v>7</v>
      </c>
      <c r="AP372" s="21">
        <f>SUMIF(RawData[Customer_ID],AL372,RawData[Revenue])</f>
        <v>27590.400000000001</v>
      </c>
      <c r="AQ372" s="21">
        <f>SUMIF(RawData[Customer_ID],AL372,RawData[Profit])</f>
        <v>4806.3999999999996</v>
      </c>
      <c r="AR372" s="16">
        <f t="shared" si="36"/>
        <v>9196.8000000000011</v>
      </c>
      <c r="AS372" s="16" t="str">
        <f t="shared" si="37"/>
        <v>Occasional</v>
      </c>
    </row>
    <row r="373" spans="38:45" x14ac:dyDescent="0.25">
      <c r="AL373" s="16" t="s">
        <v>3561</v>
      </c>
      <c r="AM373" s="16" t="s">
        <v>721</v>
      </c>
      <c r="AN373" s="16">
        <f>COUNTIF(RawData[Customer_ID],AL373)</f>
        <v>7</v>
      </c>
      <c r="AO373" s="16">
        <f>SUMIF(RawData[Customer_ID],AL373,RawData[Quantity])</f>
        <v>24</v>
      </c>
      <c r="AP373" s="21">
        <f>SUMIF(RawData[Customer_ID],AL373,RawData[Revenue])</f>
        <v>408830.92000000004</v>
      </c>
      <c r="AQ373" s="21">
        <f>SUMIF(RawData[Customer_ID],AL373,RawData[Profit])</f>
        <v>59453.299999999974</v>
      </c>
      <c r="AR373" s="16">
        <f t="shared" si="36"/>
        <v>58404.41714285715</v>
      </c>
      <c r="AS373" s="16" t="str">
        <f t="shared" si="37"/>
        <v>Loyal</v>
      </c>
    </row>
    <row r="374" spans="38:45" x14ac:dyDescent="0.25">
      <c r="AL374" s="16" t="s">
        <v>2040</v>
      </c>
      <c r="AM374" s="16" t="s">
        <v>646</v>
      </c>
      <c r="AN374" s="16">
        <f>COUNTIF(RawData[Customer_ID],AL374)</f>
        <v>4</v>
      </c>
      <c r="AO374" s="16">
        <f>SUMIF(RawData[Customer_ID],AL374,RawData[Quantity])</f>
        <v>10</v>
      </c>
      <c r="AP374" s="21">
        <f>SUMIF(RawData[Customer_ID],AL374,RawData[Revenue])</f>
        <v>179121.09</v>
      </c>
      <c r="AQ374" s="21">
        <f>SUMIF(RawData[Customer_ID],AL374,RawData[Profit])</f>
        <v>21419.039999999997</v>
      </c>
      <c r="AR374" s="16">
        <f t="shared" si="36"/>
        <v>44780.272499999999</v>
      </c>
      <c r="AS374" s="16" t="str">
        <f t="shared" si="37"/>
        <v>Occasional</v>
      </c>
    </row>
    <row r="375" spans="38:45" x14ac:dyDescent="0.25">
      <c r="AL375" s="16" t="s">
        <v>3093</v>
      </c>
      <c r="AM375" s="16" t="s">
        <v>722</v>
      </c>
      <c r="AN375" s="16">
        <f>COUNTIF(RawData[Customer_ID],AL375)</f>
        <v>4</v>
      </c>
      <c r="AO375" s="16">
        <f>SUMIF(RawData[Customer_ID],AL375,RawData[Quantity])</f>
        <v>7</v>
      </c>
      <c r="AP375" s="21">
        <f>SUMIF(RawData[Customer_ID],AL375,RawData[Revenue])</f>
        <v>110656.68</v>
      </c>
      <c r="AQ375" s="21">
        <f>SUMIF(RawData[Customer_ID],AL375,RawData[Profit])</f>
        <v>16652.03999999999</v>
      </c>
      <c r="AR375" s="16">
        <f t="shared" si="36"/>
        <v>27664.17</v>
      </c>
      <c r="AS375" s="16" t="str">
        <f t="shared" si="37"/>
        <v>Occasional</v>
      </c>
    </row>
    <row r="376" spans="38:45" x14ac:dyDescent="0.25">
      <c r="AL376" s="16" t="s">
        <v>1623</v>
      </c>
      <c r="AM376" s="16" t="s">
        <v>723</v>
      </c>
      <c r="AN376" s="16">
        <f>COUNTIF(RawData[Customer_ID],AL376)</f>
        <v>1</v>
      </c>
      <c r="AO376" s="16">
        <f>SUMIF(RawData[Customer_ID],AL376,RawData[Quantity])</f>
        <v>3</v>
      </c>
      <c r="AP376" s="21">
        <f>SUMIF(RawData[Customer_ID],AL376,RawData[Revenue])</f>
        <v>23655</v>
      </c>
      <c r="AQ376" s="21">
        <f>SUMIF(RawData[Customer_ID],AL376,RawData[Profit])</f>
        <v>3705</v>
      </c>
      <c r="AR376" s="16">
        <f t="shared" si="36"/>
        <v>23655</v>
      </c>
      <c r="AS376" s="16" t="str">
        <f t="shared" si="37"/>
        <v>One-time</v>
      </c>
    </row>
    <row r="377" spans="38:45" x14ac:dyDescent="0.25">
      <c r="AL377" s="16" t="s">
        <v>1567</v>
      </c>
      <c r="AM377" s="16" t="s">
        <v>724</v>
      </c>
      <c r="AN377" s="16">
        <f>COUNTIF(RawData[Customer_ID],AL377)</f>
        <v>2</v>
      </c>
      <c r="AO377" s="16">
        <f>SUMIF(RawData[Customer_ID],AL377,RawData[Quantity])</f>
        <v>5</v>
      </c>
      <c r="AP377" s="21">
        <f>SUMIF(RawData[Customer_ID],AL377,RawData[Revenue])</f>
        <v>78075.11</v>
      </c>
      <c r="AQ377" s="21">
        <f>SUMIF(RawData[Customer_ID],AL377,RawData[Profit])</f>
        <v>16478.91</v>
      </c>
      <c r="AR377" s="16">
        <f t="shared" si="36"/>
        <v>39037.555</v>
      </c>
      <c r="AS377" s="16" t="str">
        <f t="shared" si="37"/>
        <v>Occasional</v>
      </c>
    </row>
    <row r="378" spans="38:45" x14ac:dyDescent="0.25">
      <c r="AL378" s="16" t="s">
        <v>4886</v>
      </c>
      <c r="AM378" s="16" t="s">
        <v>725</v>
      </c>
      <c r="AN378" s="16">
        <f>COUNTIF(RawData[Customer_ID],AL378)</f>
        <v>5</v>
      </c>
      <c r="AO378" s="16">
        <f>SUMIF(RawData[Customer_ID],AL378,RawData[Quantity])</f>
        <v>14</v>
      </c>
      <c r="AP378" s="21">
        <f>SUMIF(RawData[Customer_ID],AL378,RawData[Revenue])</f>
        <v>436133.74</v>
      </c>
      <c r="AQ378" s="21">
        <f>SUMIF(RawData[Customer_ID],AL378,RawData[Profit])</f>
        <v>58221.439999999995</v>
      </c>
      <c r="AR378" s="16">
        <f t="shared" si="36"/>
        <v>87226.747999999992</v>
      </c>
      <c r="AS378" s="16" t="str">
        <f t="shared" si="37"/>
        <v>Loyal</v>
      </c>
    </row>
    <row r="379" spans="38:45" x14ac:dyDescent="0.25">
      <c r="AL379" s="16" t="s">
        <v>1351</v>
      </c>
      <c r="AM379" s="16" t="s">
        <v>726</v>
      </c>
      <c r="AN379" s="16">
        <f>COUNTIF(RawData[Customer_ID],AL379)</f>
        <v>6</v>
      </c>
      <c r="AO379" s="16">
        <f>SUMIF(RawData[Customer_ID],AL379,RawData[Quantity])</f>
        <v>18</v>
      </c>
      <c r="AP379" s="21">
        <f>SUMIF(RawData[Customer_ID],AL379,RawData[Revenue])</f>
        <v>121187.59</v>
      </c>
      <c r="AQ379" s="21">
        <f>SUMIF(RawData[Customer_ID],AL379,RawData[Profit])</f>
        <v>22237.919999999991</v>
      </c>
      <c r="AR379" s="16">
        <f t="shared" si="36"/>
        <v>20197.931666666667</v>
      </c>
      <c r="AS379" s="16" t="str">
        <f t="shared" si="37"/>
        <v>Loyal</v>
      </c>
    </row>
    <row r="380" spans="38:45" x14ac:dyDescent="0.25">
      <c r="AL380" s="16" t="s">
        <v>1324</v>
      </c>
      <c r="AM380" s="16" t="s">
        <v>727</v>
      </c>
      <c r="AN380" s="16">
        <f>COUNTIF(RawData[Customer_ID],AL380)</f>
        <v>2</v>
      </c>
      <c r="AO380" s="16">
        <f>SUMIF(RawData[Customer_ID],AL380,RawData[Quantity])</f>
        <v>7</v>
      </c>
      <c r="AP380" s="21">
        <f>SUMIF(RawData[Customer_ID],AL380,RawData[Revenue])</f>
        <v>268353.40999999997</v>
      </c>
      <c r="AQ380" s="21">
        <f>SUMIF(RawData[Customer_ID],AL380,RawData[Profit])</f>
        <v>33758.909999999982</v>
      </c>
      <c r="AR380" s="16">
        <f t="shared" si="36"/>
        <v>134176.70499999999</v>
      </c>
      <c r="AS380" s="16" t="str">
        <f t="shared" si="37"/>
        <v>Occasional</v>
      </c>
    </row>
    <row r="381" spans="38:45" x14ac:dyDescent="0.25">
      <c r="AL381" s="16" t="s">
        <v>4700</v>
      </c>
      <c r="AM381" s="16" t="s">
        <v>365</v>
      </c>
      <c r="AN381" s="16">
        <f>COUNTIF(RawData[Customer_ID],AL381)</f>
        <v>2</v>
      </c>
      <c r="AO381" s="16">
        <f>SUMIF(RawData[Customer_ID],AL381,RawData[Quantity])</f>
        <v>7</v>
      </c>
      <c r="AP381" s="21">
        <f>SUMIF(RawData[Customer_ID],AL381,RawData[Revenue])</f>
        <v>144740.34999999998</v>
      </c>
      <c r="AQ381" s="21">
        <f>SUMIF(RawData[Customer_ID],AL381,RawData[Profit])</f>
        <v>14864.749999999985</v>
      </c>
      <c r="AR381" s="16">
        <f t="shared" si="36"/>
        <v>72370.174999999988</v>
      </c>
      <c r="AS381" s="16" t="str">
        <f t="shared" si="37"/>
        <v>Occasional</v>
      </c>
    </row>
    <row r="382" spans="38:45" x14ac:dyDescent="0.25">
      <c r="AL382" s="16" t="s">
        <v>4875</v>
      </c>
      <c r="AM382" s="16" t="s">
        <v>728</v>
      </c>
      <c r="AN382" s="16">
        <f>COUNTIF(RawData[Customer_ID],AL382)</f>
        <v>4</v>
      </c>
      <c r="AO382" s="16">
        <f>SUMIF(RawData[Customer_ID],AL382,RawData[Quantity])</f>
        <v>16</v>
      </c>
      <c r="AP382" s="21">
        <f>SUMIF(RawData[Customer_ID],AL382,RawData[Revenue])</f>
        <v>46836</v>
      </c>
      <c r="AQ382" s="21">
        <f>SUMIF(RawData[Customer_ID],AL382,RawData[Profit])</f>
        <v>8889</v>
      </c>
      <c r="AR382" s="16">
        <f t="shared" si="36"/>
        <v>11709</v>
      </c>
      <c r="AS382" s="16" t="str">
        <f t="shared" si="37"/>
        <v>Occasional</v>
      </c>
    </row>
    <row r="383" spans="38:45" x14ac:dyDescent="0.25">
      <c r="AL383" s="16" t="s">
        <v>1561</v>
      </c>
      <c r="AM383" s="16" t="s">
        <v>729</v>
      </c>
      <c r="AN383" s="16">
        <f>COUNTIF(RawData[Customer_ID],AL383)</f>
        <v>4</v>
      </c>
      <c r="AO383" s="16">
        <f>SUMIF(RawData[Customer_ID],AL383,RawData[Quantity])</f>
        <v>14</v>
      </c>
      <c r="AP383" s="21">
        <f>SUMIF(RawData[Customer_ID],AL383,RawData[Revenue])</f>
        <v>40020.799999999996</v>
      </c>
      <c r="AQ383" s="21">
        <f>SUMIF(RawData[Customer_ID],AL383,RawData[Profit])</f>
        <v>10144.32</v>
      </c>
      <c r="AR383" s="16">
        <f t="shared" si="36"/>
        <v>10005.199999999999</v>
      </c>
      <c r="AS383" s="16" t="str">
        <f t="shared" si="37"/>
        <v>Occasional</v>
      </c>
    </row>
    <row r="384" spans="38:45" x14ac:dyDescent="0.25">
      <c r="AL384" s="16" t="s">
        <v>2637</v>
      </c>
      <c r="AM384" s="16" t="s">
        <v>730</v>
      </c>
      <c r="AN384" s="16">
        <f>COUNTIF(RawData[Customer_ID],AL384)</f>
        <v>3</v>
      </c>
      <c r="AO384" s="16">
        <f>SUMIF(RawData[Customer_ID],AL384,RawData[Quantity])</f>
        <v>10</v>
      </c>
      <c r="AP384" s="21">
        <f>SUMIF(RawData[Customer_ID],AL384,RawData[Revenue])</f>
        <v>261869.39999999997</v>
      </c>
      <c r="AQ384" s="21">
        <f>SUMIF(RawData[Customer_ID],AL384,RawData[Profit])</f>
        <v>36420.429999999978</v>
      </c>
      <c r="AR384" s="16">
        <f t="shared" si="36"/>
        <v>87289.799999999988</v>
      </c>
      <c r="AS384" s="16" t="str">
        <f t="shared" si="37"/>
        <v>Occasional</v>
      </c>
    </row>
    <row r="385" spans="38:45" x14ac:dyDescent="0.25">
      <c r="AL385" s="16" t="s">
        <v>2479</v>
      </c>
      <c r="AM385" s="16" t="s">
        <v>731</v>
      </c>
      <c r="AN385" s="16">
        <f>COUNTIF(RawData[Customer_ID],AL385)</f>
        <v>2</v>
      </c>
      <c r="AO385" s="16">
        <f>SUMIF(RawData[Customer_ID],AL385,RawData[Quantity])</f>
        <v>6</v>
      </c>
      <c r="AP385" s="21">
        <f>SUMIF(RawData[Customer_ID],AL385,RawData[Revenue])</f>
        <v>8077.5</v>
      </c>
      <c r="AQ385" s="21">
        <f>SUMIF(RawData[Customer_ID],AL385,RawData[Profit])</f>
        <v>2972.5</v>
      </c>
      <c r="AR385" s="16">
        <f t="shared" si="36"/>
        <v>4038.75</v>
      </c>
      <c r="AS385" s="16" t="str">
        <f t="shared" si="37"/>
        <v>Occasional</v>
      </c>
    </row>
    <row r="386" spans="38:45" x14ac:dyDescent="0.25">
      <c r="AL386" s="16" t="s">
        <v>2245</v>
      </c>
      <c r="AM386" s="16" t="s">
        <v>732</v>
      </c>
      <c r="AN386" s="16">
        <f>COUNTIF(RawData[Customer_ID],AL386)</f>
        <v>3</v>
      </c>
      <c r="AO386" s="16">
        <f>SUMIF(RawData[Customer_ID],AL386,RawData[Quantity])</f>
        <v>7</v>
      </c>
      <c r="AP386" s="21">
        <f>SUMIF(RawData[Customer_ID],AL386,RawData[Revenue])</f>
        <v>19216.169999999998</v>
      </c>
      <c r="AQ386" s="21">
        <f>SUMIF(RawData[Customer_ID],AL386,RawData[Profit])</f>
        <v>3101.9699999999993</v>
      </c>
      <c r="AR386" s="16">
        <f t="shared" si="36"/>
        <v>6405.3899999999994</v>
      </c>
      <c r="AS386" s="16" t="str">
        <f t="shared" si="37"/>
        <v>Occasional</v>
      </c>
    </row>
    <row r="387" spans="38:45" x14ac:dyDescent="0.25">
      <c r="AL387" s="16" t="s">
        <v>1601</v>
      </c>
      <c r="AM387" s="16" t="s">
        <v>733</v>
      </c>
      <c r="AN387" s="16">
        <f>COUNTIF(RawData[Customer_ID],AL387)</f>
        <v>2</v>
      </c>
      <c r="AO387" s="16">
        <f>SUMIF(RawData[Customer_ID],AL387,RawData[Quantity])</f>
        <v>4</v>
      </c>
      <c r="AP387" s="21">
        <f>SUMIF(RawData[Customer_ID],AL387,RawData[Revenue])</f>
        <v>26643</v>
      </c>
      <c r="AQ387" s="21">
        <f>SUMIF(RawData[Customer_ID],AL387,RawData[Profit])</f>
        <v>6595.5</v>
      </c>
      <c r="AR387" s="16">
        <f t="shared" ref="AR387:AR450" si="38">IF(AN387=0,0,AP387/AN387)</f>
        <v>13321.5</v>
      </c>
      <c r="AS387" s="16" t="str">
        <f t="shared" ref="AS387:AS450" si="39">IF(AN387=1,"One-time",IF(AN387&lt;=4,"Occasional",IF(AN387&lt;=8,"Loyal","Review")))</f>
        <v>Occasional</v>
      </c>
    </row>
    <row r="388" spans="38:45" x14ac:dyDescent="0.25">
      <c r="AL388" s="16" t="s">
        <v>2548</v>
      </c>
      <c r="AM388" s="16" t="s">
        <v>734</v>
      </c>
      <c r="AN388" s="16">
        <f>COUNTIF(RawData[Customer_ID],AL388)</f>
        <v>5</v>
      </c>
      <c r="AO388" s="16">
        <f>SUMIF(RawData[Customer_ID],AL388,RawData[Quantity])</f>
        <v>10</v>
      </c>
      <c r="AP388" s="21">
        <f>SUMIF(RawData[Customer_ID],AL388,RawData[Revenue])</f>
        <v>80124.12</v>
      </c>
      <c r="AQ388" s="21">
        <f>SUMIF(RawData[Customer_ID],AL388,RawData[Profit])</f>
        <v>10663.060000000001</v>
      </c>
      <c r="AR388" s="16">
        <f t="shared" si="38"/>
        <v>16024.823999999999</v>
      </c>
      <c r="AS388" s="16" t="str">
        <f t="shared" si="39"/>
        <v>Loyal</v>
      </c>
    </row>
    <row r="389" spans="38:45" x14ac:dyDescent="0.25">
      <c r="AL389" s="16" t="s">
        <v>3333</v>
      </c>
      <c r="AM389" s="16" t="s">
        <v>392</v>
      </c>
      <c r="AN389" s="16">
        <f>COUNTIF(RawData[Customer_ID],AL389)</f>
        <v>5</v>
      </c>
      <c r="AO389" s="16">
        <f>SUMIF(RawData[Customer_ID],AL389,RawData[Quantity])</f>
        <v>12</v>
      </c>
      <c r="AP389" s="21">
        <f>SUMIF(RawData[Customer_ID],AL389,RawData[Revenue])</f>
        <v>163775.67999999999</v>
      </c>
      <c r="AQ389" s="21">
        <f>SUMIF(RawData[Customer_ID],AL389,RawData[Profit])</f>
        <v>23505.579999999991</v>
      </c>
      <c r="AR389" s="16">
        <f t="shared" si="38"/>
        <v>32755.135999999999</v>
      </c>
      <c r="AS389" s="16" t="str">
        <f t="shared" si="39"/>
        <v>Loyal</v>
      </c>
    </row>
    <row r="390" spans="38:45" x14ac:dyDescent="0.25">
      <c r="AL390" s="16" t="s">
        <v>4382</v>
      </c>
      <c r="AM390" s="16" t="s">
        <v>365</v>
      </c>
      <c r="AN390" s="16">
        <f>COUNTIF(RawData[Customer_ID],AL390)</f>
        <v>3</v>
      </c>
      <c r="AO390" s="16">
        <f>SUMIF(RawData[Customer_ID],AL390,RawData[Quantity])</f>
        <v>10</v>
      </c>
      <c r="AP390" s="21">
        <f>SUMIF(RawData[Customer_ID],AL390,RawData[Revenue])</f>
        <v>126571</v>
      </c>
      <c r="AQ390" s="21">
        <f>SUMIF(RawData[Customer_ID],AL390,RawData[Profit])</f>
        <v>16638.579999999991</v>
      </c>
      <c r="AR390" s="16">
        <f t="shared" si="38"/>
        <v>42190.333333333336</v>
      </c>
      <c r="AS390" s="16" t="str">
        <f t="shared" si="39"/>
        <v>Occasional</v>
      </c>
    </row>
    <row r="391" spans="38:45" x14ac:dyDescent="0.25">
      <c r="AL391" s="16" t="s">
        <v>3733</v>
      </c>
      <c r="AM391" s="16" t="s">
        <v>434</v>
      </c>
      <c r="AN391" s="16">
        <f>COUNTIF(RawData[Customer_ID],AL391)</f>
        <v>3</v>
      </c>
      <c r="AO391" s="16">
        <f>SUMIF(RawData[Customer_ID],AL391,RawData[Quantity])</f>
        <v>9</v>
      </c>
      <c r="AP391" s="21">
        <f>SUMIF(RawData[Customer_ID],AL391,RawData[Revenue])</f>
        <v>107067.12</v>
      </c>
      <c r="AQ391" s="21">
        <f>SUMIF(RawData[Customer_ID],AL391,RawData[Profit])</f>
        <v>5321.2799999999934</v>
      </c>
      <c r="AR391" s="16">
        <f t="shared" si="38"/>
        <v>35689.040000000001</v>
      </c>
      <c r="AS391" s="16" t="str">
        <f t="shared" si="39"/>
        <v>Occasional</v>
      </c>
    </row>
    <row r="392" spans="38:45" x14ac:dyDescent="0.25">
      <c r="AL392" s="16" t="s">
        <v>2441</v>
      </c>
      <c r="AM392" s="16" t="s">
        <v>735</v>
      </c>
      <c r="AN392" s="16">
        <f>COUNTIF(RawData[Customer_ID],AL392)</f>
        <v>5</v>
      </c>
      <c r="AO392" s="16">
        <f>SUMIF(RawData[Customer_ID],AL392,RawData[Quantity])</f>
        <v>19</v>
      </c>
      <c r="AP392" s="21">
        <f>SUMIF(RawData[Customer_ID],AL392,RawData[Revenue])</f>
        <v>407711.52</v>
      </c>
      <c r="AQ392" s="21">
        <f>SUMIF(RawData[Customer_ID],AL392,RawData[Profit])</f>
        <v>54758.999999999993</v>
      </c>
      <c r="AR392" s="16">
        <f t="shared" si="38"/>
        <v>81542.304000000004</v>
      </c>
      <c r="AS392" s="16" t="str">
        <f t="shared" si="39"/>
        <v>Loyal</v>
      </c>
    </row>
    <row r="393" spans="38:45" x14ac:dyDescent="0.25">
      <c r="AL393" s="16" t="s">
        <v>2252</v>
      </c>
      <c r="AM393" s="16" t="s">
        <v>736</v>
      </c>
      <c r="AN393" s="16">
        <f>COUNTIF(RawData[Customer_ID],AL393)</f>
        <v>4</v>
      </c>
      <c r="AO393" s="16">
        <f>SUMIF(RawData[Customer_ID],AL393,RawData[Quantity])</f>
        <v>12</v>
      </c>
      <c r="AP393" s="21">
        <f>SUMIF(RawData[Customer_ID],AL393,RawData[Revenue])</f>
        <v>294458.93</v>
      </c>
      <c r="AQ393" s="21">
        <f>SUMIF(RawData[Customer_ID],AL393,RawData[Profit])</f>
        <v>38982.929999999993</v>
      </c>
      <c r="AR393" s="16">
        <f t="shared" si="38"/>
        <v>73614.732499999998</v>
      </c>
      <c r="AS393" s="16" t="str">
        <f t="shared" si="39"/>
        <v>Occasional</v>
      </c>
    </row>
    <row r="394" spans="38:45" x14ac:dyDescent="0.25">
      <c r="AL394" s="16" t="s">
        <v>1322</v>
      </c>
      <c r="AM394" s="16" t="s">
        <v>737</v>
      </c>
      <c r="AN394" s="16">
        <f>COUNTIF(RawData[Customer_ID],AL394)</f>
        <v>5</v>
      </c>
      <c r="AO394" s="16">
        <f>SUMIF(RawData[Customer_ID],AL394,RawData[Quantity])</f>
        <v>16</v>
      </c>
      <c r="AP394" s="21">
        <f>SUMIF(RawData[Customer_ID],AL394,RawData[Revenue])</f>
        <v>400963.36</v>
      </c>
      <c r="AQ394" s="21">
        <f>SUMIF(RawData[Customer_ID],AL394,RawData[Profit])</f>
        <v>43845.7</v>
      </c>
      <c r="AR394" s="16">
        <f t="shared" si="38"/>
        <v>80192.671999999991</v>
      </c>
      <c r="AS394" s="16" t="str">
        <f t="shared" si="39"/>
        <v>Loyal</v>
      </c>
    </row>
    <row r="395" spans="38:45" x14ac:dyDescent="0.25">
      <c r="AL395" s="16" t="s">
        <v>2498</v>
      </c>
      <c r="AM395" s="16" t="s">
        <v>738</v>
      </c>
      <c r="AN395" s="16">
        <f>COUNTIF(RawData[Customer_ID],AL395)</f>
        <v>4</v>
      </c>
      <c r="AO395" s="16">
        <f>SUMIF(RawData[Customer_ID],AL395,RawData[Quantity])</f>
        <v>13</v>
      </c>
      <c r="AP395" s="21">
        <f>SUMIF(RawData[Customer_ID],AL395,RawData[Revenue])</f>
        <v>111946.12</v>
      </c>
      <c r="AQ395" s="21">
        <f>SUMIF(RawData[Customer_ID],AL395,RawData[Profit])</f>
        <v>18649.319999999992</v>
      </c>
      <c r="AR395" s="16">
        <f t="shared" si="38"/>
        <v>27986.53</v>
      </c>
      <c r="AS395" s="16" t="str">
        <f t="shared" si="39"/>
        <v>Occasional</v>
      </c>
    </row>
    <row r="396" spans="38:45" x14ac:dyDescent="0.25">
      <c r="AL396" s="16" t="s">
        <v>2790</v>
      </c>
      <c r="AM396" s="16" t="s">
        <v>739</v>
      </c>
      <c r="AN396" s="16">
        <f>COUNTIF(RawData[Customer_ID],AL396)</f>
        <v>5</v>
      </c>
      <c r="AO396" s="16">
        <f>SUMIF(RawData[Customer_ID],AL396,RawData[Quantity])</f>
        <v>20</v>
      </c>
      <c r="AP396" s="21">
        <f>SUMIF(RawData[Customer_ID],AL396,RawData[Revenue])</f>
        <v>190940.97999999998</v>
      </c>
      <c r="AQ396" s="21">
        <f>SUMIF(RawData[Customer_ID],AL396,RawData[Profit])</f>
        <v>27582.299999999996</v>
      </c>
      <c r="AR396" s="16">
        <f t="shared" si="38"/>
        <v>38188.195999999996</v>
      </c>
      <c r="AS396" s="16" t="str">
        <f t="shared" si="39"/>
        <v>Loyal</v>
      </c>
    </row>
    <row r="397" spans="38:45" x14ac:dyDescent="0.25">
      <c r="AL397" s="16" t="s">
        <v>2957</v>
      </c>
      <c r="AM397" s="16" t="s">
        <v>740</v>
      </c>
      <c r="AN397" s="16">
        <f>COUNTIF(RawData[Customer_ID],AL397)</f>
        <v>1</v>
      </c>
      <c r="AO397" s="16">
        <f>SUMIF(RawData[Customer_ID],AL397,RawData[Quantity])</f>
        <v>3</v>
      </c>
      <c r="AP397" s="21">
        <f>SUMIF(RawData[Customer_ID],AL397,RawData[Revenue])</f>
        <v>99882</v>
      </c>
      <c r="AQ397" s="21">
        <f>SUMIF(RawData[Customer_ID],AL397,RawData[Profit])</f>
        <v>13962</v>
      </c>
      <c r="AR397" s="16">
        <f t="shared" si="38"/>
        <v>99882</v>
      </c>
      <c r="AS397" s="16" t="str">
        <f t="shared" si="39"/>
        <v>One-time</v>
      </c>
    </row>
    <row r="398" spans="38:45" x14ac:dyDescent="0.25">
      <c r="AL398" s="16" t="s">
        <v>3338</v>
      </c>
      <c r="AM398" s="16" t="s">
        <v>741</v>
      </c>
      <c r="AN398" s="16">
        <f>COUNTIF(RawData[Customer_ID],AL398)</f>
        <v>2</v>
      </c>
      <c r="AO398" s="16">
        <f>SUMIF(RawData[Customer_ID],AL398,RawData[Quantity])</f>
        <v>9</v>
      </c>
      <c r="AP398" s="21">
        <f>SUMIF(RawData[Customer_ID],AL398,RawData[Revenue])</f>
        <v>44010.400000000001</v>
      </c>
      <c r="AQ398" s="21">
        <f>SUMIF(RawData[Customer_ID],AL398,RawData[Profit])</f>
        <v>10536.4</v>
      </c>
      <c r="AR398" s="16">
        <f t="shared" si="38"/>
        <v>22005.200000000001</v>
      </c>
      <c r="AS398" s="16" t="str">
        <f t="shared" si="39"/>
        <v>Occasional</v>
      </c>
    </row>
    <row r="399" spans="38:45" x14ac:dyDescent="0.25">
      <c r="AL399" s="16" t="s">
        <v>3640</v>
      </c>
      <c r="AM399" s="16" t="s">
        <v>742</v>
      </c>
      <c r="AN399" s="16">
        <f>COUNTIF(RawData[Customer_ID],AL399)</f>
        <v>4</v>
      </c>
      <c r="AO399" s="16">
        <f>SUMIF(RawData[Customer_ID],AL399,RawData[Quantity])</f>
        <v>15</v>
      </c>
      <c r="AP399" s="21">
        <f>SUMIF(RawData[Customer_ID],AL399,RawData[Revenue])</f>
        <v>232630.45</v>
      </c>
      <c r="AQ399" s="21">
        <f>SUMIF(RawData[Customer_ID],AL399,RawData[Profit])</f>
        <v>37378.850000000006</v>
      </c>
      <c r="AR399" s="16">
        <f t="shared" si="38"/>
        <v>58157.612500000003</v>
      </c>
      <c r="AS399" s="16" t="str">
        <f t="shared" si="39"/>
        <v>Occasional</v>
      </c>
    </row>
    <row r="400" spans="38:45" x14ac:dyDescent="0.25">
      <c r="AL400" s="16" t="s">
        <v>2778</v>
      </c>
      <c r="AM400" s="16" t="s">
        <v>743</v>
      </c>
      <c r="AN400" s="16">
        <f>COUNTIF(RawData[Customer_ID],AL400)</f>
        <v>3</v>
      </c>
      <c r="AO400" s="16">
        <f>SUMIF(RawData[Customer_ID],AL400,RawData[Quantity])</f>
        <v>10</v>
      </c>
      <c r="AP400" s="21">
        <f>SUMIF(RawData[Customer_ID],AL400,RawData[Revenue])</f>
        <v>32385.639999999996</v>
      </c>
      <c r="AQ400" s="21">
        <f>SUMIF(RawData[Customer_ID],AL400,RawData[Profit])</f>
        <v>5685.0399999999963</v>
      </c>
      <c r="AR400" s="16">
        <f t="shared" si="38"/>
        <v>10795.213333333331</v>
      </c>
      <c r="AS400" s="16" t="str">
        <f t="shared" si="39"/>
        <v>Occasional</v>
      </c>
    </row>
    <row r="401" spans="38:45" x14ac:dyDescent="0.25">
      <c r="AL401" s="16" t="s">
        <v>1427</v>
      </c>
      <c r="AM401" s="16" t="s">
        <v>744</v>
      </c>
      <c r="AN401" s="16">
        <f>COUNTIF(RawData[Customer_ID],AL401)</f>
        <v>3</v>
      </c>
      <c r="AO401" s="16">
        <f>SUMIF(RawData[Customer_ID],AL401,RawData[Quantity])</f>
        <v>11</v>
      </c>
      <c r="AP401" s="21">
        <f>SUMIF(RawData[Customer_ID],AL401,RawData[Revenue])</f>
        <v>234483.78</v>
      </c>
      <c r="AQ401" s="21">
        <f>SUMIF(RawData[Customer_ID],AL401,RawData[Profit])</f>
        <v>9909.7000000000044</v>
      </c>
      <c r="AR401" s="16">
        <f t="shared" si="38"/>
        <v>78161.259999999995</v>
      </c>
      <c r="AS401" s="16" t="str">
        <f t="shared" si="39"/>
        <v>Occasional</v>
      </c>
    </row>
    <row r="402" spans="38:45" x14ac:dyDescent="0.25">
      <c r="AL402" s="16" t="s">
        <v>3089</v>
      </c>
      <c r="AM402" s="16" t="s">
        <v>745</v>
      </c>
      <c r="AN402" s="16">
        <f>COUNTIF(RawData[Customer_ID],AL402)</f>
        <v>2</v>
      </c>
      <c r="AO402" s="16">
        <f>SUMIF(RawData[Customer_ID],AL402,RawData[Quantity])</f>
        <v>3</v>
      </c>
      <c r="AP402" s="21">
        <f>SUMIF(RawData[Customer_ID],AL402,RawData[Revenue])</f>
        <v>344.4</v>
      </c>
      <c r="AQ402" s="21">
        <f>SUMIF(RawData[Customer_ID],AL402,RawData[Profit])</f>
        <v>99.6</v>
      </c>
      <c r="AR402" s="16">
        <f t="shared" si="38"/>
        <v>172.2</v>
      </c>
      <c r="AS402" s="16" t="str">
        <f t="shared" si="39"/>
        <v>Occasional</v>
      </c>
    </row>
    <row r="403" spans="38:45" x14ac:dyDescent="0.25">
      <c r="AL403" s="16" t="s">
        <v>1297</v>
      </c>
      <c r="AM403" s="16" t="s">
        <v>746</v>
      </c>
      <c r="AN403" s="16">
        <f>COUNTIF(RawData[Customer_ID],AL403)</f>
        <v>3</v>
      </c>
      <c r="AO403" s="16">
        <f>SUMIF(RawData[Customer_ID],AL403,RawData[Quantity])</f>
        <v>6</v>
      </c>
      <c r="AP403" s="21">
        <f>SUMIF(RawData[Customer_ID],AL403,RawData[Revenue])</f>
        <v>66789.649999999994</v>
      </c>
      <c r="AQ403" s="21">
        <f>SUMIF(RawData[Customer_ID],AL403,RawData[Profit])</f>
        <v>6613.6899999999987</v>
      </c>
      <c r="AR403" s="16">
        <f t="shared" si="38"/>
        <v>22263.216666666664</v>
      </c>
      <c r="AS403" s="16" t="str">
        <f t="shared" si="39"/>
        <v>Occasional</v>
      </c>
    </row>
    <row r="404" spans="38:45" x14ac:dyDescent="0.25">
      <c r="AL404" s="16" t="s">
        <v>4152</v>
      </c>
      <c r="AM404" s="16" t="s">
        <v>747</v>
      </c>
      <c r="AN404" s="16">
        <f>COUNTIF(RawData[Customer_ID],AL404)</f>
        <v>4</v>
      </c>
      <c r="AO404" s="16">
        <f>SUMIF(RawData[Customer_ID],AL404,RawData[Quantity])</f>
        <v>14</v>
      </c>
      <c r="AP404" s="21">
        <f>SUMIF(RawData[Customer_ID],AL404,RawData[Revenue])</f>
        <v>426774.63</v>
      </c>
      <c r="AQ404" s="21">
        <f>SUMIF(RawData[Customer_ID],AL404,RawData[Profit])</f>
        <v>27647.780000000002</v>
      </c>
      <c r="AR404" s="16">
        <f t="shared" si="38"/>
        <v>106693.6575</v>
      </c>
      <c r="AS404" s="16" t="str">
        <f t="shared" si="39"/>
        <v>Occasional</v>
      </c>
    </row>
    <row r="405" spans="38:45" x14ac:dyDescent="0.25">
      <c r="AL405" s="16" t="s">
        <v>2559</v>
      </c>
      <c r="AM405" s="16" t="s">
        <v>748</v>
      </c>
      <c r="AN405" s="16">
        <f>COUNTIF(RawData[Customer_ID],AL405)</f>
        <v>3</v>
      </c>
      <c r="AO405" s="16">
        <f>SUMIF(RawData[Customer_ID],AL405,RawData[Quantity])</f>
        <v>10</v>
      </c>
      <c r="AP405" s="21">
        <f>SUMIF(RawData[Customer_ID],AL405,RawData[Revenue])</f>
        <v>323938.46000000002</v>
      </c>
      <c r="AQ405" s="21">
        <f>SUMIF(RawData[Customer_ID],AL405,RawData[Profit])</f>
        <v>51512.059999999976</v>
      </c>
      <c r="AR405" s="16">
        <f t="shared" si="38"/>
        <v>107979.48666666668</v>
      </c>
      <c r="AS405" s="16" t="str">
        <f t="shared" si="39"/>
        <v>Occasional</v>
      </c>
    </row>
    <row r="406" spans="38:45" x14ac:dyDescent="0.25">
      <c r="AL406" s="16" t="s">
        <v>3286</v>
      </c>
      <c r="AM406" s="16" t="s">
        <v>749</v>
      </c>
      <c r="AN406" s="16">
        <f>COUNTIF(RawData[Customer_ID],AL406)</f>
        <v>1</v>
      </c>
      <c r="AO406" s="16">
        <f>SUMIF(RawData[Customer_ID],AL406,RawData[Quantity])</f>
        <v>2</v>
      </c>
      <c r="AP406" s="21">
        <f>SUMIF(RawData[Customer_ID],AL406,RawData[Revenue])</f>
        <v>5959.4</v>
      </c>
      <c r="AQ406" s="21">
        <f>SUMIF(RawData[Customer_ID],AL406,RawData[Profit])</f>
        <v>1292.3999999999996</v>
      </c>
      <c r="AR406" s="16">
        <f t="shared" si="38"/>
        <v>5959.4</v>
      </c>
      <c r="AS406" s="16" t="str">
        <f t="shared" si="39"/>
        <v>One-time</v>
      </c>
    </row>
    <row r="407" spans="38:45" x14ac:dyDescent="0.25">
      <c r="AL407" s="16" t="s">
        <v>2379</v>
      </c>
      <c r="AM407" s="16" t="s">
        <v>750</v>
      </c>
      <c r="AN407" s="16">
        <f>COUNTIF(RawData[Customer_ID],AL407)</f>
        <v>5</v>
      </c>
      <c r="AO407" s="16">
        <f>SUMIF(RawData[Customer_ID],AL407,RawData[Quantity])</f>
        <v>16</v>
      </c>
      <c r="AP407" s="21">
        <f>SUMIF(RawData[Customer_ID],AL407,RawData[Revenue])</f>
        <v>56390.14</v>
      </c>
      <c r="AQ407" s="21">
        <f>SUMIF(RawData[Customer_ID],AL407,RawData[Profit])</f>
        <v>8951.1399999999958</v>
      </c>
      <c r="AR407" s="16">
        <f t="shared" si="38"/>
        <v>11278.028</v>
      </c>
      <c r="AS407" s="16" t="str">
        <f t="shared" si="39"/>
        <v>Loyal</v>
      </c>
    </row>
    <row r="408" spans="38:45" x14ac:dyDescent="0.25">
      <c r="AL408" s="16" t="s">
        <v>2667</v>
      </c>
      <c r="AM408" s="16" t="s">
        <v>751</v>
      </c>
      <c r="AN408" s="16">
        <f>COUNTIF(RawData[Customer_ID],AL408)</f>
        <v>3</v>
      </c>
      <c r="AO408" s="16">
        <f>SUMIF(RawData[Customer_ID],AL408,RawData[Quantity])</f>
        <v>8</v>
      </c>
      <c r="AP408" s="21">
        <f>SUMIF(RawData[Customer_ID],AL408,RawData[Revenue])</f>
        <v>223660.68</v>
      </c>
      <c r="AQ408" s="21">
        <f>SUMIF(RawData[Customer_ID],AL408,RawData[Profit])</f>
        <v>32148.079999999987</v>
      </c>
      <c r="AR408" s="16">
        <f t="shared" si="38"/>
        <v>74553.56</v>
      </c>
      <c r="AS408" s="16" t="str">
        <f t="shared" si="39"/>
        <v>Occasional</v>
      </c>
    </row>
    <row r="409" spans="38:45" x14ac:dyDescent="0.25">
      <c r="AL409" s="16" t="s">
        <v>5166</v>
      </c>
      <c r="AM409" s="16" t="s">
        <v>752</v>
      </c>
      <c r="AN409" s="16">
        <f>COUNTIF(RawData[Customer_ID],AL409)</f>
        <v>0</v>
      </c>
      <c r="AO409" s="16">
        <f>SUMIF(RawData[Customer_ID],AL409,RawData[Quantity])</f>
        <v>0</v>
      </c>
      <c r="AP409" s="21">
        <f>SUMIF(RawData[Customer_ID],AL409,RawData[Revenue])</f>
        <v>0</v>
      </c>
      <c r="AQ409" s="21">
        <f>SUMIF(RawData[Customer_ID],AL409,RawData[Profit])</f>
        <v>0</v>
      </c>
      <c r="AR409" s="16">
        <f t="shared" si="38"/>
        <v>0</v>
      </c>
      <c r="AS409" s="16" t="str">
        <f t="shared" si="39"/>
        <v>Occasional</v>
      </c>
    </row>
    <row r="410" spans="38:45" x14ac:dyDescent="0.25">
      <c r="AL410" s="16" t="s">
        <v>1995</v>
      </c>
      <c r="AM410" s="16" t="s">
        <v>753</v>
      </c>
      <c r="AN410" s="16">
        <f>COUNTIF(RawData[Customer_ID],AL410)</f>
        <v>4</v>
      </c>
      <c r="AO410" s="16">
        <f>SUMIF(RawData[Customer_ID],AL410,RawData[Quantity])</f>
        <v>13</v>
      </c>
      <c r="AP410" s="21">
        <f>SUMIF(RawData[Customer_ID],AL410,RawData[Revenue])</f>
        <v>267840.7</v>
      </c>
      <c r="AQ410" s="21">
        <f>SUMIF(RawData[Customer_ID],AL410,RawData[Profit])</f>
        <v>39605.800000000017</v>
      </c>
      <c r="AR410" s="16">
        <f t="shared" si="38"/>
        <v>66960.175000000003</v>
      </c>
      <c r="AS410" s="16" t="str">
        <f t="shared" si="39"/>
        <v>Occasional</v>
      </c>
    </row>
    <row r="411" spans="38:45" x14ac:dyDescent="0.25">
      <c r="AL411" s="16" t="s">
        <v>1392</v>
      </c>
      <c r="AM411" s="16" t="s">
        <v>754</v>
      </c>
      <c r="AN411" s="16">
        <f>COUNTIF(RawData[Customer_ID],AL411)</f>
        <v>5</v>
      </c>
      <c r="AO411" s="16">
        <f>SUMIF(RawData[Customer_ID],AL411,RawData[Quantity])</f>
        <v>21</v>
      </c>
      <c r="AP411" s="21">
        <f>SUMIF(RawData[Customer_ID],AL411,RawData[Revenue])</f>
        <v>396226.88</v>
      </c>
      <c r="AQ411" s="21">
        <f>SUMIF(RawData[Customer_ID],AL411,RawData[Profit])</f>
        <v>22807.380000000008</v>
      </c>
      <c r="AR411" s="16">
        <f t="shared" si="38"/>
        <v>79245.376000000004</v>
      </c>
      <c r="AS411" s="16" t="str">
        <f t="shared" si="39"/>
        <v>Loyal</v>
      </c>
    </row>
    <row r="412" spans="38:45" x14ac:dyDescent="0.25">
      <c r="AL412" s="16" t="s">
        <v>1688</v>
      </c>
      <c r="AM412" s="16" t="s">
        <v>755</v>
      </c>
      <c r="AN412" s="16">
        <f>COUNTIF(RawData[Customer_ID],AL412)</f>
        <v>3</v>
      </c>
      <c r="AO412" s="16">
        <f>SUMIF(RawData[Customer_ID],AL412,RawData[Quantity])</f>
        <v>6</v>
      </c>
      <c r="AP412" s="21">
        <f>SUMIF(RawData[Customer_ID],AL412,RawData[Revenue])</f>
        <v>97344.41</v>
      </c>
      <c r="AQ412" s="21">
        <f>SUMIF(RawData[Customer_ID],AL412,RawData[Profit])</f>
        <v>8414.5</v>
      </c>
      <c r="AR412" s="16">
        <f t="shared" si="38"/>
        <v>32448.136666666669</v>
      </c>
      <c r="AS412" s="16" t="str">
        <f t="shared" si="39"/>
        <v>Occasional</v>
      </c>
    </row>
    <row r="413" spans="38:45" x14ac:dyDescent="0.25">
      <c r="AL413" s="16" t="s">
        <v>1955</v>
      </c>
      <c r="AM413" s="16" t="s">
        <v>756</v>
      </c>
      <c r="AN413" s="16">
        <f>COUNTIF(RawData[Customer_ID],AL413)</f>
        <v>3</v>
      </c>
      <c r="AO413" s="16">
        <f>SUMIF(RawData[Customer_ID],AL413,RawData[Quantity])</f>
        <v>12</v>
      </c>
      <c r="AP413" s="21">
        <f>SUMIF(RawData[Customer_ID],AL413,RawData[Revenue])</f>
        <v>212543.9</v>
      </c>
      <c r="AQ413" s="21">
        <f>SUMIF(RawData[Customer_ID],AL413,RawData[Profit])</f>
        <v>15401.559999999979</v>
      </c>
      <c r="AR413" s="16">
        <f t="shared" si="38"/>
        <v>70847.96666666666</v>
      </c>
      <c r="AS413" s="16" t="str">
        <f t="shared" si="39"/>
        <v>Occasional</v>
      </c>
    </row>
    <row r="414" spans="38:45" x14ac:dyDescent="0.25">
      <c r="AL414" s="16" t="s">
        <v>5167</v>
      </c>
      <c r="AM414" s="16" t="s">
        <v>757</v>
      </c>
      <c r="AN414" s="16">
        <f>COUNTIF(RawData[Customer_ID],AL414)</f>
        <v>0</v>
      </c>
      <c r="AO414" s="16">
        <f>SUMIF(RawData[Customer_ID],AL414,RawData[Quantity])</f>
        <v>0</v>
      </c>
      <c r="AP414" s="21">
        <f>SUMIF(RawData[Customer_ID],AL414,RawData[Revenue])</f>
        <v>0</v>
      </c>
      <c r="AQ414" s="21">
        <f>SUMIF(RawData[Customer_ID],AL414,RawData[Profit])</f>
        <v>0</v>
      </c>
      <c r="AR414" s="16">
        <f t="shared" si="38"/>
        <v>0</v>
      </c>
      <c r="AS414" s="16" t="str">
        <f t="shared" si="39"/>
        <v>Occasional</v>
      </c>
    </row>
    <row r="415" spans="38:45" x14ac:dyDescent="0.25">
      <c r="AL415" s="16" t="s">
        <v>2859</v>
      </c>
      <c r="AM415" s="16" t="s">
        <v>758</v>
      </c>
      <c r="AN415" s="16">
        <f>COUNTIF(RawData[Customer_ID],AL415)</f>
        <v>4</v>
      </c>
      <c r="AO415" s="16">
        <f>SUMIF(RawData[Customer_ID],AL415,RawData[Quantity])</f>
        <v>11</v>
      </c>
      <c r="AP415" s="21">
        <f>SUMIF(RawData[Customer_ID],AL415,RawData[Revenue])</f>
        <v>62818.66</v>
      </c>
      <c r="AQ415" s="21">
        <f>SUMIF(RawData[Customer_ID],AL415,RawData[Profit])</f>
        <v>8818.260000000002</v>
      </c>
      <c r="AR415" s="16">
        <f t="shared" si="38"/>
        <v>15704.665000000001</v>
      </c>
      <c r="AS415" s="16" t="str">
        <f t="shared" si="39"/>
        <v>Occasional</v>
      </c>
    </row>
    <row r="416" spans="38:45" x14ac:dyDescent="0.25">
      <c r="AL416" s="16" t="s">
        <v>4091</v>
      </c>
      <c r="AM416" s="16" t="s">
        <v>759</v>
      </c>
      <c r="AN416" s="16">
        <f>COUNTIF(RawData[Customer_ID],AL416)</f>
        <v>4</v>
      </c>
      <c r="AO416" s="16">
        <f>SUMIF(RawData[Customer_ID],AL416,RawData[Quantity])</f>
        <v>8</v>
      </c>
      <c r="AP416" s="21">
        <f>SUMIF(RawData[Customer_ID],AL416,RawData[Revenue])</f>
        <v>69209.36</v>
      </c>
      <c r="AQ416" s="21">
        <f>SUMIF(RawData[Customer_ID],AL416,RawData[Profit])</f>
        <v>10915.349999999999</v>
      </c>
      <c r="AR416" s="16">
        <f t="shared" si="38"/>
        <v>17302.34</v>
      </c>
      <c r="AS416" s="16" t="str">
        <f t="shared" si="39"/>
        <v>Occasional</v>
      </c>
    </row>
    <row r="417" spans="38:45" x14ac:dyDescent="0.25">
      <c r="AL417" s="16" t="s">
        <v>3757</v>
      </c>
      <c r="AM417" s="16" t="s">
        <v>760</v>
      </c>
      <c r="AN417" s="16">
        <f>COUNTIF(RawData[Customer_ID],AL417)</f>
        <v>1</v>
      </c>
      <c r="AO417" s="16">
        <f>SUMIF(RawData[Customer_ID],AL417,RawData[Quantity])</f>
        <v>1</v>
      </c>
      <c r="AP417" s="21">
        <f>SUMIF(RawData[Customer_ID],AL417,RawData[Revenue])</f>
        <v>572</v>
      </c>
      <c r="AQ417" s="21">
        <f>SUMIF(RawData[Customer_ID],AL417,RawData[Profit])</f>
        <v>104</v>
      </c>
      <c r="AR417" s="16">
        <f t="shared" si="38"/>
        <v>572</v>
      </c>
      <c r="AS417" s="16" t="str">
        <f t="shared" si="39"/>
        <v>One-time</v>
      </c>
    </row>
    <row r="418" spans="38:45" x14ac:dyDescent="0.25">
      <c r="AL418" s="16" t="s">
        <v>2145</v>
      </c>
      <c r="AM418" s="16" t="s">
        <v>761</v>
      </c>
      <c r="AN418" s="16">
        <f>COUNTIF(RawData[Customer_ID],AL418)</f>
        <v>8</v>
      </c>
      <c r="AO418" s="16">
        <f>SUMIF(RawData[Customer_ID],AL418,RawData[Quantity])</f>
        <v>22</v>
      </c>
      <c r="AP418" s="21">
        <f>SUMIF(RawData[Customer_ID],AL418,RawData[Revenue])</f>
        <v>638645.89</v>
      </c>
      <c r="AQ418" s="21">
        <f>SUMIF(RawData[Customer_ID],AL418,RawData[Profit])</f>
        <v>65781.599999999977</v>
      </c>
      <c r="AR418" s="16">
        <f t="shared" si="38"/>
        <v>79830.736250000002</v>
      </c>
      <c r="AS418" s="16" t="str">
        <f t="shared" si="39"/>
        <v>Loyal</v>
      </c>
    </row>
    <row r="419" spans="38:45" x14ac:dyDescent="0.25">
      <c r="AL419" s="16" t="s">
        <v>1299</v>
      </c>
      <c r="AM419" s="16" t="s">
        <v>762</v>
      </c>
      <c r="AN419" s="16">
        <f>COUNTIF(RawData[Customer_ID],AL419)</f>
        <v>2</v>
      </c>
      <c r="AO419" s="16">
        <f>SUMIF(RawData[Customer_ID],AL419,RawData[Quantity])</f>
        <v>8</v>
      </c>
      <c r="AP419" s="21">
        <f>SUMIF(RawData[Customer_ID],AL419,RawData[Revenue])</f>
        <v>88417.549999999988</v>
      </c>
      <c r="AQ419" s="21">
        <f>SUMIF(RawData[Customer_ID],AL419,RawData[Profit])</f>
        <v>12463.789999999997</v>
      </c>
      <c r="AR419" s="16">
        <f t="shared" si="38"/>
        <v>44208.774999999994</v>
      </c>
      <c r="AS419" s="16" t="str">
        <f t="shared" si="39"/>
        <v>Occasional</v>
      </c>
    </row>
    <row r="420" spans="38:45" x14ac:dyDescent="0.25">
      <c r="AL420" s="16" t="s">
        <v>3050</v>
      </c>
      <c r="AM420" s="16" t="s">
        <v>763</v>
      </c>
      <c r="AN420" s="16">
        <f>COUNTIF(RawData[Customer_ID],AL420)</f>
        <v>2</v>
      </c>
      <c r="AO420" s="16">
        <f>SUMIF(RawData[Customer_ID],AL420,RawData[Quantity])</f>
        <v>6</v>
      </c>
      <c r="AP420" s="21">
        <f>SUMIF(RawData[Customer_ID],AL420,RawData[Revenue])</f>
        <v>259093.3</v>
      </c>
      <c r="AQ420" s="21">
        <f>SUMIF(RawData[Customer_ID],AL420,RawData[Profit])</f>
        <v>33129.399999999994</v>
      </c>
      <c r="AR420" s="16">
        <f t="shared" si="38"/>
        <v>129546.65</v>
      </c>
      <c r="AS420" s="16" t="str">
        <f t="shared" si="39"/>
        <v>Occasional</v>
      </c>
    </row>
    <row r="421" spans="38:45" x14ac:dyDescent="0.25">
      <c r="AL421" s="16" t="s">
        <v>2861</v>
      </c>
      <c r="AM421" s="16" t="s">
        <v>764</v>
      </c>
      <c r="AN421" s="16">
        <f>COUNTIF(RawData[Customer_ID],AL421)</f>
        <v>1</v>
      </c>
      <c r="AO421" s="16">
        <f>SUMIF(RawData[Customer_ID],AL421,RawData[Quantity])</f>
        <v>2</v>
      </c>
      <c r="AP421" s="21">
        <f>SUMIF(RawData[Customer_ID],AL421,RawData[Revenue])</f>
        <v>23038.079999999998</v>
      </c>
      <c r="AQ421" s="21">
        <f>SUMIF(RawData[Customer_ID],AL421,RawData[Profit])</f>
        <v>5039.5799999999981</v>
      </c>
      <c r="AR421" s="16">
        <f t="shared" si="38"/>
        <v>23038.079999999998</v>
      </c>
      <c r="AS421" s="16" t="str">
        <f t="shared" si="39"/>
        <v>One-time</v>
      </c>
    </row>
    <row r="422" spans="38:45" x14ac:dyDescent="0.25">
      <c r="AL422" s="16" t="s">
        <v>1925</v>
      </c>
      <c r="AM422" s="16" t="s">
        <v>765</v>
      </c>
      <c r="AN422" s="16">
        <f>COUNTIF(RawData[Customer_ID],AL422)</f>
        <v>5</v>
      </c>
      <c r="AO422" s="16">
        <f>SUMIF(RawData[Customer_ID],AL422,RawData[Quantity])</f>
        <v>11</v>
      </c>
      <c r="AP422" s="21">
        <f>SUMIF(RawData[Customer_ID],AL422,RawData[Revenue])</f>
        <v>276593.80000000005</v>
      </c>
      <c r="AQ422" s="21">
        <f>SUMIF(RawData[Customer_ID],AL422,RawData[Profit])</f>
        <v>31925.600000000009</v>
      </c>
      <c r="AR422" s="16">
        <f t="shared" si="38"/>
        <v>55318.760000000009</v>
      </c>
      <c r="AS422" s="16" t="str">
        <f t="shared" si="39"/>
        <v>Loyal</v>
      </c>
    </row>
    <row r="423" spans="38:45" x14ac:dyDescent="0.25">
      <c r="AL423" s="16" t="s">
        <v>2615</v>
      </c>
      <c r="AM423" s="16" t="s">
        <v>766</v>
      </c>
      <c r="AN423" s="16">
        <f>COUNTIF(RawData[Customer_ID],AL423)</f>
        <v>4</v>
      </c>
      <c r="AO423" s="16">
        <f>SUMIF(RawData[Customer_ID],AL423,RawData[Quantity])</f>
        <v>10</v>
      </c>
      <c r="AP423" s="21">
        <f>SUMIF(RawData[Customer_ID],AL423,RawData[Revenue])</f>
        <v>102503.73000000001</v>
      </c>
      <c r="AQ423" s="21">
        <f>SUMIF(RawData[Customer_ID],AL423,RawData[Profit])</f>
        <v>13939.179999999993</v>
      </c>
      <c r="AR423" s="16">
        <f t="shared" si="38"/>
        <v>25625.932500000003</v>
      </c>
      <c r="AS423" s="16" t="str">
        <f t="shared" si="39"/>
        <v>Occasional</v>
      </c>
    </row>
    <row r="424" spans="38:45" x14ac:dyDescent="0.25">
      <c r="AL424" s="16" t="s">
        <v>1809</v>
      </c>
      <c r="AM424" s="16" t="s">
        <v>767</v>
      </c>
      <c r="AN424" s="16">
        <f>COUNTIF(RawData[Customer_ID],AL424)</f>
        <v>3</v>
      </c>
      <c r="AO424" s="16">
        <f>SUMIF(RawData[Customer_ID],AL424,RawData[Quantity])</f>
        <v>11</v>
      </c>
      <c r="AP424" s="21">
        <f>SUMIF(RawData[Customer_ID],AL424,RawData[Revenue])</f>
        <v>104043.04000000001</v>
      </c>
      <c r="AQ424" s="21">
        <f>SUMIF(RawData[Customer_ID],AL424,RawData[Profit])</f>
        <v>22669.64</v>
      </c>
      <c r="AR424" s="16">
        <f t="shared" si="38"/>
        <v>34681.013333333336</v>
      </c>
      <c r="AS424" s="16" t="str">
        <f t="shared" si="39"/>
        <v>Occasional</v>
      </c>
    </row>
    <row r="425" spans="38:45" x14ac:dyDescent="0.25">
      <c r="AL425" s="16" t="s">
        <v>4051</v>
      </c>
      <c r="AM425" s="16" t="s">
        <v>768</v>
      </c>
      <c r="AN425" s="16">
        <f>COUNTIF(RawData[Customer_ID],AL425)</f>
        <v>2</v>
      </c>
      <c r="AO425" s="16">
        <f>SUMIF(RawData[Customer_ID],AL425,RawData[Quantity])</f>
        <v>7</v>
      </c>
      <c r="AP425" s="21">
        <f>SUMIF(RawData[Customer_ID],AL425,RawData[Revenue])</f>
        <v>198245.91</v>
      </c>
      <c r="AQ425" s="21">
        <f>SUMIF(RawData[Customer_ID],AL425,RawData[Profit])</f>
        <v>31091.429999999993</v>
      </c>
      <c r="AR425" s="16">
        <f t="shared" si="38"/>
        <v>99122.955000000002</v>
      </c>
      <c r="AS425" s="16" t="str">
        <f t="shared" si="39"/>
        <v>Occasional</v>
      </c>
    </row>
    <row r="426" spans="38:45" x14ac:dyDescent="0.25">
      <c r="AL426" s="16" t="s">
        <v>3201</v>
      </c>
      <c r="AM426" s="16" t="s">
        <v>769</v>
      </c>
      <c r="AN426" s="16">
        <f>COUNTIF(RawData[Customer_ID],AL426)</f>
        <v>6</v>
      </c>
      <c r="AO426" s="16">
        <f>SUMIF(RawData[Customer_ID],AL426,RawData[Quantity])</f>
        <v>17</v>
      </c>
      <c r="AP426" s="21">
        <f>SUMIF(RawData[Customer_ID],AL426,RawData[Revenue])</f>
        <v>112920.41</v>
      </c>
      <c r="AQ426" s="21">
        <f>SUMIF(RawData[Customer_ID],AL426,RawData[Profit])</f>
        <v>6833.0499999999993</v>
      </c>
      <c r="AR426" s="16">
        <f t="shared" si="38"/>
        <v>18820.068333333333</v>
      </c>
      <c r="AS426" s="16" t="str">
        <f t="shared" si="39"/>
        <v>Loyal</v>
      </c>
    </row>
    <row r="427" spans="38:45" x14ac:dyDescent="0.25">
      <c r="AL427" s="16" t="s">
        <v>2820</v>
      </c>
      <c r="AM427" s="16" t="s">
        <v>770</v>
      </c>
      <c r="AN427" s="16">
        <f>COUNTIF(RawData[Customer_ID],AL427)</f>
        <v>3</v>
      </c>
      <c r="AO427" s="16">
        <f>SUMIF(RawData[Customer_ID],AL427,RawData[Quantity])</f>
        <v>6</v>
      </c>
      <c r="AP427" s="21">
        <f>SUMIF(RawData[Customer_ID],AL427,RawData[Revenue])</f>
        <v>105509.5</v>
      </c>
      <c r="AQ427" s="21">
        <f>SUMIF(RawData[Customer_ID],AL427,RawData[Profit])</f>
        <v>17144</v>
      </c>
      <c r="AR427" s="16">
        <f t="shared" si="38"/>
        <v>35169.833333333336</v>
      </c>
      <c r="AS427" s="16" t="str">
        <f t="shared" si="39"/>
        <v>Occasional</v>
      </c>
    </row>
    <row r="428" spans="38:45" x14ac:dyDescent="0.25">
      <c r="AL428" s="16" t="s">
        <v>1281</v>
      </c>
      <c r="AM428" s="16" t="s">
        <v>771</v>
      </c>
      <c r="AN428" s="16">
        <f>COUNTIF(RawData[Customer_ID],AL428)</f>
        <v>5</v>
      </c>
      <c r="AO428" s="16">
        <f>SUMIF(RawData[Customer_ID],AL428,RawData[Quantity])</f>
        <v>12</v>
      </c>
      <c r="AP428" s="21">
        <f>SUMIF(RawData[Customer_ID],AL428,RawData[Revenue])</f>
        <v>153379.63999999998</v>
      </c>
      <c r="AQ428" s="21">
        <f>SUMIF(RawData[Customer_ID],AL428,RawData[Profit])</f>
        <v>29265.05999999999</v>
      </c>
      <c r="AR428" s="16">
        <f t="shared" si="38"/>
        <v>30675.927999999996</v>
      </c>
      <c r="AS428" s="16" t="str">
        <f t="shared" si="39"/>
        <v>Loyal</v>
      </c>
    </row>
    <row r="429" spans="38:45" x14ac:dyDescent="0.25">
      <c r="AL429" s="16" t="s">
        <v>5001</v>
      </c>
      <c r="AM429" s="16" t="s">
        <v>772</v>
      </c>
      <c r="AN429" s="16">
        <f>COUNTIF(RawData[Customer_ID],AL429)</f>
        <v>5</v>
      </c>
      <c r="AO429" s="16">
        <f>SUMIF(RawData[Customer_ID],AL429,RawData[Quantity])</f>
        <v>13</v>
      </c>
      <c r="AP429" s="21">
        <f>SUMIF(RawData[Customer_ID],AL429,RawData[Revenue])</f>
        <v>232800.05</v>
      </c>
      <c r="AQ429" s="21">
        <f>SUMIF(RawData[Customer_ID],AL429,RawData[Profit])</f>
        <v>22288.38999999997</v>
      </c>
      <c r="AR429" s="16">
        <f t="shared" si="38"/>
        <v>46560.009999999995</v>
      </c>
      <c r="AS429" s="16" t="str">
        <f t="shared" si="39"/>
        <v>Loyal</v>
      </c>
    </row>
    <row r="430" spans="38:45" x14ac:dyDescent="0.25">
      <c r="AL430" s="16" t="s">
        <v>1314</v>
      </c>
      <c r="AM430" s="16" t="s">
        <v>773</v>
      </c>
      <c r="AN430" s="16">
        <f>COUNTIF(RawData[Customer_ID],AL430)</f>
        <v>5</v>
      </c>
      <c r="AO430" s="16">
        <f>SUMIF(RawData[Customer_ID],AL430,RawData[Quantity])</f>
        <v>14</v>
      </c>
      <c r="AP430" s="21">
        <f>SUMIF(RawData[Customer_ID],AL430,RawData[Revenue])</f>
        <v>204879.81</v>
      </c>
      <c r="AQ430" s="21">
        <f>SUMIF(RawData[Customer_ID],AL430,RawData[Profit])</f>
        <v>26439.69999999999</v>
      </c>
      <c r="AR430" s="16">
        <f t="shared" si="38"/>
        <v>40975.962</v>
      </c>
      <c r="AS430" s="16" t="str">
        <f t="shared" si="39"/>
        <v>Loyal</v>
      </c>
    </row>
    <row r="431" spans="38:45" x14ac:dyDescent="0.25">
      <c r="AL431" s="16" t="s">
        <v>2895</v>
      </c>
      <c r="AM431" s="16" t="s">
        <v>774</v>
      </c>
      <c r="AN431" s="16">
        <f>COUNTIF(RawData[Customer_ID],AL431)</f>
        <v>3</v>
      </c>
      <c r="AO431" s="16">
        <f>SUMIF(RawData[Customer_ID],AL431,RawData[Quantity])</f>
        <v>10</v>
      </c>
      <c r="AP431" s="21">
        <f>SUMIF(RawData[Customer_ID],AL431,RawData[Revenue])</f>
        <v>59685.05</v>
      </c>
      <c r="AQ431" s="21">
        <f>SUMIF(RawData[Customer_ID],AL431,RawData[Profit])</f>
        <v>14938.27</v>
      </c>
      <c r="AR431" s="16">
        <f t="shared" si="38"/>
        <v>19895.016666666666</v>
      </c>
      <c r="AS431" s="16" t="str">
        <f t="shared" si="39"/>
        <v>Occasional</v>
      </c>
    </row>
    <row r="432" spans="38:45" x14ac:dyDescent="0.25">
      <c r="AL432" s="16" t="s">
        <v>3341</v>
      </c>
      <c r="AM432" s="16" t="s">
        <v>775</v>
      </c>
      <c r="AN432" s="16">
        <f>COUNTIF(RawData[Customer_ID],AL432)</f>
        <v>1</v>
      </c>
      <c r="AO432" s="16">
        <f>SUMIF(RawData[Customer_ID],AL432,RawData[Quantity])</f>
        <v>1</v>
      </c>
      <c r="AP432" s="21">
        <f>SUMIF(RawData[Customer_ID],AL432,RawData[Revenue])</f>
        <v>25299.08</v>
      </c>
      <c r="AQ432" s="21">
        <f>SUMIF(RawData[Customer_ID],AL432,RawData[Profit])</f>
        <v>1924.9300000000039</v>
      </c>
      <c r="AR432" s="16">
        <f t="shared" si="38"/>
        <v>25299.08</v>
      </c>
      <c r="AS432" s="16" t="str">
        <f t="shared" si="39"/>
        <v>One-time</v>
      </c>
    </row>
    <row r="433" spans="38:45" x14ac:dyDescent="0.25">
      <c r="AL433" s="16" t="s">
        <v>3143</v>
      </c>
      <c r="AM433" s="16" t="s">
        <v>776</v>
      </c>
      <c r="AN433" s="16">
        <f>COUNTIF(RawData[Customer_ID],AL433)</f>
        <v>4</v>
      </c>
      <c r="AO433" s="16">
        <f>SUMIF(RawData[Customer_ID],AL433,RawData[Quantity])</f>
        <v>16</v>
      </c>
      <c r="AP433" s="21">
        <f>SUMIF(RawData[Customer_ID],AL433,RawData[Revenue])</f>
        <v>245836.72</v>
      </c>
      <c r="AQ433" s="21">
        <f>SUMIF(RawData[Customer_ID],AL433,RawData[Profit])</f>
        <v>34656.000000000007</v>
      </c>
      <c r="AR433" s="16">
        <f t="shared" si="38"/>
        <v>61459.18</v>
      </c>
      <c r="AS433" s="16" t="str">
        <f t="shared" si="39"/>
        <v>Occasional</v>
      </c>
    </row>
    <row r="434" spans="38:45" x14ac:dyDescent="0.25">
      <c r="AL434" s="16" t="s">
        <v>2073</v>
      </c>
      <c r="AM434" s="16" t="s">
        <v>777</v>
      </c>
      <c r="AN434" s="16">
        <f>COUNTIF(RawData[Customer_ID],AL434)</f>
        <v>2</v>
      </c>
      <c r="AO434" s="16">
        <f>SUMIF(RawData[Customer_ID],AL434,RawData[Quantity])</f>
        <v>8</v>
      </c>
      <c r="AP434" s="21">
        <f>SUMIF(RawData[Customer_ID],AL434,RawData[Revenue])</f>
        <v>50067.18</v>
      </c>
      <c r="AQ434" s="21">
        <f>SUMIF(RawData[Customer_ID],AL434,RawData[Profit])</f>
        <v>7784.2800000000025</v>
      </c>
      <c r="AR434" s="16">
        <f t="shared" si="38"/>
        <v>25033.59</v>
      </c>
      <c r="AS434" s="16" t="str">
        <f t="shared" si="39"/>
        <v>Occasional</v>
      </c>
    </row>
    <row r="435" spans="38:45" x14ac:dyDescent="0.25">
      <c r="AL435" s="16" t="s">
        <v>1472</v>
      </c>
      <c r="AM435" s="16" t="s">
        <v>778</v>
      </c>
      <c r="AN435" s="16">
        <f>COUNTIF(RawData[Customer_ID],AL435)</f>
        <v>3</v>
      </c>
      <c r="AO435" s="16">
        <f>SUMIF(RawData[Customer_ID],AL435,RawData[Quantity])</f>
        <v>15</v>
      </c>
      <c r="AP435" s="21">
        <f>SUMIF(RawData[Customer_ID],AL435,RawData[Revenue])</f>
        <v>320940.3</v>
      </c>
      <c r="AQ435" s="21">
        <f>SUMIF(RawData[Customer_ID],AL435,RawData[Profit])</f>
        <v>38174.399999999994</v>
      </c>
      <c r="AR435" s="16">
        <f t="shared" si="38"/>
        <v>106980.09999999999</v>
      </c>
      <c r="AS435" s="16" t="str">
        <f t="shared" si="39"/>
        <v>Occasional</v>
      </c>
    </row>
    <row r="436" spans="38:45" x14ac:dyDescent="0.25">
      <c r="AL436" s="16" t="s">
        <v>2433</v>
      </c>
      <c r="AM436" s="16" t="s">
        <v>779</v>
      </c>
      <c r="AN436" s="16">
        <f>COUNTIF(RawData[Customer_ID],AL436)</f>
        <v>3</v>
      </c>
      <c r="AO436" s="16">
        <f>SUMIF(RawData[Customer_ID],AL436,RawData[Quantity])</f>
        <v>5</v>
      </c>
      <c r="AP436" s="21">
        <f>SUMIF(RawData[Customer_ID],AL436,RawData[Revenue])</f>
        <v>79603.94</v>
      </c>
      <c r="AQ436" s="21">
        <f>SUMIF(RawData[Customer_ID],AL436,RawData[Profit])</f>
        <v>3761.4000000000028</v>
      </c>
      <c r="AR436" s="16">
        <f t="shared" si="38"/>
        <v>26534.646666666667</v>
      </c>
      <c r="AS436" s="16" t="str">
        <f t="shared" si="39"/>
        <v>Occasional</v>
      </c>
    </row>
    <row r="437" spans="38:45" x14ac:dyDescent="0.25">
      <c r="AL437" s="16" t="s">
        <v>5168</v>
      </c>
      <c r="AM437" s="16" t="s">
        <v>780</v>
      </c>
      <c r="AN437" s="16">
        <f>COUNTIF(RawData[Customer_ID],AL437)</f>
        <v>0</v>
      </c>
      <c r="AO437" s="16">
        <f>SUMIF(RawData[Customer_ID],AL437,RawData[Quantity])</f>
        <v>0</v>
      </c>
      <c r="AP437" s="21">
        <f>SUMIF(RawData[Customer_ID],AL437,RawData[Revenue])</f>
        <v>0</v>
      </c>
      <c r="AQ437" s="21">
        <f>SUMIF(RawData[Customer_ID],AL437,RawData[Profit])</f>
        <v>0</v>
      </c>
      <c r="AR437" s="16">
        <f t="shared" si="38"/>
        <v>0</v>
      </c>
      <c r="AS437" s="16" t="str">
        <f t="shared" si="39"/>
        <v>Occasional</v>
      </c>
    </row>
    <row r="438" spans="38:45" x14ac:dyDescent="0.25">
      <c r="AL438" s="16" t="s">
        <v>2663</v>
      </c>
      <c r="AM438" s="16" t="s">
        <v>403</v>
      </c>
      <c r="AN438" s="16">
        <f>COUNTIF(RawData[Customer_ID],AL438)</f>
        <v>4</v>
      </c>
      <c r="AO438" s="16">
        <f>SUMIF(RawData[Customer_ID],AL438,RawData[Quantity])</f>
        <v>10</v>
      </c>
      <c r="AP438" s="21">
        <f>SUMIF(RawData[Customer_ID],AL438,RawData[Revenue])</f>
        <v>83827.22</v>
      </c>
      <c r="AQ438" s="21">
        <f>SUMIF(RawData[Customer_ID],AL438,RawData[Profit])</f>
        <v>17556.349999999999</v>
      </c>
      <c r="AR438" s="16">
        <f t="shared" si="38"/>
        <v>20956.805</v>
      </c>
      <c r="AS438" s="16" t="str">
        <f t="shared" si="39"/>
        <v>Occasional</v>
      </c>
    </row>
    <row r="439" spans="38:45" x14ac:dyDescent="0.25">
      <c r="AL439" s="16" t="s">
        <v>1419</v>
      </c>
      <c r="AM439" s="16" t="s">
        <v>781</v>
      </c>
      <c r="AN439" s="16">
        <f>COUNTIF(RawData[Customer_ID],AL439)</f>
        <v>5</v>
      </c>
      <c r="AO439" s="16">
        <f>SUMIF(RawData[Customer_ID],AL439,RawData[Quantity])</f>
        <v>20</v>
      </c>
      <c r="AP439" s="21">
        <f>SUMIF(RawData[Customer_ID],AL439,RawData[Revenue])</f>
        <v>181376.02</v>
      </c>
      <c r="AQ439" s="21">
        <f>SUMIF(RawData[Customer_ID],AL439,RawData[Profit])</f>
        <v>22326.779999999992</v>
      </c>
      <c r="AR439" s="16">
        <f t="shared" si="38"/>
        <v>36275.203999999998</v>
      </c>
      <c r="AS439" s="16" t="str">
        <f t="shared" si="39"/>
        <v>Loyal</v>
      </c>
    </row>
    <row r="440" spans="38:45" x14ac:dyDescent="0.25">
      <c r="AL440" s="16" t="s">
        <v>1446</v>
      </c>
      <c r="AM440" s="16" t="s">
        <v>782</v>
      </c>
      <c r="AN440" s="16">
        <f>COUNTIF(RawData[Customer_ID],AL440)</f>
        <v>2</v>
      </c>
      <c r="AO440" s="16">
        <f>SUMIF(RawData[Customer_ID],AL440,RawData[Quantity])</f>
        <v>7</v>
      </c>
      <c r="AP440" s="21">
        <f>SUMIF(RawData[Customer_ID],AL440,RawData[Revenue])</f>
        <v>33001</v>
      </c>
      <c r="AQ440" s="21">
        <f>SUMIF(RawData[Customer_ID],AL440,RawData[Profit])</f>
        <v>3430</v>
      </c>
      <c r="AR440" s="16">
        <f t="shared" si="38"/>
        <v>16500.5</v>
      </c>
      <c r="AS440" s="16" t="str">
        <f t="shared" si="39"/>
        <v>Occasional</v>
      </c>
    </row>
    <row r="441" spans="38:45" x14ac:dyDescent="0.25">
      <c r="AL441" s="16" t="s">
        <v>2046</v>
      </c>
      <c r="AM441" s="16" t="s">
        <v>783</v>
      </c>
      <c r="AN441" s="16">
        <f>COUNTIF(RawData[Customer_ID],AL441)</f>
        <v>2</v>
      </c>
      <c r="AO441" s="16">
        <f>SUMIF(RawData[Customer_ID],AL441,RawData[Quantity])</f>
        <v>6</v>
      </c>
      <c r="AP441" s="21">
        <f>SUMIF(RawData[Customer_ID],AL441,RawData[Revenue])</f>
        <v>275394.25</v>
      </c>
      <c r="AQ441" s="21">
        <f>SUMIF(RawData[Customer_ID],AL441,RawData[Profit])</f>
        <v>40899.10000000002</v>
      </c>
      <c r="AR441" s="16">
        <f t="shared" si="38"/>
        <v>137697.125</v>
      </c>
      <c r="AS441" s="16" t="str">
        <f t="shared" si="39"/>
        <v>Occasional</v>
      </c>
    </row>
    <row r="442" spans="38:45" x14ac:dyDescent="0.25">
      <c r="AL442" s="16" t="s">
        <v>2991</v>
      </c>
      <c r="AM442" s="16" t="s">
        <v>784</v>
      </c>
      <c r="AN442" s="16">
        <f>COUNTIF(RawData[Customer_ID],AL442)</f>
        <v>3</v>
      </c>
      <c r="AO442" s="16">
        <f>SUMIF(RawData[Customer_ID],AL442,RawData[Quantity])</f>
        <v>10</v>
      </c>
      <c r="AP442" s="21">
        <f>SUMIF(RawData[Customer_ID],AL442,RawData[Revenue])</f>
        <v>32209.239999999998</v>
      </c>
      <c r="AQ442" s="21">
        <f>SUMIF(RawData[Customer_ID],AL442,RawData[Profit])</f>
        <v>6583.6299999999947</v>
      </c>
      <c r="AR442" s="16">
        <f t="shared" si="38"/>
        <v>10736.413333333332</v>
      </c>
      <c r="AS442" s="16" t="str">
        <f t="shared" si="39"/>
        <v>Occasional</v>
      </c>
    </row>
    <row r="443" spans="38:45" x14ac:dyDescent="0.25">
      <c r="AL443" s="16" t="s">
        <v>1935</v>
      </c>
      <c r="AM443" s="16" t="s">
        <v>785</v>
      </c>
      <c r="AN443" s="16">
        <f>COUNTIF(RawData[Customer_ID],AL443)</f>
        <v>3</v>
      </c>
      <c r="AO443" s="16">
        <f>SUMIF(RawData[Customer_ID],AL443,RawData[Quantity])</f>
        <v>5</v>
      </c>
      <c r="AP443" s="21">
        <f>SUMIF(RawData[Customer_ID],AL443,RawData[Revenue])</f>
        <v>69006.62</v>
      </c>
      <c r="AQ443" s="21">
        <f>SUMIF(RawData[Customer_ID],AL443,RawData[Profit])</f>
        <v>15461.399999999996</v>
      </c>
      <c r="AR443" s="16">
        <f t="shared" si="38"/>
        <v>23002.206666666665</v>
      </c>
      <c r="AS443" s="16" t="str">
        <f t="shared" si="39"/>
        <v>Occasional</v>
      </c>
    </row>
    <row r="444" spans="38:45" x14ac:dyDescent="0.25">
      <c r="AL444" s="16" t="s">
        <v>2317</v>
      </c>
      <c r="AM444" s="16" t="s">
        <v>786</v>
      </c>
      <c r="AN444" s="16">
        <f>COUNTIF(RawData[Customer_ID],AL444)</f>
        <v>2</v>
      </c>
      <c r="AO444" s="16">
        <f>SUMIF(RawData[Customer_ID],AL444,RawData[Quantity])</f>
        <v>9</v>
      </c>
      <c r="AP444" s="21">
        <f>SUMIF(RawData[Customer_ID],AL444,RawData[Revenue])</f>
        <v>144121.40000000002</v>
      </c>
      <c r="AQ444" s="21">
        <f>SUMIF(RawData[Customer_ID],AL444,RawData[Profit])</f>
        <v>23974.559999999998</v>
      </c>
      <c r="AR444" s="16">
        <f t="shared" si="38"/>
        <v>72060.700000000012</v>
      </c>
      <c r="AS444" s="16" t="str">
        <f t="shared" si="39"/>
        <v>Occasional</v>
      </c>
    </row>
    <row r="445" spans="38:45" x14ac:dyDescent="0.25">
      <c r="AL445" s="16" t="s">
        <v>4606</v>
      </c>
      <c r="AM445" s="16" t="s">
        <v>498</v>
      </c>
      <c r="AN445" s="16">
        <f>COUNTIF(RawData[Customer_ID],AL445)</f>
        <v>3</v>
      </c>
      <c r="AO445" s="16">
        <f>SUMIF(RawData[Customer_ID],AL445,RawData[Quantity])</f>
        <v>6</v>
      </c>
      <c r="AP445" s="21">
        <f>SUMIF(RawData[Customer_ID],AL445,RawData[Revenue])</f>
        <v>35972</v>
      </c>
      <c r="AQ445" s="21">
        <f>SUMIF(RawData[Customer_ID],AL445,RawData[Profit])</f>
        <v>5699</v>
      </c>
      <c r="AR445" s="16">
        <f t="shared" si="38"/>
        <v>11990.666666666666</v>
      </c>
      <c r="AS445" s="16" t="str">
        <f t="shared" si="39"/>
        <v>Occasional</v>
      </c>
    </row>
    <row r="446" spans="38:45" x14ac:dyDescent="0.25">
      <c r="AL446" s="16" t="s">
        <v>1857</v>
      </c>
      <c r="AM446" s="16" t="s">
        <v>787</v>
      </c>
      <c r="AN446" s="16">
        <f>COUNTIF(RawData[Customer_ID],AL446)</f>
        <v>4</v>
      </c>
      <c r="AO446" s="16">
        <f>SUMIF(RawData[Customer_ID],AL446,RawData[Quantity])</f>
        <v>13</v>
      </c>
      <c r="AP446" s="21">
        <f>SUMIF(RawData[Customer_ID],AL446,RawData[Revenue])</f>
        <v>35901</v>
      </c>
      <c r="AQ446" s="21">
        <f>SUMIF(RawData[Customer_ID],AL446,RawData[Profit])</f>
        <v>8034.0000000000045</v>
      </c>
      <c r="AR446" s="16">
        <f t="shared" si="38"/>
        <v>8975.25</v>
      </c>
      <c r="AS446" s="16" t="str">
        <f t="shared" si="39"/>
        <v>Occasional</v>
      </c>
    </row>
    <row r="447" spans="38:45" x14ac:dyDescent="0.25">
      <c r="AL447" s="16" t="s">
        <v>2713</v>
      </c>
      <c r="AM447" s="16" t="s">
        <v>788</v>
      </c>
      <c r="AN447" s="16">
        <f>COUNTIF(RawData[Customer_ID],AL447)</f>
        <v>6</v>
      </c>
      <c r="AO447" s="16">
        <f>SUMIF(RawData[Customer_ID],AL447,RawData[Quantity])</f>
        <v>17</v>
      </c>
      <c r="AP447" s="21">
        <f>SUMIF(RawData[Customer_ID],AL447,RawData[Revenue])</f>
        <v>227782.96000000002</v>
      </c>
      <c r="AQ447" s="21">
        <f>SUMIF(RawData[Customer_ID],AL447,RawData[Profit])</f>
        <v>33926.37999999999</v>
      </c>
      <c r="AR447" s="16">
        <f t="shared" si="38"/>
        <v>37963.826666666668</v>
      </c>
      <c r="AS447" s="16" t="str">
        <f t="shared" si="39"/>
        <v>Loyal</v>
      </c>
    </row>
    <row r="448" spans="38:45" x14ac:dyDescent="0.25">
      <c r="AL448" s="16" t="s">
        <v>1407</v>
      </c>
      <c r="AM448" s="16" t="s">
        <v>789</v>
      </c>
      <c r="AN448" s="16">
        <f>COUNTIF(RawData[Customer_ID],AL448)</f>
        <v>1</v>
      </c>
      <c r="AO448" s="16">
        <f>SUMIF(RawData[Customer_ID],AL448,RawData[Quantity])</f>
        <v>1</v>
      </c>
      <c r="AP448" s="21">
        <f>SUMIF(RawData[Customer_ID],AL448,RawData[Revenue])</f>
        <v>16004.029999999999</v>
      </c>
      <c r="AQ448" s="21">
        <f>SUMIF(RawData[Customer_ID],AL448,RawData[Profit])</f>
        <v>1484.909999999998</v>
      </c>
      <c r="AR448" s="16">
        <f t="shared" si="38"/>
        <v>16004.029999999999</v>
      </c>
      <c r="AS448" s="16" t="str">
        <f t="shared" si="39"/>
        <v>One-time</v>
      </c>
    </row>
    <row r="449" spans="38:45" x14ac:dyDescent="0.25">
      <c r="AL449" s="16" t="s">
        <v>2113</v>
      </c>
      <c r="AM449" s="16" t="s">
        <v>790</v>
      </c>
      <c r="AN449" s="16">
        <f>COUNTIF(RawData[Customer_ID],AL449)</f>
        <v>5</v>
      </c>
      <c r="AO449" s="16">
        <f>SUMIF(RawData[Customer_ID],AL449,RawData[Quantity])</f>
        <v>18</v>
      </c>
      <c r="AP449" s="21">
        <f>SUMIF(RawData[Customer_ID],AL449,RawData[Revenue])</f>
        <v>124507.18</v>
      </c>
      <c r="AQ449" s="21">
        <f>SUMIF(RawData[Customer_ID],AL449,RawData[Profit])</f>
        <v>24631.98</v>
      </c>
      <c r="AR449" s="16">
        <f t="shared" si="38"/>
        <v>24901.435999999998</v>
      </c>
      <c r="AS449" s="16" t="str">
        <f t="shared" si="39"/>
        <v>Loyal</v>
      </c>
    </row>
    <row r="450" spans="38:45" x14ac:dyDescent="0.25">
      <c r="AL450" s="16" t="s">
        <v>4374</v>
      </c>
      <c r="AM450" s="16" t="s">
        <v>791</v>
      </c>
      <c r="AN450" s="16">
        <f>COUNTIF(RawData[Customer_ID],AL450)</f>
        <v>4</v>
      </c>
      <c r="AO450" s="16">
        <f>SUMIF(RawData[Customer_ID],AL450,RawData[Quantity])</f>
        <v>17</v>
      </c>
      <c r="AP450" s="21">
        <f>SUMIF(RawData[Customer_ID],AL450,RawData[Revenue])</f>
        <v>372047.49</v>
      </c>
      <c r="AQ450" s="21">
        <f>SUMIF(RawData[Customer_ID],AL450,RawData[Profit])</f>
        <v>49483.989999999991</v>
      </c>
      <c r="AR450" s="16">
        <f t="shared" si="38"/>
        <v>93011.872499999998</v>
      </c>
      <c r="AS450" s="16" t="str">
        <f t="shared" si="39"/>
        <v>Occasional</v>
      </c>
    </row>
    <row r="451" spans="38:45" x14ac:dyDescent="0.25">
      <c r="AL451" s="16" t="s">
        <v>3180</v>
      </c>
      <c r="AM451" s="16" t="s">
        <v>792</v>
      </c>
      <c r="AN451" s="16">
        <f>COUNTIF(RawData[Customer_ID],AL451)</f>
        <v>3</v>
      </c>
      <c r="AO451" s="16">
        <f>SUMIF(RawData[Customer_ID],AL451,RawData[Quantity])</f>
        <v>11</v>
      </c>
      <c r="AP451" s="21">
        <f>SUMIF(RawData[Customer_ID],AL451,RawData[Revenue])</f>
        <v>125132.36</v>
      </c>
      <c r="AQ451" s="21">
        <f>SUMIF(RawData[Customer_ID],AL451,RawData[Profit])</f>
        <v>20084.919999999998</v>
      </c>
      <c r="AR451" s="16">
        <f t="shared" ref="AR451:AR514" si="40">IF(AN451=0,0,AP451/AN451)</f>
        <v>41710.786666666667</v>
      </c>
      <c r="AS451" s="16" t="str">
        <f t="shared" ref="AS451:AS514" si="41">IF(AN451=1,"One-time",IF(AN451&lt;=4,"Occasional",IF(AN451&lt;=8,"Loyal","Review")))</f>
        <v>Occasional</v>
      </c>
    </row>
    <row r="452" spans="38:45" x14ac:dyDescent="0.25">
      <c r="AL452" s="16" t="s">
        <v>2735</v>
      </c>
      <c r="AM452" s="16" t="s">
        <v>793</v>
      </c>
      <c r="AN452" s="16">
        <f>COUNTIF(RawData[Customer_ID],AL452)</f>
        <v>4</v>
      </c>
      <c r="AO452" s="16">
        <f>SUMIF(RawData[Customer_ID],AL452,RawData[Quantity])</f>
        <v>9</v>
      </c>
      <c r="AP452" s="21">
        <f>SUMIF(RawData[Customer_ID],AL452,RawData[Revenue])</f>
        <v>165597.82</v>
      </c>
      <c r="AQ452" s="21">
        <f>SUMIF(RawData[Customer_ID],AL452,RawData[Profit])</f>
        <v>25924.299999999996</v>
      </c>
      <c r="AR452" s="16">
        <f t="shared" si="40"/>
        <v>41399.455000000002</v>
      </c>
      <c r="AS452" s="16" t="str">
        <f t="shared" si="41"/>
        <v>Occasional</v>
      </c>
    </row>
    <row r="453" spans="38:45" x14ac:dyDescent="0.25">
      <c r="AL453" s="16" t="s">
        <v>2232</v>
      </c>
      <c r="AM453" s="16" t="s">
        <v>794</v>
      </c>
      <c r="AN453" s="16">
        <f>COUNTIF(RawData[Customer_ID],AL453)</f>
        <v>4</v>
      </c>
      <c r="AO453" s="16">
        <f>SUMIF(RawData[Customer_ID],AL453,RawData[Quantity])</f>
        <v>10</v>
      </c>
      <c r="AP453" s="21">
        <f>SUMIF(RawData[Customer_ID],AL453,RawData[Revenue])</f>
        <v>47609.06</v>
      </c>
      <c r="AQ453" s="21">
        <f>SUMIF(RawData[Customer_ID],AL453,RawData[Profit])</f>
        <v>6102.8599999999988</v>
      </c>
      <c r="AR453" s="16">
        <f t="shared" si="40"/>
        <v>11902.264999999999</v>
      </c>
      <c r="AS453" s="16" t="str">
        <f t="shared" si="41"/>
        <v>Occasional</v>
      </c>
    </row>
    <row r="454" spans="38:45" x14ac:dyDescent="0.25">
      <c r="AL454" s="16" t="s">
        <v>1751</v>
      </c>
      <c r="AM454" s="16" t="s">
        <v>795</v>
      </c>
      <c r="AN454" s="16">
        <f>COUNTIF(RawData[Customer_ID],AL454)</f>
        <v>6</v>
      </c>
      <c r="AO454" s="16">
        <f>SUMIF(RawData[Customer_ID],AL454,RawData[Quantity])</f>
        <v>21</v>
      </c>
      <c r="AP454" s="21">
        <f>SUMIF(RawData[Customer_ID],AL454,RawData[Revenue])</f>
        <v>475610.25</v>
      </c>
      <c r="AQ454" s="21">
        <f>SUMIF(RawData[Customer_ID],AL454,RawData[Profit])</f>
        <v>57750.9</v>
      </c>
      <c r="AR454" s="16">
        <f t="shared" si="40"/>
        <v>79268.375</v>
      </c>
      <c r="AS454" s="16" t="str">
        <f t="shared" si="41"/>
        <v>Loyal</v>
      </c>
    </row>
    <row r="455" spans="38:45" x14ac:dyDescent="0.25">
      <c r="AL455" s="16" t="s">
        <v>2263</v>
      </c>
      <c r="AM455" s="16" t="s">
        <v>796</v>
      </c>
      <c r="AN455" s="16">
        <f>COUNTIF(RawData[Customer_ID],AL455)</f>
        <v>5</v>
      </c>
      <c r="AO455" s="16">
        <f>SUMIF(RawData[Customer_ID],AL455,RawData[Quantity])</f>
        <v>14</v>
      </c>
      <c r="AP455" s="21">
        <f>SUMIF(RawData[Customer_ID],AL455,RawData[Revenue])</f>
        <v>301674.59999999998</v>
      </c>
      <c r="AQ455" s="21">
        <f>SUMIF(RawData[Customer_ID],AL455,RawData[Profit])</f>
        <v>48244.719999999965</v>
      </c>
      <c r="AR455" s="16">
        <f t="shared" si="40"/>
        <v>60334.92</v>
      </c>
      <c r="AS455" s="16" t="str">
        <f t="shared" si="41"/>
        <v>Loyal</v>
      </c>
    </row>
    <row r="456" spans="38:45" x14ac:dyDescent="0.25">
      <c r="AL456" s="16" t="s">
        <v>1884</v>
      </c>
      <c r="AM456" s="16" t="s">
        <v>797</v>
      </c>
      <c r="AN456" s="16">
        <f>COUNTIF(RawData[Customer_ID],AL456)</f>
        <v>5</v>
      </c>
      <c r="AO456" s="16">
        <f>SUMIF(RawData[Customer_ID],AL456,RawData[Quantity])</f>
        <v>18</v>
      </c>
      <c r="AP456" s="21">
        <f>SUMIF(RawData[Customer_ID],AL456,RawData[Revenue])</f>
        <v>352646.01</v>
      </c>
      <c r="AQ456" s="21">
        <f>SUMIF(RawData[Customer_ID],AL456,RawData[Profit])</f>
        <v>43993.339999999989</v>
      </c>
      <c r="AR456" s="16">
        <f t="shared" si="40"/>
        <v>70529.202000000005</v>
      </c>
      <c r="AS456" s="16" t="str">
        <f t="shared" si="41"/>
        <v>Loyal</v>
      </c>
    </row>
    <row r="457" spans="38:45" x14ac:dyDescent="0.25">
      <c r="AL457" s="16" t="s">
        <v>2259</v>
      </c>
      <c r="AM457" s="16" t="s">
        <v>798</v>
      </c>
      <c r="AN457" s="16">
        <f>COUNTIF(RawData[Customer_ID],AL457)</f>
        <v>2</v>
      </c>
      <c r="AO457" s="16">
        <f>SUMIF(RawData[Customer_ID],AL457,RawData[Quantity])</f>
        <v>5</v>
      </c>
      <c r="AP457" s="21">
        <f>SUMIF(RawData[Customer_ID],AL457,RawData[Revenue])</f>
        <v>126788.20999999999</v>
      </c>
      <c r="AQ457" s="21">
        <f>SUMIF(RawData[Customer_ID],AL457,RawData[Profit])</f>
        <v>21503.549999999988</v>
      </c>
      <c r="AR457" s="16">
        <f t="shared" si="40"/>
        <v>63394.104999999996</v>
      </c>
      <c r="AS457" s="16" t="str">
        <f t="shared" si="41"/>
        <v>Occasional</v>
      </c>
    </row>
    <row r="458" spans="38:45" x14ac:dyDescent="0.25">
      <c r="AL458" s="16" t="s">
        <v>1908</v>
      </c>
      <c r="AM458" s="16" t="s">
        <v>799</v>
      </c>
      <c r="AN458" s="16">
        <f>COUNTIF(RawData[Customer_ID],AL458)</f>
        <v>5</v>
      </c>
      <c r="AO458" s="16">
        <f>SUMIF(RawData[Customer_ID],AL458,RawData[Quantity])</f>
        <v>16</v>
      </c>
      <c r="AP458" s="21">
        <f>SUMIF(RawData[Customer_ID],AL458,RawData[Revenue])</f>
        <v>58553.119999999995</v>
      </c>
      <c r="AQ458" s="21">
        <f>SUMIF(RawData[Customer_ID],AL458,RawData[Profit])</f>
        <v>15988.920000000002</v>
      </c>
      <c r="AR458" s="16">
        <f t="shared" si="40"/>
        <v>11710.624</v>
      </c>
      <c r="AS458" s="16" t="str">
        <f t="shared" si="41"/>
        <v>Loyal</v>
      </c>
    </row>
    <row r="459" spans="38:45" x14ac:dyDescent="0.25">
      <c r="AL459" s="16" t="s">
        <v>2337</v>
      </c>
      <c r="AM459" s="16" t="s">
        <v>800</v>
      </c>
      <c r="AN459" s="16">
        <f>COUNTIF(RawData[Customer_ID],AL459)</f>
        <v>2</v>
      </c>
      <c r="AO459" s="16">
        <f>SUMIF(RawData[Customer_ID],AL459,RawData[Quantity])</f>
        <v>9</v>
      </c>
      <c r="AP459" s="21">
        <f>SUMIF(RawData[Customer_ID],AL459,RawData[Revenue])</f>
        <v>71425.7</v>
      </c>
      <c r="AQ459" s="21">
        <f>SUMIF(RawData[Customer_ID],AL459,RawData[Profit])</f>
        <v>-1496.3000000000088</v>
      </c>
      <c r="AR459" s="16">
        <f t="shared" si="40"/>
        <v>35712.85</v>
      </c>
      <c r="AS459" s="16" t="str">
        <f t="shared" si="41"/>
        <v>Occasional</v>
      </c>
    </row>
    <row r="460" spans="38:45" x14ac:dyDescent="0.25">
      <c r="AL460" s="16" t="s">
        <v>1544</v>
      </c>
      <c r="AM460" s="16" t="s">
        <v>801</v>
      </c>
      <c r="AN460" s="16">
        <f>COUNTIF(RawData[Customer_ID],AL460)</f>
        <v>1</v>
      </c>
      <c r="AO460" s="16">
        <f>SUMIF(RawData[Customer_ID],AL460,RawData[Quantity])</f>
        <v>3</v>
      </c>
      <c r="AP460" s="21">
        <f>SUMIF(RawData[Customer_ID],AL460,RawData[Revenue])</f>
        <v>349.2</v>
      </c>
      <c r="AQ460" s="21">
        <f>SUMIF(RawData[Customer_ID],AL460,RawData[Profit])</f>
        <v>104.4</v>
      </c>
      <c r="AR460" s="16">
        <f t="shared" si="40"/>
        <v>349.2</v>
      </c>
      <c r="AS460" s="16" t="str">
        <f t="shared" si="41"/>
        <v>One-time</v>
      </c>
    </row>
    <row r="461" spans="38:45" x14ac:dyDescent="0.25">
      <c r="AL461" s="16" t="s">
        <v>1945</v>
      </c>
      <c r="AM461" s="16" t="s">
        <v>802</v>
      </c>
      <c r="AN461" s="16">
        <f>COUNTIF(RawData[Customer_ID],AL461)</f>
        <v>1</v>
      </c>
      <c r="AO461" s="16">
        <f>SUMIF(RawData[Customer_ID],AL461,RawData[Quantity])</f>
        <v>5</v>
      </c>
      <c r="AP461" s="21">
        <f>SUMIF(RawData[Customer_ID],AL461,RawData[Revenue])</f>
        <v>17052.5</v>
      </c>
      <c r="AQ461" s="21">
        <f>SUMIF(RawData[Customer_ID],AL461,RawData[Profit])</f>
        <v>5385</v>
      </c>
      <c r="AR461" s="16">
        <f t="shared" si="40"/>
        <v>17052.5</v>
      </c>
      <c r="AS461" s="16" t="str">
        <f t="shared" si="41"/>
        <v>One-time</v>
      </c>
    </row>
    <row r="462" spans="38:45" x14ac:dyDescent="0.25">
      <c r="AL462" s="16" t="s">
        <v>3084</v>
      </c>
      <c r="AM462" s="16" t="s">
        <v>803</v>
      </c>
      <c r="AN462" s="16">
        <f>COUNTIF(RawData[Customer_ID],AL462)</f>
        <v>2</v>
      </c>
      <c r="AO462" s="16">
        <f>SUMIF(RawData[Customer_ID],AL462,RawData[Quantity])</f>
        <v>8</v>
      </c>
      <c r="AP462" s="21">
        <f>SUMIF(RawData[Customer_ID],AL462,RawData[Revenue])</f>
        <v>37576.5</v>
      </c>
      <c r="AQ462" s="21">
        <f>SUMIF(RawData[Customer_ID],AL462,RawData[Profit])</f>
        <v>5971.5</v>
      </c>
      <c r="AR462" s="16">
        <f t="shared" si="40"/>
        <v>18788.25</v>
      </c>
      <c r="AS462" s="16" t="str">
        <f t="shared" si="41"/>
        <v>Occasional</v>
      </c>
    </row>
    <row r="463" spans="38:45" x14ac:dyDescent="0.25">
      <c r="AL463" s="16" t="s">
        <v>3095</v>
      </c>
      <c r="AM463" s="16" t="s">
        <v>804</v>
      </c>
      <c r="AN463" s="16">
        <f>COUNTIF(RawData[Customer_ID],AL463)</f>
        <v>3</v>
      </c>
      <c r="AO463" s="16">
        <f>SUMIF(RawData[Customer_ID],AL463,RawData[Quantity])</f>
        <v>7</v>
      </c>
      <c r="AP463" s="21">
        <f>SUMIF(RawData[Customer_ID],AL463,RawData[Revenue])</f>
        <v>33404.800000000003</v>
      </c>
      <c r="AQ463" s="21">
        <f>SUMIF(RawData[Customer_ID],AL463,RawData[Profit])</f>
        <v>4428.8</v>
      </c>
      <c r="AR463" s="16">
        <f t="shared" si="40"/>
        <v>11134.933333333334</v>
      </c>
      <c r="AS463" s="16" t="str">
        <f t="shared" si="41"/>
        <v>Occasional</v>
      </c>
    </row>
    <row r="464" spans="38:45" x14ac:dyDescent="0.25">
      <c r="AL464" s="16" t="s">
        <v>2210</v>
      </c>
      <c r="AM464" s="16" t="s">
        <v>805</v>
      </c>
      <c r="AN464" s="16">
        <f>COUNTIF(RawData[Customer_ID],AL464)</f>
        <v>4</v>
      </c>
      <c r="AO464" s="16">
        <f>SUMIF(RawData[Customer_ID],AL464,RawData[Quantity])</f>
        <v>18</v>
      </c>
      <c r="AP464" s="21">
        <f>SUMIF(RawData[Customer_ID],AL464,RawData[Revenue])</f>
        <v>373695.26</v>
      </c>
      <c r="AQ464" s="21">
        <f>SUMIF(RawData[Customer_ID],AL464,RawData[Profit])</f>
        <v>59837.729999999981</v>
      </c>
      <c r="AR464" s="16">
        <f t="shared" si="40"/>
        <v>93423.815000000002</v>
      </c>
      <c r="AS464" s="16" t="str">
        <f t="shared" si="41"/>
        <v>Occasional</v>
      </c>
    </row>
    <row r="465" spans="38:45" x14ac:dyDescent="0.25">
      <c r="AL465" s="16" t="s">
        <v>2834</v>
      </c>
      <c r="AM465" s="16" t="s">
        <v>806</v>
      </c>
      <c r="AN465" s="16">
        <f>COUNTIF(RawData[Customer_ID],AL465)</f>
        <v>1</v>
      </c>
      <c r="AO465" s="16">
        <f>SUMIF(RawData[Customer_ID],AL465,RawData[Quantity])</f>
        <v>2</v>
      </c>
      <c r="AP465" s="21">
        <f>SUMIF(RawData[Customer_ID],AL465,RawData[Revenue])</f>
        <v>57598.200000000004</v>
      </c>
      <c r="AQ465" s="21">
        <f>SUMIF(RawData[Customer_ID],AL465,RawData[Profit])</f>
        <v>6399.8000000000029</v>
      </c>
      <c r="AR465" s="16">
        <f t="shared" si="40"/>
        <v>57598.200000000004</v>
      </c>
      <c r="AS465" s="16" t="str">
        <f t="shared" si="41"/>
        <v>One-time</v>
      </c>
    </row>
    <row r="466" spans="38:45" x14ac:dyDescent="0.25">
      <c r="AL466" s="16" t="s">
        <v>3804</v>
      </c>
      <c r="AM466" s="16" t="s">
        <v>807</v>
      </c>
      <c r="AN466" s="16">
        <f>COUNTIF(RawData[Customer_ID],AL466)</f>
        <v>3</v>
      </c>
      <c r="AO466" s="16">
        <f>SUMIF(RawData[Customer_ID],AL466,RawData[Quantity])</f>
        <v>10</v>
      </c>
      <c r="AP466" s="21">
        <f>SUMIF(RawData[Customer_ID],AL466,RawData[Revenue])</f>
        <v>17982.7</v>
      </c>
      <c r="AQ466" s="21">
        <f>SUMIF(RawData[Customer_ID],AL466,RawData[Profit])</f>
        <v>5907.2</v>
      </c>
      <c r="AR466" s="16">
        <f t="shared" si="40"/>
        <v>5994.2333333333336</v>
      </c>
      <c r="AS466" s="16" t="str">
        <f t="shared" si="41"/>
        <v>Occasional</v>
      </c>
    </row>
    <row r="467" spans="38:45" x14ac:dyDescent="0.25">
      <c r="AL467" s="16" t="s">
        <v>2221</v>
      </c>
      <c r="AM467" s="16" t="s">
        <v>808</v>
      </c>
      <c r="AN467" s="16">
        <f>COUNTIF(RawData[Customer_ID],AL467)</f>
        <v>4</v>
      </c>
      <c r="AO467" s="16">
        <f>SUMIF(RawData[Customer_ID],AL467,RawData[Quantity])</f>
        <v>10</v>
      </c>
      <c r="AP467" s="21">
        <f>SUMIF(RawData[Customer_ID],AL467,RawData[Revenue])</f>
        <v>138797.12</v>
      </c>
      <c r="AQ467" s="21">
        <f>SUMIF(RawData[Customer_ID],AL467,RawData[Profit])</f>
        <v>17828.759999999991</v>
      </c>
      <c r="AR467" s="16">
        <f t="shared" si="40"/>
        <v>34699.279999999999</v>
      </c>
      <c r="AS467" s="16" t="str">
        <f t="shared" si="41"/>
        <v>Occasional</v>
      </c>
    </row>
    <row r="468" spans="38:45" x14ac:dyDescent="0.25">
      <c r="AL468" s="16" t="s">
        <v>5106</v>
      </c>
      <c r="AM468" s="16" t="s">
        <v>809</v>
      </c>
      <c r="AN468" s="16">
        <f>COUNTIF(RawData[Customer_ID],AL468)</f>
        <v>1</v>
      </c>
      <c r="AO468" s="16">
        <f>SUMIF(RawData[Customer_ID],AL468,RawData[Quantity])</f>
        <v>5</v>
      </c>
      <c r="AP468" s="21">
        <f>SUMIF(RawData[Customer_ID],AL468,RawData[Revenue])</f>
        <v>2990</v>
      </c>
      <c r="AQ468" s="21">
        <f>SUMIF(RawData[Customer_ID],AL468,RawData[Profit])</f>
        <v>650</v>
      </c>
      <c r="AR468" s="16">
        <f t="shared" si="40"/>
        <v>2990</v>
      </c>
      <c r="AS468" s="16" t="str">
        <f t="shared" si="41"/>
        <v>One-time</v>
      </c>
    </row>
    <row r="469" spans="38:45" x14ac:dyDescent="0.25">
      <c r="AL469" s="16" t="s">
        <v>2832</v>
      </c>
      <c r="AM469" s="16" t="s">
        <v>810</v>
      </c>
      <c r="AN469" s="16">
        <f>COUNTIF(RawData[Customer_ID],AL469)</f>
        <v>1</v>
      </c>
      <c r="AO469" s="16">
        <f>SUMIF(RawData[Customer_ID],AL469,RawData[Quantity])</f>
        <v>4</v>
      </c>
      <c r="AP469" s="21">
        <f>SUMIF(RawData[Customer_ID],AL469,RawData[Revenue])</f>
        <v>4136</v>
      </c>
      <c r="AQ469" s="21">
        <f>SUMIF(RawData[Customer_ID],AL469,RawData[Profit])</f>
        <v>1276</v>
      </c>
      <c r="AR469" s="16">
        <f t="shared" si="40"/>
        <v>4136</v>
      </c>
      <c r="AS469" s="16" t="str">
        <f t="shared" si="41"/>
        <v>One-time</v>
      </c>
    </row>
    <row r="470" spans="38:45" x14ac:dyDescent="0.25">
      <c r="AL470" s="16" t="s">
        <v>1468</v>
      </c>
      <c r="AM470" s="16" t="s">
        <v>643</v>
      </c>
      <c r="AN470" s="16">
        <f>COUNTIF(RawData[Customer_ID],AL470)</f>
        <v>5</v>
      </c>
      <c r="AO470" s="16">
        <f>SUMIF(RawData[Customer_ID],AL470,RawData[Quantity])</f>
        <v>13</v>
      </c>
      <c r="AP470" s="21">
        <f>SUMIF(RawData[Customer_ID],AL470,RawData[Revenue])</f>
        <v>314753.13</v>
      </c>
      <c r="AQ470" s="21">
        <f>SUMIF(RawData[Customer_ID],AL470,RawData[Profit])</f>
        <v>35432.87000000001</v>
      </c>
      <c r="AR470" s="16">
        <f t="shared" si="40"/>
        <v>62950.626000000004</v>
      </c>
      <c r="AS470" s="16" t="str">
        <f t="shared" si="41"/>
        <v>Loyal</v>
      </c>
    </row>
    <row r="471" spans="38:45" x14ac:dyDescent="0.25">
      <c r="AL471" s="16" t="s">
        <v>2197</v>
      </c>
      <c r="AM471" s="16" t="s">
        <v>500</v>
      </c>
      <c r="AN471" s="16">
        <f>COUNTIF(RawData[Customer_ID],AL471)</f>
        <v>4</v>
      </c>
      <c r="AO471" s="16">
        <f>SUMIF(RawData[Customer_ID],AL471,RawData[Quantity])</f>
        <v>12</v>
      </c>
      <c r="AP471" s="21">
        <f>SUMIF(RawData[Customer_ID],AL471,RawData[Revenue])</f>
        <v>3057.5</v>
      </c>
      <c r="AQ471" s="21">
        <f>SUMIF(RawData[Customer_ID],AL471,RawData[Profit])</f>
        <v>860</v>
      </c>
      <c r="AR471" s="16">
        <f t="shared" si="40"/>
        <v>764.375</v>
      </c>
      <c r="AS471" s="16" t="str">
        <f t="shared" si="41"/>
        <v>Occasional</v>
      </c>
    </row>
    <row r="472" spans="38:45" x14ac:dyDescent="0.25">
      <c r="AL472" s="16" t="s">
        <v>1411</v>
      </c>
      <c r="AM472" s="16" t="s">
        <v>811</v>
      </c>
      <c r="AN472" s="16">
        <f>COUNTIF(RawData[Customer_ID],AL472)</f>
        <v>3</v>
      </c>
      <c r="AO472" s="16">
        <f>SUMIF(RawData[Customer_ID],AL472,RawData[Quantity])</f>
        <v>8</v>
      </c>
      <c r="AP472" s="21">
        <f>SUMIF(RawData[Customer_ID],AL472,RawData[Revenue])</f>
        <v>177254.83</v>
      </c>
      <c r="AQ472" s="21">
        <f>SUMIF(RawData[Customer_ID],AL472,RawData[Profit])</f>
        <v>25147.929999999993</v>
      </c>
      <c r="AR472" s="16">
        <f t="shared" si="40"/>
        <v>59084.943333333329</v>
      </c>
      <c r="AS472" s="16" t="str">
        <f t="shared" si="41"/>
        <v>Occasional</v>
      </c>
    </row>
    <row r="473" spans="38:45" x14ac:dyDescent="0.25">
      <c r="AL473" s="16" t="s">
        <v>2718</v>
      </c>
      <c r="AM473" s="16" t="s">
        <v>812</v>
      </c>
      <c r="AN473" s="16">
        <f>COUNTIF(RawData[Customer_ID],AL473)</f>
        <v>6</v>
      </c>
      <c r="AO473" s="16">
        <f>SUMIF(RawData[Customer_ID],AL473,RawData[Quantity])</f>
        <v>14</v>
      </c>
      <c r="AP473" s="21">
        <f>SUMIF(RawData[Customer_ID],AL473,RawData[Revenue])</f>
        <v>205697.8</v>
      </c>
      <c r="AQ473" s="21">
        <f>SUMIF(RawData[Customer_ID],AL473,RawData[Profit])</f>
        <v>30997.789999999997</v>
      </c>
      <c r="AR473" s="16">
        <f t="shared" si="40"/>
        <v>34282.966666666667</v>
      </c>
      <c r="AS473" s="16" t="str">
        <f t="shared" si="41"/>
        <v>Loyal</v>
      </c>
    </row>
    <row r="474" spans="38:45" x14ac:dyDescent="0.25">
      <c r="AL474" s="16" t="s">
        <v>2727</v>
      </c>
      <c r="AM474" s="16" t="s">
        <v>813</v>
      </c>
      <c r="AN474" s="16">
        <f>COUNTIF(RawData[Customer_ID],AL474)</f>
        <v>3</v>
      </c>
      <c r="AO474" s="16">
        <f>SUMIF(RawData[Customer_ID],AL474,RawData[Quantity])</f>
        <v>9</v>
      </c>
      <c r="AP474" s="21">
        <f>SUMIF(RawData[Customer_ID],AL474,RawData[Revenue])</f>
        <v>78958.200000000012</v>
      </c>
      <c r="AQ474" s="21">
        <f>SUMIF(RawData[Customer_ID],AL474,RawData[Profit])</f>
        <v>12119.800000000003</v>
      </c>
      <c r="AR474" s="16">
        <f t="shared" si="40"/>
        <v>26319.400000000005</v>
      </c>
      <c r="AS474" s="16" t="str">
        <f t="shared" si="41"/>
        <v>Occasional</v>
      </c>
    </row>
    <row r="475" spans="38:45" x14ac:dyDescent="0.25">
      <c r="AL475" s="16" t="s">
        <v>2909</v>
      </c>
      <c r="AM475" s="16" t="s">
        <v>814</v>
      </c>
      <c r="AN475" s="16">
        <f>COUNTIF(RawData[Customer_ID],AL475)</f>
        <v>3</v>
      </c>
      <c r="AO475" s="16">
        <f>SUMIF(RawData[Customer_ID],AL475,RawData[Quantity])</f>
        <v>13</v>
      </c>
      <c r="AP475" s="21">
        <f>SUMIF(RawData[Customer_ID],AL475,RawData[Revenue])</f>
        <v>242761.5</v>
      </c>
      <c r="AQ475" s="21">
        <f>SUMIF(RawData[Customer_ID],AL475,RawData[Profit])</f>
        <v>29005.899999999994</v>
      </c>
      <c r="AR475" s="16">
        <f t="shared" si="40"/>
        <v>80920.5</v>
      </c>
      <c r="AS475" s="16" t="str">
        <f t="shared" si="41"/>
        <v>Occasional</v>
      </c>
    </row>
    <row r="476" spans="38:45" x14ac:dyDescent="0.25">
      <c r="AL476" s="16" t="s">
        <v>2563</v>
      </c>
      <c r="AM476" s="16" t="s">
        <v>815</v>
      </c>
      <c r="AN476" s="16">
        <f>COUNTIF(RawData[Customer_ID],AL476)</f>
        <v>4</v>
      </c>
      <c r="AO476" s="16">
        <f>SUMIF(RawData[Customer_ID],AL476,RawData[Quantity])</f>
        <v>10</v>
      </c>
      <c r="AP476" s="21">
        <f>SUMIF(RawData[Customer_ID],AL476,RawData[Revenue])</f>
        <v>91255.66</v>
      </c>
      <c r="AQ476" s="21">
        <f>SUMIF(RawData[Customer_ID],AL476,RawData[Profit])</f>
        <v>13493.610000000006</v>
      </c>
      <c r="AR476" s="16">
        <f t="shared" si="40"/>
        <v>22813.915000000001</v>
      </c>
      <c r="AS476" s="16" t="str">
        <f t="shared" si="41"/>
        <v>Occasional</v>
      </c>
    </row>
    <row r="477" spans="38:45" x14ac:dyDescent="0.25">
      <c r="AL477" s="16" t="s">
        <v>2815</v>
      </c>
      <c r="AM477" s="16" t="s">
        <v>816</v>
      </c>
      <c r="AN477" s="16">
        <f>COUNTIF(RawData[Customer_ID],AL477)</f>
        <v>4</v>
      </c>
      <c r="AO477" s="16">
        <f>SUMIF(RawData[Customer_ID],AL477,RawData[Quantity])</f>
        <v>7</v>
      </c>
      <c r="AP477" s="21">
        <f>SUMIF(RawData[Customer_ID],AL477,RawData[Revenue])</f>
        <v>43417.100000000006</v>
      </c>
      <c r="AQ477" s="21">
        <f>SUMIF(RawData[Customer_ID],AL477,RawData[Profit])</f>
        <v>7633.1399999999985</v>
      </c>
      <c r="AR477" s="16">
        <f t="shared" si="40"/>
        <v>10854.275000000001</v>
      </c>
      <c r="AS477" s="16" t="str">
        <f t="shared" si="41"/>
        <v>Occasional</v>
      </c>
    </row>
    <row r="478" spans="38:45" x14ac:dyDescent="0.25">
      <c r="AL478" s="16" t="s">
        <v>1320</v>
      </c>
      <c r="AM478" s="16" t="s">
        <v>817</v>
      </c>
      <c r="AN478" s="16">
        <f>COUNTIF(RawData[Customer_ID],AL478)</f>
        <v>5</v>
      </c>
      <c r="AO478" s="16">
        <f>SUMIF(RawData[Customer_ID],AL478,RawData[Quantity])</f>
        <v>8</v>
      </c>
      <c r="AP478" s="21">
        <f>SUMIF(RawData[Customer_ID],AL478,RawData[Revenue])</f>
        <v>283520.03000000003</v>
      </c>
      <c r="AQ478" s="21">
        <f>SUMIF(RawData[Customer_ID],AL478,RawData[Profit])</f>
        <v>33878.979999999989</v>
      </c>
      <c r="AR478" s="16">
        <f t="shared" si="40"/>
        <v>56704.006000000008</v>
      </c>
      <c r="AS478" s="16" t="str">
        <f t="shared" si="41"/>
        <v>Loyal</v>
      </c>
    </row>
    <row r="479" spans="38:45" x14ac:dyDescent="0.25">
      <c r="AL479" s="16" t="s">
        <v>2690</v>
      </c>
      <c r="AM479" s="16" t="s">
        <v>818</v>
      </c>
      <c r="AN479" s="16">
        <f>COUNTIF(RawData[Customer_ID],AL479)</f>
        <v>2</v>
      </c>
      <c r="AO479" s="16">
        <f>SUMIF(RawData[Customer_ID],AL479,RawData[Quantity])</f>
        <v>3</v>
      </c>
      <c r="AP479" s="21">
        <f>SUMIF(RawData[Customer_ID],AL479,RawData[Revenue])</f>
        <v>59834.06</v>
      </c>
      <c r="AQ479" s="21">
        <f>SUMIF(RawData[Customer_ID],AL479,RawData[Profit])</f>
        <v>10658.639999999992</v>
      </c>
      <c r="AR479" s="16">
        <f t="shared" si="40"/>
        <v>29917.03</v>
      </c>
      <c r="AS479" s="16" t="str">
        <f t="shared" si="41"/>
        <v>Occasional</v>
      </c>
    </row>
    <row r="480" spans="38:45" x14ac:dyDescent="0.25">
      <c r="AL480" s="16" t="s">
        <v>2741</v>
      </c>
      <c r="AM480" s="16" t="s">
        <v>819</v>
      </c>
      <c r="AN480" s="16">
        <f>COUNTIF(RawData[Customer_ID],AL480)</f>
        <v>2</v>
      </c>
      <c r="AO480" s="16">
        <f>SUMIF(RawData[Customer_ID],AL480,RawData[Quantity])</f>
        <v>2</v>
      </c>
      <c r="AP480" s="21">
        <f>SUMIF(RawData[Customer_ID],AL480,RawData[Revenue])</f>
        <v>3489.7999999999997</v>
      </c>
      <c r="AQ480" s="21">
        <f>SUMIF(RawData[Customer_ID],AL480,RawData[Profit])</f>
        <v>1074.6999999999998</v>
      </c>
      <c r="AR480" s="16">
        <f t="shared" si="40"/>
        <v>1744.8999999999999</v>
      </c>
      <c r="AS480" s="16" t="str">
        <f t="shared" si="41"/>
        <v>Occasional</v>
      </c>
    </row>
    <row r="481" spans="38:45" x14ac:dyDescent="0.25">
      <c r="AL481" s="16" t="s">
        <v>1997</v>
      </c>
      <c r="AM481" s="16" t="s">
        <v>820</v>
      </c>
      <c r="AN481" s="16">
        <f>COUNTIF(RawData[Customer_ID],AL481)</f>
        <v>2</v>
      </c>
      <c r="AO481" s="16">
        <f>SUMIF(RawData[Customer_ID],AL481,RawData[Quantity])</f>
        <v>7</v>
      </c>
      <c r="AP481" s="21">
        <f>SUMIF(RawData[Customer_ID],AL481,RawData[Revenue])</f>
        <v>310193.42</v>
      </c>
      <c r="AQ481" s="21">
        <f>SUMIF(RawData[Customer_ID],AL481,RawData[Profit])</f>
        <v>37949.219999999994</v>
      </c>
      <c r="AR481" s="16">
        <f t="shared" si="40"/>
        <v>155096.71</v>
      </c>
      <c r="AS481" s="16" t="str">
        <f t="shared" si="41"/>
        <v>Occasional</v>
      </c>
    </row>
    <row r="482" spans="38:45" x14ac:dyDescent="0.25">
      <c r="AL482" s="16" t="s">
        <v>1584</v>
      </c>
      <c r="AM482" s="16" t="s">
        <v>821</v>
      </c>
      <c r="AN482" s="16">
        <f>COUNTIF(RawData[Customer_ID],AL482)</f>
        <v>3</v>
      </c>
      <c r="AO482" s="16">
        <f>SUMIF(RawData[Customer_ID],AL482,RawData[Quantity])</f>
        <v>13</v>
      </c>
      <c r="AP482" s="21">
        <f>SUMIF(RawData[Customer_ID],AL482,RawData[Revenue])</f>
        <v>25483</v>
      </c>
      <c r="AQ482" s="21">
        <f>SUMIF(RawData[Customer_ID],AL482,RawData[Profit])</f>
        <v>4239.5</v>
      </c>
      <c r="AR482" s="16">
        <f t="shared" si="40"/>
        <v>8494.3333333333339</v>
      </c>
      <c r="AS482" s="16" t="str">
        <f t="shared" si="41"/>
        <v>Occasional</v>
      </c>
    </row>
    <row r="483" spans="38:45" x14ac:dyDescent="0.25">
      <c r="AL483" s="16" t="s">
        <v>1438</v>
      </c>
      <c r="AM483" s="16" t="s">
        <v>822</v>
      </c>
      <c r="AN483" s="16">
        <f>COUNTIF(RawData[Customer_ID],AL483)</f>
        <v>2</v>
      </c>
      <c r="AO483" s="16">
        <f>SUMIF(RawData[Customer_ID],AL483,RawData[Quantity])</f>
        <v>8</v>
      </c>
      <c r="AP483" s="21">
        <f>SUMIF(RawData[Customer_ID],AL483,RawData[Revenue])</f>
        <v>30123.4</v>
      </c>
      <c r="AQ483" s="21">
        <f>SUMIF(RawData[Customer_ID],AL483,RawData[Profit])</f>
        <v>7208.9000000000051</v>
      </c>
      <c r="AR483" s="16">
        <f t="shared" si="40"/>
        <v>15061.7</v>
      </c>
      <c r="AS483" s="16" t="str">
        <f t="shared" si="41"/>
        <v>Occasional</v>
      </c>
    </row>
    <row r="484" spans="38:45" x14ac:dyDescent="0.25">
      <c r="AL484" s="16" t="s">
        <v>4271</v>
      </c>
      <c r="AM484" s="16" t="s">
        <v>823</v>
      </c>
      <c r="AN484" s="16">
        <f>COUNTIF(RawData[Customer_ID],AL484)</f>
        <v>1</v>
      </c>
      <c r="AO484" s="16">
        <f>SUMIF(RawData[Customer_ID],AL484,RawData[Quantity])</f>
        <v>3</v>
      </c>
      <c r="AP484" s="21">
        <f>SUMIF(RawData[Customer_ID],AL484,RawData[Revenue])</f>
        <v>660</v>
      </c>
      <c r="AQ484" s="21">
        <f>SUMIF(RawData[Customer_ID],AL484,RawData[Profit])</f>
        <v>195</v>
      </c>
      <c r="AR484" s="16">
        <f t="shared" si="40"/>
        <v>660</v>
      </c>
      <c r="AS484" s="16" t="str">
        <f t="shared" si="41"/>
        <v>One-time</v>
      </c>
    </row>
    <row r="485" spans="38:45" x14ac:dyDescent="0.25">
      <c r="AL485" s="16" t="s">
        <v>1582</v>
      </c>
      <c r="AM485" s="16" t="s">
        <v>824</v>
      </c>
      <c r="AN485" s="16">
        <f>COUNTIF(RawData[Customer_ID],AL485)</f>
        <v>4</v>
      </c>
      <c r="AO485" s="16">
        <f>SUMIF(RawData[Customer_ID],AL485,RawData[Quantity])</f>
        <v>9</v>
      </c>
      <c r="AP485" s="21">
        <f>SUMIF(RawData[Customer_ID],AL485,RawData[Revenue])</f>
        <v>22497</v>
      </c>
      <c r="AQ485" s="21">
        <f>SUMIF(RawData[Customer_ID],AL485,RawData[Profit])</f>
        <v>5769.5</v>
      </c>
      <c r="AR485" s="16">
        <f t="shared" si="40"/>
        <v>5624.25</v>
      </c>
      <c r="AS485" s="16" t="str">
        <f t="shared" si="41"/>
        <v>Occasional</v>
      </c>
    </row>
    <row r="486" spans="38:45" x14ac:dyDescent="0.25">
      <c r="AL486" s="16" t="s">
        <v>1795</v>
      </c>
      <c r="AM486" s="16" t="s">
        <v>825</v>
      </c>
      <c r="AN486" s="16">
        <f>COUNTIF(RawData[Customer_ID],AL486)</f>
        <v>3</v>
      </c>
      <c r="AO486" s="16">
        <f>SUMIF(RawData[Customer_ID],AL486,RawData[Quantity])</f>
        <v>10</v>
      </c>
      <c r="AP486" s="21">
        <f>SUMIF(RawData[Customer_ID],AL486,RawData[Revenue])</f>
        <v>40182.270000000004</v>
      </c>
      <c r="AQ486" s="21">
        <f>SUMIF(RawData[Customer_ID],AL486,RawData[Profit])</f>
        <v>8179.52</v>
      </c>
      <c r="AR486" s="16">
        <f t="shared" si="40"/>
        <v>13394.090000000002</v>
      </c>
      <c r="AS486" s="16" t="str">
        <f t="shared" si="41"/>
        <v>Occasional</v>
      </c>
    </row>
    <row r="487" spans="38:45" x14ac:dyDescent="0.25">
      <c r="AL487" s="16" t="s">
        <v>1947</v>
      </c>
      <c r="AM487" s="16" t="s">
        <v>826</v>
      </c>
      <c r="AN487" s="16">
        <f>COUNTIF(RawData[Customer_ID],AL487)</f>
        <v>2</v>
      </c>
      <c r="AO487" s="16">
        <f>SUMIF(RawData[Customer_ID],AL487,RawData[Quantity])</f>
        <v>4</v>
      </c>
      <c r="AP487" s="21">
        <f>SUMIF(RawData[Customer_ID],AL487,RawData[Revenue])</f>
        <v>30097.47</v>
      </c>
      <c r="AQ487" s="21">
        <f>SUMIF(RawData[Customer_ID],AL487,RawData[Profit])</f>
        <v>4253.4699999999993</v>
      </c>
      <c r="AR487" s="16">
        <f t="shared" si="40"/>
        <v>15048.735000000001</v>
      </c>
      <c r="AS487" s="16" t="str">
        <f t="shared" si="41"/>
        <v>Occasional</v>
      </c>
    </row>
    <row r="488" spans="38:45" x14ac:dyDescent="0.25">
      <c r="AL488" s="16" t="s">
        <v>1747</v>
      </c>
      <c r="AM488" s="16" t="s">
        <v>827</v>
      </c>
      <c r="AN488" s="16">
        <f>COUNTIF(RawData[Customer_ID],AL488)</f>
        <v>5</v>
      </c>
      <c r="AO488" s="16">
        <f>SUMIF(RawData[Customer_ID],AL488,RawData[Quantity])</f>
        <v>15</v>
      </c>
      <c r="AP488" s="21">
        <f>SUMIF(RawData[Customer_ID],AL488,RawData[Revenue])</f>
        <v>110537.81</v>
      </c>
      <c r="AQ488" s="21">
        <f>SUMIF(RawData[Customer_ID],AL488,RawData[Profit])</f>
        <v>15485.609999999999</v>
      </c>
      <c r="AR488" s="16">
        <f t="shared" si="40"/>
        <v>22107.561999999998</v>
      </c>
      <c r="AS488" s="16" t="str">
        <f t="shared" si="41"/>
        <v>Loyal</v>
      </c>
    </row>
    <row r="489" spans="38:45" x14ac:dyDescent="0.25">
      <c r="AL489" s="16" t="s">
        <v>2154</v>
      </c>
      <c r="AM489" s="16" t="s">
        <v>828</v>
      </c>
      <c r="AN489" s="16">
        <f>COUNTIF(RawData[Customer_ID],AL489)</f>
        <v>4</v>
      </c>
      <c r="AO489" s="16">
        <f>SUMIF(RawData[Customer_ID],AL489,RawData[Quantity])</f>
        <v>10</v>
      </c>
      <c r="AP489" s="21">
        <f>SUMIF(RawData[Customer_ID],AL489,RawData[Revenue])</f>
        <v>277700.84999999998</v>
      </c>
      <c r="AQ489" s="21">
        <f>SUMIF(RawData[Customer_ID],AL489,RawData[Profit])</f>
        <v>44356.53</v>
      </c>
      <c r="AR489" s="16">
        <f t="shared" si="40"/>
        <v>69425.212499999994</v>
      </c>
      <c r="AS489" s="16" t="str">
        <f t="shared" si="41"/>
        <v>Occasional</v>
      </c>
    </row>
    <row r="490" spans="38:45" x14ac:dyDescent="0.25">
      <c r="AL490" s="16" t="s">
        <v>1825</v>
      </c>
      <c r="AM490" s="16" t="s">
        <v>829</v>
      </c>
      <c r="AN490" s="16">
        <f>COUNTIF(RawData[Customer_ID],AL490)</f>
        <v>1</v>
      </c>
      <c r="AO490" s="16">
        <f>SUMIF(RawData[Customer_ID],AL490,RawData[Quantity])</f>
        <v>3</v>
      </c>
      <c r="AP490" s="21">
        <f>SUMIF(RawData[Customer_ID],AL490,RawData[Revenue])</f>
        <v>4653</v>
      </c>
      <c r="AQ490" s="21">
        <f>SUMIF(RawData[Customer_ID],AL490,RawData[Profit])</f>
        <v>1683</v>
      </c>
      <c r="AR490" s="16">
        <f t="shared" si="40"/>
        <v>4653</v>
      </c>
      <c r="AS490" s="16" t="str">
        <f t="shared" si="41"/>
        <v>One-time</v>
      </c>
    </row>
    <row r="491" spans="38:45" x14ac:dyDescent="0.25">
      <c r="AL491" s="16" t="s">
        <v>1551</v>
      </c>
      <c r="AM491" s="16" t="s">
        <v>830</v>
      </c>
      <c r="AN491" s="16">
        <f>COUNTIF(RawData[Customer_ID],AL491)</f>
        <v>4</v>
      </c>
      <c r="AO491" s="16">
        <f>SUMIF(RawData[Customer_ID],AL491,RawData[Quantity])</f>
        <v>9</v>
      </c>
      <c r="AP491" s="21">
        <f>SUMIF(RawData[Customer_ID],AL491,RawData[Revenue])</f>
        <v>59061.700000000004</v>
      </c>
      <c r="AQ491" s="21">
        <f>SUMIF(RawData[Customer_ID],AL491,RawData[Profit])</f>
        <v>9189.659999999998</v>
      </c>
      <c r="AR491" s="16">
        <f t="shared" si="40"/>
        <v>14765.425000000001</v>
      </c>
      <c r="AS491" s="16" t="str">
        <f t="shared" si="41"/>
        <v>Occasional</v>
      </c>
    </row>
    <row r="492" spans="38:45" x14ac:dyDescent="0.25">
      <c r="AL492" s="16" t="s">
        <v>1870</v>
      </c>
      <c r="AM492" s="16" t="s">
        <v>831</v>
      </c>
      <c r="AN492" s="16">
        <f>COUNTIF(RawData[Customer_ID],AL492)</f>
        <v>7</v>
      </c>
      <c r="AO492" s="16">
        <f>SUMIF(RawData[Customer_ID],AL492,RawData[Quantity])</f>
        <v>22</v>
      </c>
      <c r="AP492" s="21">
        <f>SUMIF(RawData[Customer_ID],AL492,RawData[Revenue])</f>
        <v>196076.55</v>
      </c>
      <c r="AQ492" s="21">
        <f>SUMIF(RawData[Customer_ID],AL492,RawData[Profit])</f>
        <v>32970.509999999995</v>
      </c>
      <c r="AR492" s="16">
        <f t="shared" si="40"/>
        <v>28010.935714285712</v>
      </c>
      <c r="AS492" s="16" t="str">
        <f t="shared" si="41"/>
        <v>Loyal</v>
      </c>
    </row>
    <row r="493" spans="38:45" x14ac:dyDescent="0.25">
      <c r="AL493" s="16" t="s">
        <v>2780</v>
      </c>
      <c r="AM493" s="16" t="s">
        <v>779</v>
      </c>
      <c r="AN493" s="16">
        <f>COUNTIF(RawData[Customer_ID],AL493)</f>
        <v>5</v>
      </c>
      <c r="AO493" s="16">
        <f>SUMIF(RawData[Customer_ID],AL493,RawData[Quantity])</f>
        <v>18</v>
      </c>
      <c r="AP493" s="21">
        <f>SUMIF(RawData[Customer_ID],AL493,RawData[Revenue])</f>
        <v>382040</v>
      </c>
      <c r="AQ493" s="21">
        <f>SUMIF(RawData[Customer_ID],AL493,RawData[Profit])</f>
        <v>56898.699999999983</v>
      </c>
      <c r="AR493" s="16">
        <f t="shared" si="40"/>
        <v>76408</v>
      </c>
      <c r="AS493" s="16" t="str">
        <f t="shared" si="41"/>
        <v>Loyal</v>
      </c>
    </row>
    <row r="494" spans="38:45" x14ac:dyDescent="0.25">
      <c r="AL494" s="16" t="s">
        <v>2509</v>
      </c>
      <c r="AM494" s="16" t="s">
        <v>832</v>
      </c>
      <c r="AN494" s="16">
        <f>COUNTIF(RawData[Customer_ID],AL494)</f>
        <v>7</v>
      </c>
      <c r="AO494" s="16">
        <f>SUMIF(RawData[Customer_ID],AL494,RawData[Quantity])</f>
        <v>14</v>
      </c>
      <c r="AP494" s="21">
        <f>SUMIF(RawData[Customer_ID],AL494,RawData[Revenue])</f>
        <v>194526.30000000002</v>
      </c>
      <c r="AQ494" s="21">
        <f>SUMIF(RawData[Customer_ID],AL494,RawData[Profit])</f>
        <v>21410.240000000002</v>
      </c>
      <c r="AR494" s="16">
        <f t="shared" si="40"/>
        <v>27789.471428571433</v>
      </c>
      <c r="AS494" s="16" t="str">
        <f t="shared" si="41"/>
        <v>Loyal</v>
      </c>
    </row>
    <row r="495" spans="38:45" x14ac:dyDescent="0.25">
      <c r="AL495" s="16" t="s">
        <v>1787</v>
      </c>
      <c r="AM495" s="16" t="s">
        <v>833</v>
      </c>
      <c r="AN495" s="16">
        <f>COUNTIF(RawData[Customer_ID],AL495)</f>
        <v>5</v>
      </c>
      <c r="AO495" s="16">
        <f>SUMIF(RawData[Customer_ID],AL495,RawData[Quantity])</f>
        <v>13</v>
      </c>
      <c r="AP495" s="21">
        <f>SUMIF(RawData[Customer_ID],AL495,RawData[Revenue])</f>
        <v>64878.68</v>
      </c>
      <c r="AQ495" s="21">
        <f>SUMIF(RawData[Customer_ID],AL495,RawData[Profit])</f>
        <v>11835.979999999992</v>
      </c>
      <c r="AR495" s="16">
        <f t="shared" si="40"/>
        <v>12975.736000000001</v>
      </c>
      <c r="AS495" s="16" t="str">
        <f t="shared" si="41"/>
        <v>Loyal</v>
      </c>
    </row>
    <row r="496" spans="38:45" x14ac:dyDescent="0.25">
      <c r="AL496" s="16" t="s">
        <v>2748</v>
      </c>
      <c r="AM496" s="16" t="s">
        <v>834</v>
      </c>
      <c r="AN496" s="16">
        <f>COUNTIF(RawData[Customer_ID],AL496)</f>
        <v>2</v>
      </c>
      <c r="AO496" s="16">
        <f>SUMIF(RawData[Customer_ID],AL496,RawData[Quantity])</f>
        <v>5</v>
      </c>
      <c r="AP496" s="21">
        <f>SUMIF(RawData[Customer_ID],AL496,RawData[Revenue])</f>
        <v>147808.14000000001</v>
      </c>
      <c r="AQ496" s="21">
        <f>SUMIF(RawData[Customer_ID],AL496,RawData[Profit])</f>
        <v>18439.719999999994</v>
      </c>
      <c r="AR496" s="16">
        <f t="shared" si="40"/>
        <v>73904.070000000007</v>
      </c>
      <c r="AS496" s="16" t="str">
        <f t="shared" si="41"/>
        <v>Occasional</v>
      </c>
    </row>
    <row r="497" spans="38:45" x14ac:dyDescent="0.25">
      <c r="AL497" s="16" t="s">
        <v>5169</v>
      </c>
      <c r="AM497" s="16" t="s">
        <v>835</v>
      </c>
      <c r="AN497" s="16">
        <f>COUNTIF(RawData[Customer_ID],AL497)</f>
        <v>0</v>
      </c>
      <c r="AO497" s="16">
        <f>SUMIF(RawData[Customer_ID],AL497,RawData[Quantity])</f>
        <v>0</v>
      </c>
      <c r="AP497" s="21">
        <f>SUMIF(RawData[Customer_ID],AL497,RawData[Revenue])</f>
        <v>0</v>
      </c>
      <c r="AQ497" s="21">
        <f>SUMIF(RawData[Customer_ID],AL497,RawData[Profit])</f>
        <v>0</v>
      </c>
      <c r="AR497" s="16">
        <f t="shared" si="40"/>
        <v>0</v>
      </c>
      <c r="AS497" s="16" t="str">
        <f t="shared" si="41"/>
        <v>Occasional</v>
      </c>
    </row>
    <row r="498" spans="38:45" x14ac:dyDescent="0.25">
      <c r="AL498" s="16" t="s">
        <v>5090</v>
      </c>
      <c r="AM498" s="16" t="s">
        <v>836</v>
      </c>
      <c r="AN498" s="16">
        <f>COUNTIF(RawData[Customer_ID],AL498)</f>
        <v>6</v>
      </c>
      <c r="AO498" s="16">
        <f>SUMIF(RawData[Customer_ID],AL498,RawData[Quantity])</f>
        <v>19</v>
      </c>
      <c r="AP498" s="21">
        <f>SUMIF(RawData[Customer_ID],AL498,RawData[Revenue])</f>
        <v>98945.06</v>
      </c>
      <c r="AQ498" s="21">
        <f>SUMIF(RawData[Customer_ID],AL498,RawData[Profit])</f>
        <v>22423.94</v>
      </c>
      <c r="AR498" s="16">
        <f t="shared" si="40"/>
        <v>16490.843333333334</v>
      </c>
      <c r="AS498" s="16" t="str">
        <f t="shared" si="41"/>
        <v>Loyal</v>
      </c>
    </row>
    <row r="499" spans="38:45" x14ac:dyDescent="0.25">
      <c r="AL499" s="16" t="s">
        <v>3812</v>
      </c>
      <c r="AM499" s="16" t="s">
        <v>837</v>
      </c>
      <c r="AN499" s="16">
        <f>COUNTIF(RawData[Customer_ID],AL499)</f>
        <v>3</v>
      </c>
      <c r="AO499" s="16">
        <f>SUMIF(RawData[Customer_ID],AL499,RawData[Quantity])</f>
        <v>5</v>
      </c>
      <c r="AP499" s="21">
        <f>SUMIF(RawData[Customer_ID],AL499,RawData[Revenue])</f>
        <v>33995.800000000003</v>
      </c>
      <c r="AQ499" s="21">
        <f>SUMIF(RawData[Customer_ID],AL499,RawData[Profit])</f>
        <v>5090.3</v>
      </c>
      <c r="AR499" s="16">
        <f t="shared" si="40"/>
        <v>11331.933333333334</v>
      </c>
      <c r="AS499" s="16" t="str">
        <f t="shared" si="41"/>
        <v>Occasional</v>
      </c>
    </row>
    <row r="500" spans="38:45" x14ac:dyDescent="0.25">
      <c r="AL500" s="16" t="s">
        <v>3573</v>
      </c>
      <c r="AM500" s="16" t="s">
        <v>838</v>
      </c>
      <c r="AN500" s="16">
        <f>COUNTIF(RawData[Customer_ID],AL500)</f>
        <v>5</v>
      </c>
      <c r="AO500" s="16">
        <f>SUMIF(RawData[Customer_ID],AL500,RawData[Quantity])</f>
        <v>16</v>
      </c>
      <c r="AP500" s="21">
        <f>SUMIF(RawData[Customer_ID],AL500,RawData[Revenue])</f>
        <v>363909.84</v>
      </c>
      <c r="AQ500" s="21">
        <f>SUMIF(RawData[Customer_ID],AL500,RawData[Profit])</f>
        <v>61734.709999999985</v>
      </c>
      <c r="AR500" s="16">
        <f t="shared" si="40"/>
        <v>72781.968000000008</v>
      </c>
      <c r="AS500" s="16" t="str">
        <f t="shared" si="41"/>
        <v>Loyal</v>
      </c>
    </row>
    <row r="501" spans="38:45" x14ac:dyDescent="0.25">
      <c r="AL501" s="16" t="s">
        <v>3035</v>
      </c>
      <c r="AM501" s="16" t="s">
        <v>553</v>
      </c>
      <c r="AN501" s="16">
        <f>COUNTIF(RawData[Customer_ID],AL501)</f>
        <v>4</v>
      </c>
      <c r="AO501" s="16">
        <f>SUMIF(RawData[Customer_ID],AL501,RawData[Quantity])</f>
        <v>10</v>
      </c>
      <c r="AP501" s="21">
        <f>SUMIF(RawData[Customer_ID],AL501,RawData[Revenue])</f>
        <v>138369</v>
      </c>
      <c r="AQ501" s="21">
        <f>SUMIF(RawData[Customer_ID],AL501,RawData[Profit])</f>
        <v>17108.949999999983</v>
      </c>
      <c r="AR501" s="16">
        <f t="shared" si="40"/>
        <v>34592.25</v>
      </c>
      <c r="AS501" s="16" t="str">
        <f t="shared" si="41"/>
        <v>Occasional</v>
      </c>
    </row>
    <row r="502" spans="38:45" x14ac:dyDescent="0.25">
      <c r="AL502" s="16" t="s">
        <v>4001</v>
      </c>
      <c r="AM502" s="16" t="s">
        <v>777</v>
      </c>
      <c r="AN502" s="16">
        <f>COUNTIF(RawData[Customer_ID],AL502)</f>
        <v>5</v>
      </c>
      <c r="AO502" s="16">
        <f>SUMIF(RawData[Customer_ID],AL502,RawData[Quantity])</f>
        <v>17</v>
      </c>
      <c r="AP502" s="21">
        <f>SUMIF(RawData[Customer_ID],AL502,RawData[Revenue])</f>
        <v>93728.14</v>
      </c>
      <c r="AQ502" s="21">
        <f>SUMIF(RawData[Customer_ID],AL502,RawData[Profit])</f>
        <v>6188.4900000000116</v>
      </c>
      <c r="AR502" s="16">
        <f t="shared" si="40"/>
        <v>18745.628000000001</v>
      </c>
      <c r="AS502" s="16" t="str">
        <f t="shared" si="41"/>
        <v>Loyal</v>
      </c>
    </row>
    <row r="503" spans="38:45" x14ac:dyDescent="0.25">
      <c r="AL503" s="16" t="s">
        <v>2931</v>
      </c>
      <c r="AM503" s="16" t="s">
        <v>839</v>
      </c>
      <c r="AN503" s="16">
        <f>COUNTIF(RawData[Customer_ID],AL503)</f>
        <v>2</v>
      </c>
      <c r="AO503" s="16">
        <f>SUMIF(RawData[Customer_ID],AL503,RawData[Quantity])</f>
        <v>4</v>
      </c>
      <c r="AP503" s="21">
        <f>SUMIF(RawData[Customer_ID],AL503,RawData[Revenue])</f>
        <v>542.1</v>
      </c>
      <c r="AQ503" s="21">
        <f>SUMIF(RawData[Customer_ID],AL503,RawData[Profit])</f>
        <v>168</v>
      </c>
      <c r="AR503" s="16">
        <f t="shared" si="40"/>
        <v>271.05</v>
      </c>
      <c r="AS503" s="16" t="str">
        <f t="shared" si="41"/>
        <v>Occasional</v>
      </c>
    </row>
    <row r="504" spans="38:45" x14ac:dyDescent="0.25">
      <c r="AL504" s="16" t="s">
        <v>3427</v>
      </c>
      <c r="AM504" s="16" t="s">
        <v>840</v>
      </c>
      <c r="AN504" s="16">
        <f>COUNTIF(RawData[Customer_ID],AL504)</f>
        <v>2</v>
      </c>
      <c r="AO504" s="16">
        <f>SUMIF(RawData[Customer_ID],AL504,RawData[Quantity])</f>
        <v>7</v>
      </c>
      <c r="AP504" s="21">
        <f>SUMIF(RawData[Customer_ID],AL504,RawData[Revenue])</f>
        <v>123743.70000000001</v>
      </c>
      <c r="AQ504" s="21">
        <f>SUMIF(RawData[Customer_ID],AL504,RawData[Profit])</f>
        <v>9624.4500000000044</v>
      </c>
      <c r="AR504" s="16">
        <f t="shared" si="40"/>
        <v>61871.850000000006</v>
      </c>
      <c r="AS504" s="16" t="str">
        <f t="shared" si="41"/>
        <v>Occasional</v>
      </c>
    </row>
    <row r="505" spans="38:45" x14ac:dyDescent="0.25">
      <c r="AL505" s="16" t="s">
        <v>2715</v>
      </c>
      <c r="AM505" s="16" t="s">
        <v>841</v>
      </c>
      <c r="AN505" s="16">
        <f>COUNTIF(RawData[Customer_ID],AL505)</f>
        <v>6</v>
      </c>
      <c r="AO505" s="16">
        <f>SUMIF(RawData[Customer_ID],AL505,RawData[Quantity])</f>
        <v>17</v>
      </c>
      <c r="AP505" s="21">
        <f>SUMIF(RawData[Customer_ID],AL505,RawData[Revenue])</f>
        <v>85247.52</v>
      </c>
      <c r="AQ505" s="21">
        <f>SUMIF(RawData[Customer_ID],AL505,RawData[Profit])</f>
        <v>9185.7199999999975</v>
      </c>
      <c r="AR505" s="16">
        <f t="shared" si="40"/>
        <v>14207.92</v>
      </c>
      <c r="AS505" s="16" t="str">
        <f t="shared" si="41"/>
        <v>Loyal</v>
      </c>
    </row>
    <row r="506" spans="38:45" x14ac:dyDescent="0.25">
      <c r="AL506" s="16" t="s">
        <v>2050</v>
      </c>
      <c r="AM506" s="16" t="s">
        <v>842</v>
      </c>
      <c r="AN506" s="16">
        <f>COUNTIF(RawData[Customer_ID],AL506)</f>
        <v>3</v>
      </c>
      <c r="AO506" s="16">
        <f>SUMIF(RawData[Customer_ID],AL506,RawData[Quantity])</f>
        <v>11</v>
      </c>
      <c r="AP506" s="21">
        <f>SUMIF(RawData[Customer_ID],AL506,RawData[Revenue])</f>
        <v>233134.41999999998</v>
      </c>
      <c r="AQ506" s="21">
        <f>SUMIF(RawData[Customer_ID],AL506,RawData[Profit])</f>
        <v>33648.699999999997</v>
      </c>
      <c r="AR506" s="16">
        <f t="shared" si="40"/>
        <v>77711.473333333328</v>
      </c>
      <c r="AS506" s="16" t="str">
        <f t="shared" si="41"/>
        <v>Occasional</v>
      </c>
    </row>
    <row r="507" spans="38:45" x14ac:dyDescent="0.25">
      <c r="AL507" s="16" t="s">
        <v>3041</v>
      </c>
      <c r="AM507" s="16" t="s">
        <v>843</v>
      </c>
      <c r="AN507" s="16">
        <f>COUNTIF(RawData[Customer_ID],AL507)</f>
        <v>2</v>
      </c>
      <c r="AO507" s="16">
        <f>SUMIF(RawData[Customer_ID],AL507,RawData[Quantity])</f>
        <v>9</v>
      </c>
      <c r="AP507" s="21">
        <f>SUMIF(RawData[Customer_ID],AL507,RawData[Revenue])</f>
        <v>852</v>
      </c>
      <c r="AQ507" s="21">
        <f>SUMIF(RawData[Customer_ID],AL507,RawData[Profit])</f>
        <v>245.60000000000002</v>
      </c>
      <c r="AR507" s="16">
        <f t="shared" si="40"/>
        <v>426</v>
      </c>
      <c r="AS507" s="16" t="str">
        <f t="shared" si="41"/>
        <v>Occasional</v>
      </c>
    </row>
    <row r="508" spans="38:45" x14ac:dyDescent="0.25">
      <c r="AL508" s="16" t="s">
        <v>4939</v>
      </c>
      <c r="AM508" s="16" t="s">
        <v>844</v>
      </c>
      <c r="AN508" s="16">
        <f>COUNTIF(RawData[Customer_ID],AL508)</f>
        <v>1</v>
      </c>
      <c r="AO508" s="16">
        <f>SUMIF(RawData[Customer_ID],AL508,RawData[Quantity])</f>
        <v>3</v>
      </c>
      <c r="AP508" s="21">
        <f>SUMIF(RawData[Customer_ID],AL508,RawData[Revenue])</f>
        <v>19107.060000000001</v>
      </c>
      <c r="AQ508" s="21">
        <f>SUMIF(RawData[Customer_ID],AL508,RawData[Profit])</f>
        <v>5459.1600000000035</v>
      </c>
      <c r="AR508" s="16">
        <f t="shared" si="40"/>
        <v>19107.060000000001</v>
      </c>
      <c r="AS508" s="16" t="str">
        <f t="shared" si="41"/>
        <v>One-time</v>
      </c>
    </row>
    <row r="509" spans="38:45" x14ac:dyDescent="0.25">
      <c r="AL509" s="16" t="s">
        <v>1864</v>
      </c>
      <c r="AM509" s="16" t="s">
        <v>845</v>
      </c>
      <c r="AN509" s="16">
        <f>COUNTIF(RawData[Customer_ID],AL509)</f>
        <v>4</v>
      </c>
      <c r="AO509" s="16">
        <f>SUMIF(RawData[Customer_ID],AL509,RawData[Quantity])</f>
        <v>11</v>
      </c>
      <c r="AP509" s="21">
        <f>SUMIF(RawData[Customer_ID],AL509,RawData[Revenue])</f>
        <v>229594.51</v>
      </c>
      <c r="AQ509" s="21">
        <f>SUMIF(RawData[Customer_ID],AL509,RawData[Profit])</f>
        <v>37912.319999999978</v>
      </c>
      <c r="AR509" s="16">
        <f t="shared" si="40"/>
        <v>57398.627500000002</v>
      </c>
      <c r="AS509" s="16" t="str">
        <f t="shared" si="41"/>
        <v>Occasional</v>
      </c>
    </row>
    <row r="510" spans="38:45" x14ac:dyDescent="0.25">
      <c r="AL510" s="16" t="s">
        <v>2206</v>
      </c>
      <c r="AM510" s="16" t="s">
        <v>846</v>
      </c>
      <c r="AN510" s="16">
        <f>COUNTIF(RawData[Customer_ID],AL510)</f>
        <v>8</v>
      </c>
      <c r="AO510" s="16">
        <f>SUMIF(RawData[Customer_ID],AL510,RawData[Quantity])</f>
        <v>23</v>
      </c>
      <c r="AP510" s="21">
        <f>SUMIF(RawData[Customer_ID],AL510,RawData[Revenue])</f>
        <v>248101.98</v>
      </c>
      <c r="AQ510" s="21">
        <f>SUMIF(RawData[Customer_ID],AL510,RawData[Profit])</f>
        <v>24991.550000000021</v>
      </c>
      <c r="AR510" s="16">
        <f t="shared" si="40"/>
        <v>31012.747500000001</v>
      </c>
      <c r="AS510" s="16" t="str">
        <f t="shared" si="41"/>
        <v>Loyal</v>
      </c>
    </row>
    <row r="511" spans="38:45" x14ac:dyDescent="0.25">
      <c r="AL511" s="16" t="s">
        <v>1659</v>
      </c>
      <c r="AM511" s="16" t="s">
        <v>847</v>
      </c>
      <c r="AN511" s="16">
        <f>COUNTIF(RawData[Customer_ID],AL511)</f>
        <v>2</v>
      </c>
      <c r="AO511" s="16">
        <f>SUMIF(RawData[Customer_ID],AL511,RawData[Quantity])</f>
        <v>7</v>
      </c>
      <c r="AP511" s="21">
        <f>SUMIF(RawData[Customer_ID],AL511,RawData[Revenue])</f>
        <v>34998.719999999994</v>
      </c>
      <c r="AQ511" s="21">
        <f>SUMIF(RawData[Customer_ID],AL511,RawData[Profit])</f>
        <v>7674.5699999999952</v>
      </c>
      <c r="AR511" s="16">
        <f t="shared" si="40"/>
        <v>17499.359999999997</v>
      </c>
      <c r="AS511" s="16" t="str">
        <f t="shared" si="41"/>
        <v>Occasional</v>
      </c>
    </row>
    <row r="512" spans="38:45" x14ac:dyDescent="0.25">
      <c r="AL512" s="16" t="s">
        <v>3185</v>
      </c>
      <c r="AM512" s="16" t="s">
        <v>848</v>
      </c>
      <c r="AN512" s="16">
        <f>COUNTIF(RawData[Customer_ID],AL512)</f>
        <v>3</v>
      </c>
      <c r="AO512" s="16">
        <f>SUMIF(RawData[Customer_ID],AL512,RawData[Quantity])</f>
        <v>7</v>
      </c>
      <c r="AP512" s="21">
        <f>SUMIF(RawData[Customer_ID],AL512,RawData[Revenue])</f>
        <v>27595.059999999998</v>
      </c>
      <c r="AQ512" s="21">
        <f>SUMIF(RawData[Customer_ID],AL512,RawData[Profit])</f>
        <v>2894.91</v>
      </c>
      <c r="AR512" s="16">
        <f t="shared" si="40"/>
        <v>9198.3533333333326</v>
      </c>
      <c r="AS512" s="16" t="str">
        <f t="shared" si="41"/>
        <v>Occasional</v>
      </c>
    </row>
    <row r="513" spans="38:45" x14ac:dyDescent="0.25">
      <c r="AL513" s="16" t="s">
        <v>3325</v>
      </c>
      <c r="AM513" s="16" t="s">
        <v>849</v>
      </c>
      <c r="AN513" s="16">
        <f>COUNTIF(RawData[Customer_ID],AL513)</f>
        <v>5</v>
      </c>
      <c r="AO513" s="16">
        <f>SUMIF(RawData[Customer_ID],AL513,RawData[Quantity])</f>
        <v>15</v>
      </c>
      <c r="AP513" s="21">
        <f>SUMIF(RawData[Customer_ID],AL513,RawData[Revenue])</f>
        <v>188989.07</v>
      </c>
      <c r="AQ513" s="21">
        <f>SUMIF(RawData[Customer_ID],AL513,RawData[Profit])</f>
        <v>27368.549999999996</v>
      </c>
      <c r="AR513" s="16">
        <f t="shared" si="40"/>
        <v>37797.813999999998</v>
      </c>
      <c r="AS513" s="16" t="str">
        <f t="shared" si="41"/>
        <v>Loyal</v>
      </c>
    </row>
    <row r="514" spans="38:45" x14ac:dyDescent="0.25">
      <c r="AL514" s="16" t="s">
        <v>2943</v>
      </c>
      <c r="AM514" s="16" t="s">
        <v>850</v>
      </c>
      <c r="AN514" s="16">
        <f>COUNTIF(RawData[Customer_ID],AL514)</f>
        <v>2</v>
      </c>
      <c r="AO514" s="16">
        <f>SUMIF(RawData[Customer_ID],AL514,RawData[Quantity])</f>
        <v>4</v>
      </c>
      <c r="AP514" s="21">
        <f>SUMIF(RawData[Customer_ID],AL514,RawData[Revenue])</f>
        <v>140486.43</v>
      </c>
      <c r="AQ514" s="21">
        <f>SUMIF(RawData[Customer_ID],AL514,RawData[Profit])</f>
        <v>18144.559999999998</v>
      </c>
      <c r="AR514" s="16">
        <f t="shared" si="40"/>
        <v>70243.214999999997</v>
      </c>
      <c r="AS514" s="16" t="str">
        <f t="shared" si="41"/>
        <v>Occasional</v>
      </c>
    </row>
    <row r="515" spans="38:45" x14ac:dyDescent="0.25">
      <c r="AL515" s="16" t="s">
        <v>1613</v>
      </c>
      <c r="AM515" s="16" t="s">
        <v>851</v>
      </c>
      <c r="AN515" s="16">
        <f>COUNTIF(RawData[Customer_ID],AL515)</f>
        <v>2</v>
      </c>
      <c r="AO515" s="16">
        <f>SUMIF(RawData[Customer_ID],AL515,RawData[Quantity])</f>
        <v>5</v>
      </c>
      <c r="AP515" s="21">
        <f>SUMIF(RawData[Customer_ID],AL515,RawData[Revenue])</f>
        <v>79905.509999999995</v>
      </c>
      <c r="AQ515" s="21">
        <f>SUMIF(RawData[Customer_ID],AL515,RawData[Profit])</f>
        <v>2944.7099999999891</v>
      </c>
      <c r="AR515" s="16">
        <f t="shared" ref="AR515:AR578" si="42">IF(AN515=0,0,AP515/AN515)</f>
        <v>39952.754999999997</v>
      </c>
      <c r="AS515" s="16" t="str">
        <f t="shared" ref="AS515:AS578" si="43">IF(AN515=1,"One-time",IF(AN515&lt;=4,"Occasional",IF(AN515&lt;=8,"Loyal","Review")))</f>
        <v>Occasional</v>
      </c>
    </row>
    <row r="516" spans="38:45" x14ac:dyDescent="0.25">
      <c r="AL516" s="16" t="s">
        <v>2152</v>
      </c>
      <c r="AM516" s="16" t="s">
        <v>852</v>
      </c>
      <c r="AN516" s="16">
        <f>COUNTIF(RawData[Customer_ID],AL516)</f>
        <v>2</v>
      </c>
      <c r="AO516" s="16">
        <f>SUMIF(RawData[Customer_ID],AL516,RawData[Quantity])</f>
        <v>7</v>
      </c>
      <c r="AP516" s="21">
        <f>SUMIF(RawData[Customer_ID],AL516,RawData[Revenue])</f>
        <v>14034</v>
      </c>
      <c r="AQ516" s="21">
        <f>SUMIF(RawData[Customer_ID],AL516,RawData[Profit])</f>
        <v>1805</v>
      </c>
      <c r="AR516" s="16">
        <f t="shared" si="42"/>
        <v>7017</v>
      </c>
      <c r="AS516" s="16" t="str">
        <f t="shared" si="43"/>
        <v>Occasional</v>
      </c>
    </row>
    <row r="517" spans="38:45" x14ac:dyDescent="0.25">
      <c r="AL517" s="16" t="s">
        <v>4949</v>
      </c>
      <c r="AM517" s="16" t="s">
        <v>853</v>
      </c>
      <c r="AN517" s="16">
        <f>COUNTIF(RawData[Customer_ID],AL517)</f>
        <v>2</v>
      </c>
      <c r="AO517" s="16">
        <f>SUMIF(RawData[Customer_ID],AL517,RawData[Quantity])</f>
        <v>9</v>
      </c>
      <c r="AP517" s="21">
        <f>SUMIF(RawData[Customer_ID],AL517,RawData[Revenue])</f>
        <v>1116.5999999999999</v>
      </c>
      <c r="AQ517" s="21">
        <f>SUMIF(RawData[Customer_ID],AL517,RawData[Profit])</f>
        <v>302.70000000000005</v>
      </c>
      <c r="AR517" s="16">
        <f t="shared" si="42"/>
        <v>558.29999999999995</v>
      </c>
      <c r="AS517" s="16" t="str">
        <f t="shared" si="43"/>
        <v>Occasional</v>
      </c>
    </row>
    <row r="518" spans="38:45" x14ac:dyDescent="0.25">
      <c r="AL518" s="16" t="s">
        <v>1353</v>
      </c>
      <c r="AM518" s="16" t="s">
        <v>854</v>
      </c>
      <c r="AN518" s="16">
        <f>COUNTIF(RawData[Customer_ID],AL518)</f>
        <v>4</v>
      </c>
      <c r="AO518" s="16">
        <f>SUMIF(RawData[Customer_ID],AL518,RawData[Quantity])</f>
        <v>9</v>
      </c>
      <c r="AP518" s="21">
        <f>SUMIF(RawData[Customer_ID],AL518,RawData[Revenue])</f>
        <v>17429.099999999999</v>
      </c>
      <c r="AQ518" s="21">
        <f>SUMIF(RawData[Customer_ID],AL518,RawData[Profit])</f>
        <v>5015.5</v>
      </c>
      <c r="AR518" s="16">
        <f t="shared" si="42"/>
        <v>4357.2749999999996</v>
      </c>
      <c r="AS518" s="16" t="str">
        <f t="shared" si="43"/>
        <v>Occasional</v>
      </c>
    </row>
    <row r="519" spans="38:45" x14ac:dyDescent="0.25">
      <c r="AL519" s="16" t="s">
        <v>4738</v>
      </c>
      <c r="AM519" s="16" t="s">
        <v>855</v>
      </c>
      <c r="AN519" s="16">
        <f>COUNTIF(RawData[Customer_ID],AL519)</f>
        <v>3</v>
      </c>
      <c r="AO519" s="16">
        <f>SUMIF(RawData[Customer_ID],AL519,RawData[Quantity])</f>
        <v>6</v>
      </c>
      <c r="AP519" s="21">
        <f>SUMIF(RawData[Customer_ID],AL519,RawData[Revenue])</f>
        <v>713.3</v>
      </c>
      <c r="AQ519" s="21">
        <f>SUMIF(RawData[Customer_ID],AL519,RawData[Profit])</f>
        <v>201.60000000000002</v>
      </c>
      <c r="AR519" s="16">
        <f t="shared" si="42"/>
        <v>237.76666666666665</v>
      </c>
      <c r="AS519" s="16" t="str">
        <f t="shared" si="43"/>
        <v>Occasional</v>
      </c>
    </row>
    <row r="520" spans="38:45" x14ac:dyDescent="0.25">
      <c r="AL520" s="16" t="s">
        <v>1991</v>
      </c>
      <c r="AM520" s="16" t="s">
        <v>856</v>
      </c>
      <c r="AN520" s="16">
        <f>COUNTIF(RawData[Customer_ID],AL520)</f>
        <v>3</v>
      </c>
      <c r="AO520" s="16">
        <f>SUMIF(RawData[Customer_ID],AL520,RawData[Quantity])</f>
        <v>6</v>
      </c>
      <c r="AP520" s="21">
        <f>SUMIF(RawData[Customer_ID],AL520,RawData[Revenue])</f>
        <v>107840.92000000001</v>
      </c>
      <c r="AQ520" s="21">
        <f>SUMIF(RawData[Customer_ID],AL520,RawData[Profit])</f>
        <v>12925.26</v>
      </c>
      <c r="AR520" s="16">
        <f t="shared" si="42"/>
        <v>35946.973333333335</v>
      </c>
      <c r="AS520" s="16" t="str">
        <f t="shared" si="43"/>
        <v>Occasional</v>
      </c>
    </row>
    <row r="521" spans="38:45" x14ac:dyDescent="0.25">
      <c r="AL521" s="16" t="s">
        <v>5170</v>
      </c>
      <c r="AM521" s="16" t="s">
        <v>857</v>
      </c>
      <c r="AN521" s="16">
        <f>COUNTIF(RawData[Customer_ID],AL521)</f>
        <v>0</v>
      </c>
      <c r="AO521" s="16">
        <f>SUMIF(RawData[Customer_ID],AL521,RawData[Quantity])</f>
        <v>0</v>
      </c>
      <c r="AP521" s="21">
        <f>SUMIF(RawData[Customer_ID],AL521,RawData[Revenue])</f>
        <v>0</v>
      </c>
      <c r="AQ521" s="21">
        <f>SUMIF(RawData[Customer_ID],AL521,RawData[Profit])</f>
        <v>0</v>
      </c>
      <c r="AR521" s="16">
        <f t="shared" si="42"/>
        <v>0</v>
      </c>
      <c r="AS521" s="16" t="str">
        <f t="shared" si="43"/>
        <v>Occasional</v>
      </c>
    </row>
    <row r="522" spans="38:45" x14ac:dyDescent="0.25">
      <c r="AL522" s="16" t="s">
        <v>1357</v>
      </c>
      <c r="AM522" s="16" t="s">
        <v>858</v>
      </c>
      <c r="AN522" s="16">
        <f>COUNTIF(RawData[Customer_ID],AL522)</f>
        <v>1</v>
      </c>
      <c r="AO522" s="16">
        <f>SUMIF(RawData[Customer_ID],AL522,RawData[Quantity])</f>
        <v>5</v>
      </c>
      <c r="AP522" s="21">
        <f>SUMIF(RawData[Customer_ID],AL522,RawData[Revenue])</f>
        <v>380</v>
      </c>
      <c r="AQ522" s="21">
        <f>SUMIF(RawData[Customer_ID],AL522,RawData[Profit])</f>
        <v>100</v>
      </c>
      <c r="AR522" s="16">
        <f t="shared" si="42"/>
        <v>380</v>
      </c>
      <c r="AS522" s="16" t="str">
        <f t="shared" si="43"/>
        <v>One-time</v>
      </c>
    </row>
    <row r="523" spans="38:45" x14ac:dyDescent="0.25">
      <c r="AL523" s="16" t="s">
        <v>2422</v>
      </c>
      <c r="AM523" s="16" t="s">
        <v>859</v>
      </c>
      <c r="AN523" s="16">
        <f>COUNTIF(RawData[Customer_ID],AL523)</f>
        <v>3</v>
      </c>
      <c r="AO523" s="16">
        <f>SUMIF(RawData[Customer_ID],AL523,RawData[Quantity])</f>
        <v>6</v>
      </c>
      <c r="AP523" s="21">
        <f>SUMIF(RawData[Customer_ID],AL523,RawData[Revenue])</f>
        <v>1842.6</v>
      </c>
      <c r="AQ523" s="21">
        <f>SUMIF(RawData[Customer_ID],AL523,RawData[Profit])</f>
        <v>572.79999999999995</v>
      </c>
      <c r="AR523" s="16">
        <f t="shared" si="42"/>
        <v>614.19999999999993</v>
      </c>
      <c r="AS523" s="16" t="str">
        <f t="shared" si="43"/>
        <v>Occasional</v>
      </c>
    </row>
    <row r="524" spans="38:45" x14ac:dyDescent="0.25">
      <c r="AL524" s="16" t="s">
        <v>1565</v>
      </c>
      <c r="AM524" s="16" t="s">
        <v>860</v>
      </c>
      <c r="AN524" s="16">
        <f>COUNTIF(RawData[Customer_ID],AL524)</f>
        <v>4</v>
      </c>
      <c r="AO524" s="16">
        <f>SUMIF(RawData[Customer_ID],AL524,RawData[Quantity])</f>
        <v>8</v>
      </c>
      <c r="AP524" s="21">
        <f>SUMIF(RawData[Customer_ID],AL524,RawData[Revenue])</f>
        <v>208896.96000000002</v>
      </c>
      <c r="AQ524" s="21">
        <f>SUMIF(RawData[Customer_ID],AL524,RawData[Profit])</f>
        <v>23145.919999999987</v>
      </c>
      <c r="AR524" s="16">
        <f t="shared" si="42"/>
        <v>52224.240000000005</v>
      </c>
      <c r="AS524" s="16" t="str">
        <f t="shared" si="43"/>
        <v>Occasional</v>
      </c>
    </row>
    <row r="525" spans="38:45" x14ac:dyDescent="0.25">
      <c r="AL525" s="16" t="s">
        <v>2141</v>
      </c>
      <c r="AM525" s="16" t="s">
        <v>861</v>
      </c>
      <c r="AN525" s="16">
        <f>COUNTIF(RawData[Customer_ID],AL525)</f>
        <v>3</v>
      </c>
      <c r="AO525" s="16">
        <f>SUMIF(RawData[Customer_ID],AL525,RawData[Quantity])</f>
        <v>13</v>
      </c>
      <c r="AP525" s="21">
        <f>SUMIF(RawData[Customer_ID],AL525,RawData[Revenue])</f>
        <v>40447.199999999997</v>
      </c>
      <c r="AQ525" s="21">
        <f>SUMIF(RawData[Customer_ID],AL525,RawData[Profit])</f>
        <v>9945.7999999999993</v>
      </c>
      <c r="AR525" s="16">
        <f t="shared" si="42"/>
        <v>13482.4</v>
      </c>
      <c r="AS525" s="16" t="str">
        <f t="shared" si="43"/>
        <v>Occasional</v>
      </c>
    </row>
    <row r="526" spans="38:45" x14ac:dyDescent="0.25">
      <c r="AL526" s="16" t="s">
        <v>1609</v>
      </c>
      <c r="AM526" s="16" t="s">
        <v>862</v>
      </c>
      <c r="AN526" s="16">
        <f>COUNTIF(RawData[Customer_ID],AL526)</f>
        <v>2</v>
      </c>
      <c r="AO526" s="16">
        <f>SUMIF(RawData[Customer_ID],AL526,RawData[Quantity])</f>
        <v>10</v>
      </c>
      <c r="AP526" s="21">
        <f>SUMIF(RawData[Customer_ID],AL526,RawData[Revenue])</f>
        <v>60365.4</v>
      </c>
      <c r="AQ526" s="21">
        <f>SUMIF(RawData[Customer_ID],AL526,RawData[Profit])</f>
        <v>11794.150000000001</v>
      </c>
      <c r="AR526" s="16">
        <f t="shared" si="42"/>
        <v>30182.7</v>
      </c>
      <c r="AS526" s="16" t="str">
        <f t="shared" si="43"/>
        <v>Occasional</v>
      </c>
    </row>
    <row r="527" spans="38:45" x14ac:dyDescent="0.25">
      <c r="AL527" s="16" t="s">
        <v>1800</v>
      </c>
      <c r="AM527" s="16" t="s">
        <v>863</v>
      </c>
      <c r="AN527" s="16">
        <f>COUNTIF(RawData[Customer_ID],AL527)</f>
        <v>2</v>
      </c>
      <c r="AO527" s="16">
        <f>SUMIF(RawData[Customer_ID],AL527,RawData[Quantity])</f>
        <v>5</v>
      </c>
      <c r="AP527" s="21">
        <f>SUMIF(RawData[Customer_ID],AL527,RawData[Revenue])</f>
        <v>135675.21999999997</v>
      </c>
      <c r="AQ527" s="21">
        <f>SUMIF(RawData[Customer_ID],AL527,RawData[Profit])</f>
        <v>23179.179999999975</v>
      </c>
      <c r="AR527" s="16">
        <f t="shared" si="42"/>
        <v>67837.609999999986</v>
      </c>
      <c r="AS527" s="16" t="str">
        <f t="shared" si="43"/>
        <v>Occasional</v>
      </c>
    </row>
    <row r="528" spans="38:45" x14ac:dyDescent="0.25">
      <c r="AL528" s="16" t="s">
        <v>1255</v>
      </c>
      <c r="AM528" s="16" t="s">
        <v>864</v>
      </c>
      <c r="AN528" s="16">
        <f>COUNTIF(RawData[Customer_ID],AL528)</f>
        <v>2</v>
      </c>
      <c r="AO528" s="16">
        <f>SUMIF(RawData[Customer_ID],AL528,RawData[Quantity])</f>
        <v>9</v>
      </c>
      <c r="AP528" s="21">
        <f>SUMIF(RawData[Customer_ID],AL528,RawData[Revenue])</f>
        <v>890</v>
      </c>
      <c r="AQ528" s="21">
        <f>SUMIF(RawData[Customer_ID],AL528,RawData[Profit])</f>
        <v>220</v>
      </c>
      <c r="AR528" s="16">
        <f t="shared" si="42"/>
        <v>445</v>
      </c>
      <c r="AS528" s="16" t="str">
        <f t="shared" si="43"/>
        <v>Occasional</v>
      </c>
    </row>
    <row r="529" spans="38:45" x14ac:dyDescent="0.25">
      <c r="AL529" s="16" t="s">
        <v>1731</v>
      </c>
      <c r="AM529" s="16" t="s">
        <v>865</v>
      </c>
      <c r="AN529" s="16">
        <f>COUNTIF(RawData[Customer_ID],AL529)</f>
        <v>5</v>
      </c>
      <c r="AO529" s="16">
        <f>SUMIF(RawData[Customer_ID],AL529,RawData[Quantity])</f>
        <v>22</v>
      </c>
      <c r="AP529" s="21">
        <f>SUMIF(RawData[Customer_ID],AL529,RawData[Revenue])</f>
        <v>273383.84999999998</v>
      </c>
      <c r="AQ529" s="21">
        <f>SUMIF(RawData[Customer_ID],AL529,RawData[Profit])</f>
        <v>24959.79999999997</v>
      </c>
      <c r="AR529" s="16">
        <f t="shared" si="42"/>
        <v>54676.77</v>
      </c>
      <c r="AS529" s="16" t="str">
        <f t="shared" si="43"/>
        <v>Loyal</v>
      </c>
    </row>
    <row r="530" spans="38:45" x14ac:dyDescent="0.25">
      <c r="AL530" s="16" t="s">
        <v>3423</v>
      </c>
      <c r="AM530" s="16" t="s">
        <v>866</v>
      </c>
      <c r="AN530" s="16">
        <f>COUNTIF(RawData[Customer_ID],AL530)</f>
        <v>4</v>
      </c>
      <c r="AO530" s="16">
        <f>SUMIF(RawData[Customer_ID],AL530,RawData[Quantity])</f>
        <v>14</v>
      </c>
      <c r="AP530" s="21">
        <f>SUMIF(RawData[Customer_ID],AL530,RawData[Revenue])</f>
        <v>31956</v>
      </c>
      <c r="AQ530" s="21">
        <f>SUMIF(RawData[Customer_ID],AL530,RawData[Profit])</f>
        <v>6551</v>
      </c>
      <c r="AR530" s="16">
        <f t="shared" si="42"/>
        <v>7989</v>
      </c>
      <c r="AS530" s="16" t="str">
        <f t="shared" si="43"/>
        <v>Occasional</v>
      </c>
    </row>
    <row r="531" spans="38:45" x14ac:dyDescent="0.25">
      <c r="AL531" s="16" t="s">
        <v>2449</v>
      </c>
      <c r="AM531" s="16" t="s">
        <v>867</v>
      </c>
      <c r="AN531" s="16">
        <f>COUNTIF(RawData[Customer_ID],AL531)</f>
        <v>2</v>
      </c>
      <c r="AO531" s="16">
        <f>SUMIF(RawData[Customer_ID],AL531,RawData[Quantity])</f>
        <v>3</v>
      </c>
      <c r="AP531" s="21">
        <f>SUMIF(RawData[Customer_ID],AL531,RawData[Revenue])</f>
        <v>67807.099999999991</v>
      </c>
      <c r="AQ531" s="21">
        <f>SUMIF(RawData[Customer_ID],AL531,RawData[Profit])</f>
        <v>12059.399999999994</v>
      </c>
      <c r="AR531" s="16">
        <f t="shared" si="42"/>
        <v>33903.549999999996</v>
      </c>
      <c r="AS531" s="16" t="str">
        <f t="shared" si="43"/>
        <v>Occasional</v>
      </c>
    </row>
    <row r="532" spans="38:45" x14ac:dyDescent="0.25">
      <c r="AL532" s="16" t="s">
        <v>2997</v>
      </c>
      <c r="AM532" s="16" t="s">
        <v>510</v>
      </c>
      <c r="AN532" s="16">
        <f>COUNTIF(RawData[Customer_ID],AL532)</f>
        <v>4</v>
      </c>
      <c r="AO532" s="16">
        <f>SUMIF(RawData[Customer_ID],AL532,RawData[Quantity])</f>
        <v>13</v>
      </c>
      <c r="AP532" s="21">
        <f>SUMIF(RawData[Customer_ID],AL532,RawData[Revenue])</f>
        <v>44289.209999999992</v>
      </c>
      <c r="AQ532" s="21">
        <f>SUMIF(RawData[Customer_ID],AL532,RawData[Profit])</f>
        <v>11048.809999999998</v>
      </c>
      <c r="AR532" s="16">
        <f t="shared" si="42"/>
        <v>11072.302499999998</v>
      </c>
      <c r="AS532" s="16" t="str">
        <f t="shared" si="43"/>
        <v>Occasional</v>
      </c>
    </row>
    <row r="533" spans="38:45" x14ac:dyDescent="0.25">
      <c r="AL533" s="16" t="s">
        <v>3412</v>
      </c>
      <c r="AM533" s="16" t="s">
        <v>868</v>
      </c>
      <c r="AN533" s="16">
        <f>COUNTIF(RawData[Customer_ID],AL533)</f>
        <v>3</v>
      </c>
      <c r="AO533" s="16">
        <f>SUMIF(RawData[Customer_ID],AL533,RawData[Quantity])</f>
        <v>8</v>
      </c>
      <c r="AP533" s="21">
        <f>SUMIF(RawData[Customer_ID],AL533,RawData[Revenue])</f>
        <v>72366.3</v>
      </c>
      <c r="AQ533" s="21">
        <f>SUMIF(RawData[Customer_ID],AL533,RawData[Profit])</f>
        <v>14355.490000000002</v>
      </c>
      <c r="AR533" s="16">
        <f t="shared" si="42"/>
        <v>24122.100000000002</v>
      </c>
      <c r="AS533" s="16" t="str">
        <f t="shared" si="43"/>
        <v>Occasional</v>
      </c>
    </row>
    <row r="534" spans="38:45" x14ac:dyDescent="0.25">
      <c r="AL534" s="16" t="s">
        <v>2836</v>
      </c>
      <c r="AM534" s="16" t="s">
        <v>869</v>
      </c>
      <c r="AN534" s="16">
        <f>COUNTIF(RawData[Customer_ID],AL534)</f>
        <v>1</v>
      </c>
      <c r="AO534" s="16">
        <f>SUMIF(RawData[Customer_ID],AL534,RawData[Quantity])</f>
        <v>5</v>
      </c>
      <c r="AP534" s="21">
        <f>SUMIF(RawData[Customer_ID],AL534,RawData[Revenue])</f>
        <v>250245.45</v>
      </c>
      <c r="AQ534" s="21">
        <f>SUMIF(RawData[Customer_ID],AL534,RawData[Profit])</f>
        <v>24749.550000000017</v>
      </c>
      <c r="AR534" s="16">
        <f t="shared" si="42"/>
        <v>250245.45</v>
      </c>
      <c r="AS534" s="16" t="str">
        <f t="shared" si="43"/>
        <v>One-time</v>
      </c>
    </row>
    <row r="535" spans="38:45" x14ac:dyDescent="0.25">
      <c r="AL535" s="16" t="s">
        <v>2068</v>
      </c>
      <c r="AM535" s="16" t="s">
        <v>775</v>
      </c>
      <c r="AN535" s="16">
        <f>COUNTIF(RawData[Customer_ID],AL535)</f>
        <v>4</v>
      </c>
      <c r="AO535" s="16">
        <f>SUMIF(RawData[Customer_ID],AL535,RawData[Quantity])</f>
        <v>14</v>
      </c>
      <c r="AP535" s="21">
        <f>SUMIF(RawData[Customer_ID],AL535,RawData[Revenue])</f>
        <v>304861.26</v>
      </c>
      <c r="AQ535" s="21">
        <f>SUMIF(RawData[Customer_ID],AL535,RawData[Profit])</f>
        <v>30665.440000000002</v>
      </c>
      <c r="AR535" s="16">
        <f t="shared" si="42"/>
        <v>76215.315000000002</v>
      </c>
      <c r="AS535" s="16" t="str">
        <f t="shared" si="43"/>
        <v>Occasional</v>
      </c>
    </row>
    <row r="536" spans="38:45" x14ac:dyDescent="0.25">
      <c r="AL536" s="16" t="s">
        <v>4380</v>
      </c>
      <c r="AM536" s="16" t="s">
        <v>870</v>
      </c>
      <c r="AN536" s="16">
        <f>COUNTIF(RawData[Customer_ID],AL536)</f>
        <v>4</v>
      </c>
      <c r="AO536" s="16">
        <f>SUMIF(RawData[Customer_ID],AL536,RawData[Quantity])</f>
        <v>16</v>
      </c>
      <c r="AP536" s="21">
        <f>SUMIF(RawData[Customer_ID],AL536,RawData[Revenue])</f>
        <v>466898.55</v>
      </c>
      <c r="AQ536" s="21">
        <f>SUMIF(RawData[Customer_ID],AL536,RawData[Profit])</f>
        <v>54759.229999999981</v>
      </c>
      <c r="AR536" s="16">
        <f t="shared" si="42"/>
        <v>116724.6375</v>
      </c>
      <c r="AS536" s="16" t="str">
        <f t="shared" si="43"/>
        <v>Occasional</v>
      </c>
    </row>
    <row r="537" spans="38:45" x14ac:dyDescent="0.25">
      <c r="AL537" s="16" t="s">
        <v>1793</v>
      </c>
      <c r="AM537" s="16" t="s">
        <v>871</v>
      </c>
      <c r="AN537" s="16">
        <f>COUNTIF(RawData[Customer_ID],AL537)</f>
        <v>2</v>
      </c>
      <c r="AO537" s="16">
        <f>SUMIF(RawData[Customer_ID],AL537,RawData[Quantity])</f>
        <v>6</v>
      </c>
      <c r="AP537" s="21">
        <f>SUMIF(RawData[Customer_ID],AL537,RawData[Revenue])</f>
        <v>18280</v>
      </c>
      <c r="AQ537" s="21">
        <f>SUMIF(RawData[Customer_ID],AL537,RawData[Profit])</f>
        <v>4360</v>
      </c>
      <c r="AR537" s="16">
        <f t="shared" si="42"/>
        <v>9140</v>
      </c>
      <c r="AS537" s="16" t="str">
        <f t="shared" si="43"/>
        <v>Occasional</v>
      </c>
    </row>
    <row r="538" spans="38:45" x14ac:dyDescent="0.25">
      <c r="AL538" s="16" t="s">
        <v>2223</v>
      </c>
      <c r="AM538" s="16" t="s">
        <v>872</v>
      </c>
      <c r="AN538" s="16">
        <f>COUNTIF(RawData[Customer_ID],AL538)</f>
        <v>1</v>
      </c>
      <c r="AO538" s="16">
        <f>SUMIF(RawData[Customer_ID],AL538,RawData[Quantity])</f>
        <v>3</v>
      </c>
      <c r="AP538" s="21">
        <f>SUMIF(RawData[Customer_ID],AL538,RawData[Revenue])</f>
        <v>77547.179999999993</v>
      </c>
      <c r="AQ538" s="21">
        <f>SUMIF(RawData[Customer_ID],AL538,RawData[Profit])</f>
        <v>12374.549999999988</v>
      </c>
      <c r="AR538" s="16">
        <f t="shared" si="42"/>
        <v>77547.179999999993</v>
      </c>
      <c r="AS538" s="16" t="str">
        <f t="shared" si="43"/>
        <v>One-time</v>
      </c>
    </row>
    <row r="539" spans="38:45" x14ac:dyDescent="0.25">
      <c r="AL539" s="16" t="s">
        <v>2009</v>
      </c>
      <c r="AM539" s="16" t="s">
        <v>873</v>
      </c>
      <c r="AN539" s="16">
        <f>COUNTIF(RawData[Customer_ID],AL539)</f>
        <v>1</v>
      </c>
      <c r="AO539" s="16">
        <f>SUMIF(RawData[Customer_ID],AL539,RawData[Quantity])</f>
        <v>4</v>
      </c>
      <c r="AP539" s="21">
        <f>SUMIF(RawData[Customer_ID],AL539,RawData[Revenue])</f>
        <v>103396.23999999999</v>
      </c>
      <c r="AQ539" s="21">
        <f>SUMIF(RawData[Customer_ID],AL539,RawData[Profit])</f>
        <v>16499.39999999998</v>
      </c>
      <c r="AR539" s="16">
        <f t="shared" si="42"/>
        <v>103396.23999999999</v>
      </c>
      <c r="AS539" s="16" t="str">
        <f t="shared" si="43"/>
        <v>One-time</v>
      </c>
    </row>
    <row r="540" spans="38:45" x14ac:dyDescent="0.25">
      <c r="AL540" s="16" t="s">
        <v>1816</v>
      </c>
      <c r="AM540" s="16" t="s">
        <v>874</v>
      </c>
      <c r="AN540" s="16">
        <f>COUNTIF(RawData[Customer_ID],AL540)</f>
        <v>1</v>
      </c>
      <c r="AO540" s="16">
        <f>SUMIF(RawData[Customer_ID],AL540,RawData[Quantity])</f>
        <v>4</v>
      </c>
      <c r="AP540" s="21">
        <f>SUMIF(RawData[Customer_ID],AL540,RawData[Revenue])</f>
        <v>34196.199999999997</v>
      </c>
      <c r="AQ540" s="21">
        <f>SUMIF(RawData[Customer_ID],AL540,RawData[Profit])</f>
        <v>8279.0799999999981</v>
      </c>
      <c r="AR540" s="16">
        <f t="shared" si="42"/>
        <v>34196.199999999997</v>
      </c>
      <c r="AS540" s="16" t="str">
        <f t="shared" si="43"/>
        <v>One-time</v>
      </c>
    </row>
    <row r="541" spans="38:45" x14ac:dyDescent="0.25">
      <c r="AL541" s="16" t="s">
        <v>4132</v>
      </c>
      <c r="AM541" s="16" t="s">
        <v>875</v>
      </c>
      <c r="AN541" s="16">
        <f>COUNTIF(RawData[Customer_ID],AL541)</f>
        <v>6</v>
      </c>
      <c r="AO541" s="16">
        <f>SUMIF(RawData[Customer_ID],AL541,RawData[Quantity])</f>
        <v>17</v>
      </c>
      <c r="AP541" s="21">
        <f>SUMIF(RawData[Customer_ID],AL541,RawData[Revenue])</f>
        <v>318484.06</v>
      </c>
      <c r="AQ541" s="21">
        <f>SUMIF(RawData[Customer_ID],AL541,RawData[Profit])</f>
        <v>37698.739999999976</v>
      </c>
      <c r="AR541" s="16">
        <f t="shared" si="42"/>
        <v>53080.676666666666</v>
      </c>
      <c r="AS541" s="16" t="str">
        <f t="shared" si="43"/>
        <v>Loyal</v>
      </c>
    </row>
    <row r="542" spans="38:45" x14ac:dyDescent="0.25">
      <c r="AL542" s="16" t="s">
        <v>2216</v>
      </c>
      <c r="AM542" s="16" t="s">
        <v>876</v>
      </c>
      <c r="AN542" s="16">
        <f>COUNTIF(RawData[Customer_ID],AL542)</f>
        <v>9</v>
      </c>
      <c r="AO542" s="16">
        <f>SUMIF(RawData[Customer_ID],AL542,RawData[Quantity])</f>
        <v>27</v>
      </c>
      <c r="AP542" s="21">
        <f>SUMIF(RawData[Customer_ID],AL542,RawData[Revenue])</f>
        <v>309510.36</v>
      </c>
      <c r="AQ542" s="21">
        <f>SUMIF(RawData[Customer_ID],AL542,RawData[Profit])</f>
        <v>42713.76999999996</v>
      </c>
      <c r="AR542" s="16">
        <f t="shared" si="42"/>
        <v>34390.04</v>
      </c>
      <c r="AS542" s="16" t="str">
        <f t="shared" si="43"/>
        <v>Review</v>
      </c>
    </row>
    <row r="543" spans="38:45" x14ac:dyDescent="0.25">
      <c r="AL543" s="16" t="s">
        <v>3781</v>
      </c>
      <c r="AM543" s="16" t="s">
        <v>877</v>
      </c>
      <c r="AN543" s="16">
        <f>COUNTIF(RawData[Customer_ID],AL543)</f>
        <v>2</v>
      </c>
      <c r="AO543" s="16">
        <f>SUMIF(RawData[Customer_ID],AL543,RawData[Quantity])</f>
        <v>6</v>
      </c>
      <c r="AP543" s="21">
        <f>SUMIF(RawData[Customer_ID],AL543,RawData[Revenue])</f>
        <v>133329.50999999998</v>
      </c>
      <c r="AQ543" s="21">
        <f>SUMIF(RawData[Customer_ID],AL543,RawData[Profit])</f>
        <v>20159.159999999974</v>
      </c>
      <c r="AR543" s="16">
        <f t="shared" si="42"/>
        <v>66664.75499999999</v>
      </c>
      <c r="AS543" s="16" t="str">
        <f t="shared" si="43"/>
        <v>Occasional</v>
      </c>
    </row>
    <row r="544" spans="38:45" x14ac:dyDescent="0.25">
      <c r="AL544" s="16" t="s">
        <v>2265</v>
      </c>
      <c r="AM544" s="16" t="s">
        <v>878</v>
      </c>
      <c r="AN544" s="16">
        <f>COUNTIF(RawData[Customer_ID],AL544)</f>
        <v>5</v>
      </c>
      <c r="AO544" s="16">
        <f>SUMIF(RawData[Customer_ID],AL544,RawData[Quantity])</f>
        <v>13</v>
      </c>
      <c r="AP544" s="21">
        <f>SUMIF(RawData[Customer_ID],AL544,RawData[Revenue])</f>
        <v>258021.43999999997</v>
      </c>
      <c r="AQ544" s="21">
        <f>SUMIF(RawData[Customer_ID],AL544,RawData[Profit])</f>
        <v>38325.519999999982</v>
      </c>
      <c r="AR544" s="16">
        <f t="shared" si="42"/>
        <v>51604.287999999993</v>
      </c>
      <c r="AS544" s="16" t="str">
        <f t="shared" si="43"/>
        <v>Loyal</v>
      </c>
    </row>
    <row r="545" spans="38:45" x14ac:dyDescent="0.25">
      <c r="AL545" s="16" t="s">
        <v>1592</v>
      </c>
      <c r="AM545" s="16" t="s">
        <v>879</v>
      </c>
      <c r="AN545" s="16">
        <f>COUNTIF(RawData[Customer_ID],AL545)</f>
        <v>3</v>
      </c>
      <c r="AO545" s="16">
        <f>SUMIF(RawData[Customer_ID],AL545,RawData[Quantity])</f>
        <v>6</v>
      </c>
      <c r="AP545" s="21">
        <f>SUMIF(RawData[Customer_ID],AL545,RawData[Revenue])</f>
        <v>81394.36</v>
      </c>
      <c r="AQ545" s="21">
        <f>SUMIF(RawData[Customer_ID],AL545,RawData[Profit])</f>
        <v>4509.9100000000035</v>
      </c>
      <c r="AR545" s="16">
        <f t="shared" si="42"/>
        <v>27131.453333333335</v>
      </c>
      <c r="AS545" s="16" t="str">
        <f t="shared" si="43"/>
        <v>Occasional</v>
      </c>
    </row>
    <row r="546" spans="38:45" x14ac:dyDescent="0.25">
      <c r="AL546" s="16" t="s">
        <v>2248</v>
      </c>
      <c r="AM546" s="16" t="s">
        <v>880</v>
      </c>
      <c r="AN546" s="16">
        <f>COUNTIF(RawData[Customer_ID],AL546)</f>
        <v>1</v>
      </c>
      <c r="AO546" s="16">
        <f>SUMIF(RawData[Customer_ID],AL546,RawData[Quantity])</f>
        <v>1</v>
      </c>
      <c r="AP546" s="21">
        <f>SUMIF(RawData[Customer_ID],AL546,RawData[Revenue])</f>
        <v>979</v>
      </c>
      <c r="AQ546" s="21">
        <f>SUMIF(RawData[Customer_ID],AL546,RawData[Profit])</f>
        <v>264</v>
      </c>
      <c r="AR546" s="16">
        <f t="shared" si="42"/>
        <v>979</v>
      </c>
      <c r="AS546" s="16" t="str">
        <f t="shared" si="43"/>
        <v>One-time</v>
      </c>
    </row>
    <row r="547" spans="38:45" x14ac:dyDescent="0.25">
      <c r="AL547" s="16" t="s">
        <v>1316</v>
      </c>
      <c r="AM547" s="16" t="s">
        <v>881</v>
      </c>
      <c r="AN547" s="16">
        <f>COUNTIF(RawData[Customer_ID],AL547)</f>
        <v>1</v>
      </c>
      <c r="AO547" s="16">
        <f>SUMIF(RawData[Customer_ID],AL547,RawData[Quantity])</f>
        <v>1</v>
      </c>
      <c r="AP547" s="21">
        <f>SUMIF(RawData[Customer_ID],AL547,RawData[Revenue])</f>
        <v>28159.119999999999</v>
      </c>
      <c r="AQ547" s="21">
        <f>SUMIF(RawData[Customer_ID],AL547,RawData[Profit])</f>
        <v>2559.9199999999983</v>
      </c>
      <c r="AR547" s="16">
        <f t="shared" si="42"/>
        <v>28159.119999999999</v>
      </c>
      <c r="AS547" s="16" t="str">
        <f t="shared" si="43"/>
        <v>One-time</v>
      </c>
    </row>
    <row r="548" spans="38:45" x14ac:dyDescent="0.25">
      <c r="AL548" s="16" t="s">
        <v>1273</v>
      </c>
      <c r="AM548" s="16" t="s">
        <v>882</v>
      </c>
      <c r="AN548" s="16">
        <f>COUNTIF(RawData[Customer_ID],AL548)</f>
        <v>2</v>
      </c>
      <c r="AO548" s="16">
        <f>SUMIF(RawData[Customer_ID],AL548,RawData[Quantity])</f>
        <v>4</v>
      </c>
      <c r="AP548" s="21">
        <f>SUMIF(RawData[Customer_ID],AL548,RawData[Revenue])</f>
        <v>52011.29</v>
      </c>
      <c r="AQ548" s="21">
        <f>SUMIF(RawData[Customer_ID],AL548,RawData[Profit])</f>
        <v>3904.6299999999992</v>
      </c>
      <c r="AR548" s="16">
        <f t="shared" si="42"/>
        <v>26005.645</v>
      </c>
      <c r="AS548" s="16" t="str">
        <f t="shared" si="43"/>
        <v>Occasional</v>
      </c>
    </row>
    <row r="549" spans="38:45" x14ac:dyDescent="0.25">
      <c r="AL549" s="16" t="s">
        <v>1442</v>
      </c>
      <c r="AM549" s="16" t="s">
        <v>883</v>
      </c>
      <c r="AN549" s="16">
        <f>COUNTIF(RawData[Customer_ID],AL549)</f>
        <v>3</v>
      </c>
      <c r="AO549" s="16">
        <f>SUMIF(RawData[Customer_ID],AL549,RawData[Quantity])</f>
        <v>11</v>
      </c>
      <c r="AP549" s="21">
        <f>SUMIF(RawData[Customer_ID],AL549,RawData[Revenue])</f>
        <v>36835</v>
      </c>
      <c r="AQ549" s="21">
        <f>SUMIF(RawData[Customer_ID],AL549,RawData[Profit])</f>
        <v>4157</v>
      </c>
      <c r="AR549" s="16">
        <f t="shared" si="42"/>
        <v>12278.333333333334</v>
      </c>
      <c r="AS549" s="16" t="str">
        <f t="shared" si="43"/>
        <v>Occasional</v>
      </c>
    </row>
    <row r="550" spans="38:45" x14ac:dyDescent="0.25">
      <c r="AL550" s="16" t="s">
        <v>2076</v>
      </c>
      <c r="AM550" s="16" t="s">
        <v>884</v>
      </c>
      <c r="AN550" s="16">
        <f>COUNTIF(RawData[Customer_ID],AL550)</f>
        <v>1</v>
      </c>
      <c r="AO550" s="16">
        <f>SUMIF(RawData[Customer_ID],AL550,RawData[Quantity])</f>
        <v>1</v>
      </c>
      <c r="AP550" s="21">
        <f>SUMIF(RawData[Customer_ID],AL550,RawData[Revenue])</f>
        <v>1551</v>
      </c>
      <c r="AQ550" s="21">
        <f>SUMIF(RawData[Customer_ID],AL550,RawData[Profit])</f>
        <v>561</v>
      </c>
      <c r="AR550" s="16">
        <f t="shared" si="42"/>
        <v>1551</v>
      </c>
      <c r="AS550" s="16" t="str">
        <f t="shared" si="43"/>
        <v>One-time</v>
      </c>
    </row>
    <row r="551" spans="38:45" x14ac:dyDescent="0.25">
      <c r="AL551" s="16" t="s">
        <v>5105</v>
      </c>
      <c r="AM551" s="16" t="s">
        <v>885</v>
      </c>
      <c r="AN551" s="16">
        <f>COUNTIF(RawData[Customer_ID],AL551)</f>
        <v>4</v>
      </c>
      <c r="AO551" s="16">
        <f>SUMIF(RawData[Customer_ID],AL551,RawData[Quantity])</f>
        <v>10</v>
      </c>
      <c r="AP551" s="21">
        <f>SUMIF(RawData[Customer_ID],AL551,RawData[Revenue])</f>
        <v>97660.37999999999</v>
      </c>
      <c r="AQ551" s="21">
        <f>SUMIF(RawData[Customer_ID],AL551,RawData[Profit])</f>
        <v>11651.399999999996</v>
      </c>
      <c r="AR551" s="16">
        <f t="shared" si="42"/>
        <v>24415.094999999998</v>
      </c>
      <c r="AS551" s="16" t="str">
        <f t="shared" si="43"/>
        <v>Occasional</v>
      </c>
    </row>
    <row r="552" spans="38:45" x14ac:dyDescent="0.25">
      <c r="AL552" s="16" t="s">
        <v>1481</v>
      </c>
      <c r="AM552" s="16" t="s">
        <v>886</v>
      </c>
      <c r="AN552" s="16">
        <f>COUNTIF(RawData[Customer_ID],AL552)</f>
        <v>3</v>
      </c>
      <c r="AO552" s="16">
        <f>SUMIF(RawData[Customer_ID],AL552,RawData[Quantity])</f>
        <v>10</v>
      </c>
      <c r="AP552" s="21">
        <f>SUMIF(RawData[Customer_ID],AL552,RawData[Revenue])</f>
        <v>191697.1</v>
      </c>
      <c r="AQ552" s="21">
        <f>SUMIF(RawData[Customer_ID],AL552,RawData[Profit])</f>
        <v>19109.82</v>
      </c>
      <c r="AR552" s="16">
        <f t="shared" si="42"/>
        <v>63899.033333333333</v>
      </c>
      <c r="AS552" s="16" t="str">
        <f t="shared" si="43"/>
        <v>Occasional</v>
      </c>
    </row>
    <row r="553" spans="38:45" x14ac:dyDescent="0.25">
      <c r="AL553" s="16" t="s">
        <v>1355</v>
      </c>
      <c r="AM553" s="16" t="s">
        <v>887</v>
      </c>
      <c r="AN553" s="16">
        <f>COUNTIF(RawData[Customer_ID],AL553)</f>
        <v>4</v>
      </c>
      <c r="AO553" s="16">
        <f>SUMIF(RawData[Customer_ID],AL553,RawData[Quantity])</f>
        <v>11</v>
      </c>
      <c r="AP553" s="21">
        <f>SUMIF(RawData[Customer_ID],AL553,RawData[Revenue])</f>
        <v>145160.03</v>
      </c>
      <c r="AQ553" s="21">
        <f>SUMIF(RawData[Customer_ID],AL553,RawData[Profit])</f>
        <v>18692.009999999987</v>
      </c>
      <c r="AR553" s="16">
        <f t="shared" si="42"/>
        <v>36290.0075</v>
      </c>
      <c r="AS553" s="16" t="str">
        <f t="shared" si="43"/>
        <v>Occasional</v>
      </c>
    </row>
    <row r="554" spans="38:45" x14ac:dyDescent="0.25">
      <c r="AL554" s="16" t="s">
        <v>3261</v>
      </c>
      <c r="AM554" s="16" t="s">
        <v>888</v>
      </c>
      <c r="AN554" s="16">
        <f>COUNTIF(RawData[Customer_ID],AL554)</f>
        <v>3</v>
      </c>
      <c r="AO554" s="16">
        <f>SUMIF(RawData[Customer_ID],AL554,RawData[Quantity])</f>
        <v>6</v>
      </c>
      <c r="AP554" s="21">
        <f>SUMIF(RawData[Customer_ID],AL554,RawData[Revenue])</f>
        <v>97912.2</v>
      </c>
      <c r="AQ554" s="21">
        <f>SUMIF(RawData[Customer_ID],AL554,RawData[Profit])</f>
        <v>12937.759999999995</v>
      </c>
      <c r="AR554" s="16">
        <f t="shared" si="42"/>
        <v>32637.399999999998</v>
      </c>
      <c r="AS554" s="16" t="str">
        <f t="shared" si="43"/>
        <v>Occasional</v>
      </c>
    </row>
    <row r="555" spans="38:45" x14ac:dyDescent="0.25">
      <c r="AL555" s="16" t="s">
        <v>1557</v>
      </c>
      <c r="AM555" s="16" t="s">
        <v>889</v>
      </c>
      <c r="AN555" s="16">
        <f>COUNTIF(RawData[Customer_ID],AL555)</f>
        <v>6</v>
      </c>
      <c r="AO555" s="16">
        <f>SUMIF(RawData[Customer_ID],AL555,RawData[Quantity])</f>
        <v>10</v>
      </c>
      <c r="AP555" s="21">
        <f>SUMIF(RawData[Customer_ID],AL555,RawData[Revenue])</f>
        <v>30290.16</v>
      </c>
      <c r="AQ555" s="21">
        <f>SUMIF(RawData[Customer_ID],AL555,RawData[Profit])</f>
        <v>7033.16</v>
      </c>
      <c r="AR555" s="16">
        <f t="shared" si="42"/>
        <v>5048.3599999999997</v>
      </c>
      <c r="AS555" s="16" t="str">
        <f t="shared" si="43"/>
        <v>Loyal</v>
      </c>
    </row>
    <row r="556" spans="38:45" x14ac:dyDescent="0.25">
      <c r="AL556" s="16" t="s">
        <v>2863</v>
      </c>
      <c r="AM556" s="16" t="s">
        <v>890</v>
      </c>
      <c r="AN556" s="16">
        <f>COUNTIF(RawData[Customer_ID],AL556)</f>
        <v>5</v>
      </c>
      <c r="AO556" s="16">
        <f>SUMIF(RawData[Customer_ID],AL556,RawData[Quantity])</f>
        <v>15</v>
      </c>
      <c r="AP556" s="21">
        <f>SUMIF(RawData[Customer_ID],AL556,RawData[Revenue])</f>
        <v>438546.46</v>
      </c>
      <c r="AQ556" s="21">
        <f>SUMIF(RawData[Customer_ID],AL556,RawData[Profit])</f>
        <v>68937.51999999999</v>
      </c>
      <c r="AR556" s="16">
        <f t="shared" si="42"/>
        <v>87709.292000000001</v>
      </c>
      <c r="AS556" s="16" t="str">
        <f t="shared" si="43"/>
        <v>Loyal</v>
      </c>
    </row>
    <row r="557" spans="38:45" x14ac:dyDescent="0.25">
      <c r="AL557" s="16" t="s">
        <v>1652</v>
      </c>
      <c r="AM557" s="16" t="s">
        <v>891</v>
      </c>
      <c r="AN557" s="16">
        <f>COUNTIF(RawData[Customer_ID],AL557)</f>
        <v>2</v>
      </c>
      <c r="AO557" s="16">
        <f>SUMIF(RawData[Customer_ID],AL557,RawData[Quantity])</f>
        <v>8</v>
      </c>
      <c r="AP557" s="21">
        <f>SUMIF(RawData[Customer_ID],AL557,RawData[Revenue])</f>
        <v>26784</v>
      </c>
      <c r="AQ557" s="21">
        <f>SUMIF(RawData[Customer_ID],AL557,RawData[Profit])</f>
        <v>6426</v>
      </c>
      <c r="AR557" s="16">
        <f t="shared" si="42"/>
        <v>13392</v>
      </c>
      <c r="AS557" s="16" t="str">
        <f t="shared" si="43"/>
        <v>Occasional</v>
      </c>
    </row>
    <row r="558" spans="38:45" x14ac:dyDescent="0.25">
      <c r="AL558" s="16" t="s">
        <v>2268</v>
      </c>
      <c r="AM558" s="16" t="s">
        <v>892</v>
      </c>
      <c r="AN558" s="16">
        <f>COUNTIF(RawData[Customer_ID],AL558)</f>
        <v>4</v>
      </c>
      <c r="AO558" s="16">
        <f>SUMIF(RawData[Customer_ID],AL558,RawData[Quantity])</f>
        <v>13</v>
      </c>
      <c r="AP558" s="21">
        <f>SUMIF(RawData[Customer_ID],AL558,RawData[Revenue])</f>
        <v>329071.5</v>
      </c>
      <c r="AQ558" s="21">
        <f>SUMIF(RawData[Customer_ID],AL558,RawData[Profit])</f>
        <v>42746.400000000031</v>
      </c>
      <c r="AR558" s="16">
        <f t="shared" si="42"/>
        <v>82267.875</v>
      </c>
      <c r="AS558" s="16" t="str">
        <f t="shared" si="43"/>
        <v>Occasional</v>
      </c>
    </row>
    <row r="559" spans="38:45" x14ac:dyDescent="0.25">
      <c r="AL559" s="16" t="s">
        <v>4439</v>
      </c>
      <c r="AM559" s="16" t="s">
        <v>893</v>
      </c>
      <c r="AN559" s="16">
        <f>COUNTIF(RawData[Customer_ID],AL559)</f>
        <v>3</v>
      </c>
      <c r="AO559" s="16">
        <f>SUMIF(RawData[Customer_ID],AL559,RawData[Quantity])</f>
        <v>11</v>
      </c>
      <c r="AP559" s="21">
        <f>SUMIF(RawData[Customer_ID],AL559,RawData[Revenue])</f>
        <v>8077.5</v>
      </c>
      <c r="AQ559" s="21">
        <f>SUMIF(RawData[Customer_ID],AL559,RawData[Profit])</f>
        <v>2714.7000000000003</v>
      </c>
      <c r="AR559" s="16">
        <f t="shared" si="42"/>
        <v>2692.5</v>
      </c>
      <c r="AS559" s="16" t="str">
        <f t="shared" si="43"/>
        <v>Occasional</v>
      </c>
    </row>
    <row r="560" spans="38:45" x14ac:dyDescent="0.25">
      <c r="AL560" s="16" t="s">
        <v>1532</v>
      </c>
      <c r="AM560" s="16" t="s">
        <v>867</v>
      </c>
      <c r="AN560" s="16">
        <f>COUNTIF(RawData[Customer_ID],AL560)</f>
        <v>4</v>
      </c>
      <c r="AO560" s="16">
        <f>SUMIF(RawData[Customer_ID],AL560,RawData[Quantity])</f>
        <v>16</v>
      </c>
      <c r="AP560" s="21">
        <f>SUMIF(RawData[Customer_ID],AL560,RawData[Revenue])</f>
        <v>174048.66999999998</v>
      </c>
      <c r="AQ560" s="21">
        <f>SUMIF(RawData[Customer_ID],AL560,RawData[Profit])</f>
        <v>7907.2099999999773</v>
      </c>
      <c r="AR560" s="16">
        <f t="shared" si="42"/>
        <v>43512.167499999996</v>
      </c>
      <c r="AS560" s="16" t="str">
        <f t="shared" si="43"/>
        <v>Occasional</v>
      </c>
    </row>
    <row r="561" spans="38:45" x14ac:dyDescent="0.25">
      <c r="AL561" s="16" t="s">
        <v>2147</v>
      </c>
      <c r="AM561" s="16" t="s">
        <v>894</v>
      </c>
      <c r="AN561" s="16">
        <f>COUNTIF(RawData[Customer_ID],AL561)</f>
        <v>4</v>
      </c>
      <c r="AO561" s="16">
        <f>SUMIF(RawData[Customer_ID],AL561,RawData[Quantity])</f>
        <v>12</v>
      </c>
      <c r="AP561" s="21">
        <f>SUMIF(RawData[Customer_ID],AL561,RawData[Revenue])</f>
        <v>219084.12</v>
      </c>
      <c r="AQ561" s="21">
        <f>SUMIF(RawData[Customer_ID],AL561,RawData[Profit])</f>
        <v>26450.80000000001</v>
      </c>
      <c r="AR561" s="16">
        <f t="shared" si="42"/>
        <v>54771.03</v>
      </c>
      <c r="AS561" s="16" t="str">
        <f t="shared" si="43"/>
        <v>Occasional</v>
      </c>
    </row>
    <row r="562" spans="38:45" x14ac:dyDescent="0.25">
      <c r="AL562" s="16" t="s">
        <v>1343</v>
      </c>
      <c r="AM562" s="16" t="s">
        <v>895</v>
      </c>
      <c r="AN562" s="16">
        <f>COUNTIF(RawData[Customer_ID],AL562)</f>
        <v>1</v>
      </c>
      <c r="AO562" s="16">
        <f>SUMIF(RawData[Customer_ID],AL562,RawData[Quantity])</f>
        <v>3</v>
      </c>
      <c r="AP562" s="21">
        <f>SUMIF(RawData[Customer_ID],AL562,RawData[Revenue])</f>
        <v>156747.15</v>
      </c>
      <c r="AQ562" s="21">
        <f>SUMIF(RawData[Customer_ID],AL562,RawData[Profit])</f>
        <v>21449.609999999986</v>
      </c>
      <c r="AR562" s="16">
        <f t="shared" si="42"/>
        <v>156747.15</v>
      </c>
      <c r="AS562" s="16" t="str">
        <f t="shared" si="43"/>
        <v>One-time</v>
      </c>
    </row>
    <row r="563" spans="38:45" x14ac:dyDescent="0.25">
      <c r="AL563" s="16" t="s">
        <v>3012</v>
      </c>
      <c r="AM563" s="16" t="s">
        <v>896</v>
      </c>
      <c r="AN563" s="16">
        <f>COUNTIF(RawData[Customer_ID],AL563)</f>
        <v>2</v>
      </c>
      <c r="AO563" s="16">
        <f>SUMIF(RawData[Customer_ID],AL563,RawData[Quantity])</f>
        <v>8</v>
      </c>
      <c r="AP563" s="21">
        <f>SUMIF(RawData[Customer_ID],AL563,RawData[Revenue])</f>
        <v>44337.5</v>
      </c>
      <c r="AQ563" s="21">
        <f>SUMIF(RawData[Customer_ID],AL563,RawData[Profit])</f>
        <v>10622.5</v>
      </c>
      <c r="AR563" s="16">
        <f t="shared" si="42"/>
        <v>22168.75</v>
      </c>
      <c r="AS563" s="16" t="str">
        <f t="shared" si="43"/>
        <v>Occasional</v>
      </c>
    </row>
    <row r="564" spans="38:45" x14ac:dyDescent="0.25">
      <c r="AL564" s="16" t="s">
        <v>1464</v>
      </c>
      <c r="AM564" s="16" t="s">
        <v>897</v>
      </c>
      <c r="AN564" s="16">
        <f>COUNTIF(RawData[Customer_ID],AL564)</f>
        <v>5</v>
      </c>
      <c r="AO564" s="16">
        <f>SUMIF(RawData[Customer_ID],AL564,RawData[Quantity])</f>
        <v>19</v>
      </c>
      <c r="AP564" s="21">
        <f>SUMIF(RawData[Customer_ID],AL564,RawData[Revenue])</f>
        <v>227676</v>
      </c>
      <c r="AQ564" s="21">
        <f>SUMIF(RawData[Customer_ID],AL564,RawData[Profit])</f>
        <v>39112.5</v>
      </c>
      <c r="AR564" s="16">
        <f t="shared" si="42"/>
        <v>45535.199999999997</v>
      </c>
      <c r="AS564" s="16" t="str">
        <f t="shared" si="43"/>
        <v>Loyal</v>
      </c>
    </row>
    <row r="565" spans="38:45" x14ac:dyDescent="0.25">
      <c r="AL565" s="16" t="s">
        <v>1667</v>
      </c>
      <c r="AM565" s="16" t="s">
        <v>898</v>
      </c>
      <c r="AN565" s="16">
        <f>COUNTIF(RawData[Customer_ID],AL565)</f>
        <v>5</v>
      </c>
      <c r="AO565" s="16">
        <f>SUMIF(RawData[Customer_ID],AL565,RawData[Quantity])</f>
        <v>11</v>
      </c>
      <c r="AP565" s="21">
        <f>SUMIF(RawData[Customer_ID],AL565,RawData[Revenue])</f>
        <v>246292.95</v>
      </c>
      <c r="AQ565" s="21">
        <f>SUMIF(RawData[Customer_ID],AL565,RawData[Profit])</f>
        <v>32978.83</v>
      </c>
      <c r="AR565" s="16">
        <f t="shared" si="42"/>
        <v>49258.590000000004</v>
      </c>
      <c r="AS565" s="16" t="str">
        <f t="shared" si="43"/>
        <v>Loyal</v>
      </c>
    </row>
    <row r="566" spans="38:45" x14ac:dyDescent="0.25">
      <c r="AL566" s="16" t="s">
        <v>2530</v>
      </c>
      <c r="AM566" s="16" t="s">
        <v>899</v>
      </c>
      <c r="AN566" s="16">
        <f>COUNTIF(RawData[Customer_ID],AL566)</f>
        <v>2</v>
      </c>
      <c r="AO566" s="16">
        <f>SUMIF(RawData[Customer_ID],AL566,RawData[Quantity])</f>
        <v>8</v>
      </c>
      <c r="AP566" s="21">
        <f>SUMIF(RawData[Customer_ID],AL566,RawData[Revenue])</f>
        <v>81950.649999999994</v>
      </c>
      <c r="AQ566" s="21">
        <f>SUMIF(RawData[Customer_ID],AL566,RawData[Profit])</f>
        <v>7951.0499999999884</v>
      </c>
      <c r="AR566" s="16">
        <f t="shared" si="42"/>
        <v>40975.324999999997</v>
      </c>
      <c r="AS566" s="16" t="str">
        <f t="shared" si="43"/>
        <v>Occasional</v>
      </c>
    </row>
    <row r="567" spans="38:45" x14ac:dyDescent="0.25">
      <c r="AL567" s="16" t="s">
        <v>5171</v>
      </c>
      <c r="AM567" s="16" t="s">
        <v>900</v>
      </c>
      <c r="AN567" s="16">
        <f>COUNTIF(RawData[Customer_ID],AL567)</f>
        <v>0</v>
      </c>
      <c r="AO567" s="16">
        <f>SUMIF(RawData[Customer_ID],AL567,RawData[Quantity])</f>
        <v>0</v>
      </c>
      <c r="AP567" s="21">
        <f>SUMIF(RawData[Customer_ID],AL567,RawData[Revenue])</f>
        <v>0</v>
      </c>
      <c r="AQ567" s="21">
        <f>SUMIF(RawData[Customer_ID],AL567,RawData[Profit])</f>
        <v>0</v>
      </c>
      <c r="AR567" s="16">
        <f t="shared" si="42"/>
        <v>0</v>
      </c>
      <c r="AS567" s="16" t="str">
        <f t="shared" si="43"/>
        <v>Occasional</v>
      </c>
    </row>
    <row r="568" spans="38:45" x14ac:dyDescent="0.25">
      <c r="AL568" s="16" t="s">
        <v>3710</v>
      </c>
      <c r="AM568" s="16" t="s">
        <v>901</v>
      </c>
      <c r="AN568" s="16">
        <f>COUNTIF(RawData[Customer_ID],AL568)</f>
        <v>5</v>
      </c>
      <c r="AO568" s="16">
        <f>SUMIF(RawData[Customer_ID],AL568,RawData[Quantity])</f>
        <v>15</v>
      </c>
      <c r="AP568" s="21">
        <f>SUMIF(RawData[Customer_ID],AL568,RawData[Revenue])</f>
        <v>340700.73</v>
      </c>
      <c r="AQ568" s="21">
        <f>SUMIF(RawData[Customer_ID],AL568,RawData[Profit])</f>
        <v>22092.350000000006</v>
      </c>
      <c r="AR568" s="16">
        <f t="shared" si="42"/>
        <v>68140.145999999993</v>
      </c>
      <c r="AS568" s="16" t="str">
        <f t="shared" si="43"/>
        <v>Loyal</v>
      </c>
    </row>
    <row r="569" spans="38:45" x14ac:dyDescent="0.25">
      <c r="AL569" s="16" t="s">
        <v>3014</v>
      </c>
      <c r="AM569" s="16" t="s">
        <v>902</v>
      </c>
      <c r="AN569" s="16">
        <f>COUNTIF(RawData[Customer_ID],AL569)</f>
        <v>4</v>
      </c>
      <c r="AO569" s="16">
        <f>SUMIF(RawData[Customer_ID],AL569,RawData[Quantity])</f>
        <v>12</v>
      </c>
      <c r="AP569" s="21">
        <f>SUMIF(RawData[Customer_ID],AL569,RawData[Revenue])</f>
        <v>148871.38999999998</v>
      </c>
      <c r="AQ569" s="21">
        <f>SUMIF(RawData[Customer_ID],AL569,RawData[Profit])</f>
        <v>24703.329999999994</v>
      </c>
      <c r="AR569" s="16">
        <f t="shared" si="42"/>
        <v>37217.847499999996</v>
      </c>
      <c r="AS569" s="16" t="str">
        <f t="shared" si="43"/>
        <v>Occasional</v>
      </c>
    </row>
    <row r="570" spans="38:45" x14ac:dyDescent="0.25">
      <c r="AL570" s="16" t="s">
        <v>2656</v>
      </c>
      <c r="AM570" s="16" t="s">
        <v>576</v>
      </c>
      <c r="AN570" s="16">
        <f>COUNTIF(RawData[Customer_ID],AL570)</f>
        <v>2</v>
      </c>
      <c r="AO570" s="16">
        <f>SUMIF(RawData[Customer_ID],AL570,RawData[Quantity])</f>
        <v>3</v>
      </c>
      <c r="AP570" s="21">
        <f>SUMIF(RawData[Customer_ID],AL570,RawData[Revenue])</f>
        <v>102535.64</v>
      </c>
      <c r="AQ570" s="21">
        <f>SUMIF(RawData[Customer_ID],AL570,RawData[Profit])</f>
        <v>12182.279999999999</v>
      </c>
      <c r="AR570" s="16">
        <f t="shared" si="42"/>
        <v>51267.82</v>
      </c>
      <c r="AS570" s="16" t="str">
        <f t="shared" si="43"/>
        <v>Occasional</v>
      </c>
    </row>
    <row r="571" spans="38:45" x14ac:dyDescent="0.25">
      <c r="AL571" s="16" t="s">
        <v>3971</v>
      </c>
      <c r="AM571" s="16" t="s">
        <v>903</v>
      </c>
      <c r="AN571" s="16">
        <f>COUNTIF(RawData[Customer_ID],AL571)</f>
        <v>4</v>
      </c>
      <c r="AO571" s="16">
        <f>SUMIF(RawData[Customer_ID],AL571,RawData[Quantity])</f>
        <v>12</v>
      </c>
      <c r="AP571" s="21">
        <f>SUMIF(RawData[Customer_ID],AL571,RawData[Revenue])</f>
        <v>219161.4</v>
      </c>
      <c r="AQ571" s="21">
        <f>SUMIF(RawData[Customer_ID],AL571,RawData[Profit])</f>
        <v>25961.219999999987</v>
      </c>
      <c r="AR571" s="16">
        <f t="shared" si="42"/>
        <v>54790.35</v>
      </c>
      <c r="AS571" s="16" t="str">
        <f t="shared" si="43"/>
        <v>Occasional</v>
      </c>
    </row>
    <row r="572" spans="38:45" x14ac:dyDescent="0.25">
      <c r="AL572" s="16" t="s">
        <v>1291</v>
      </c>
      <c r="AM572" s="16" t="s">
        <v>904</v>
      </c>
      <c r="AN572" s="16">
        <f>COUNTIF(RawData[Customer_ID],AL572)</f>
        <v>4</v>
      </c>
      <c r="AO572" s="16">
        <f>SUMIF(RawData[Customer_ID],AL572,RawData[Quantity])</f>
        <v>8</v>
      </c>
      <c r="AP572" s="21">
        <f>SUMIF(RawData[Customer_ID],AL572,RawData[Revenue])</f>
        <v>129870.20999999999</v>
      </c>
      <c r="AQ572" s="21">
        <f>SUMIF(RawData[Customer_ID],AL572,RawData[Profit])</f>
        <v>15112.579999999994</v>
      </c>
      <c r="AR572" s="16">
        <f t="shared" si="42"/>
        <v>32467.552499999998</v>
      </c>
      <c r="AS572" s="16" t="str">
        <f t="shared" si="43"/>
        <v>Occasional</v>
      </c>
    </row>
    <row r="573" spans="38:45" x14ac:dyDescent="0.25">
      <c r="AL573" s="16" t="s">
        <v>3146</v>
      </c>
      <c r="AM573" s="16" t="s">
        <v>905</v>
      </c>
      <c r="AN573" s="16">
        <f>COUNTIF(RawData[Customer_ID],AL573)</f>
        <v>3</v>
      </c>
      <c r="AO573" s="16">
        <f>SUMIF(RawData[Customer_ID],AL573,RawData[Quantity])</f>
        <v>10</v>
      </c>
      <c r="AP573" s="21">
        <f>SUMIF(RawData[Customer_ID],AL573,RawData[Revenue])</f>
        <v>173475.69999999998</v>
      </c>
      <c r="AQ573" s="21">
        <f>SUMIF(RawData[Customer_ID],AL573,RawData[Profit])</f>
        <v>19892.950000000004</v>
      </c>
      <c r="AR573" s="16">
        <f t="shared" si="42"/>
        <v>57825.23333333333</v>
      </c>
      <c r="AS573" s="16" t="str">
        <f t="shared" si="43"/>
        <v>Occasional</v>
      </c>
    </row>
    <row r="574" spans="38:45" x14ac:dyDescent="0.25">
      <c r="AL574" s="16" t="s">
        <v>1656</v>
      </c>
      <c r="AM574" s="16" t="s">
        <v>906</v>
      </c>
      <c r="AN574" s="16">
        <f>COUNTIF(RawData[Customer_ID],AL574)</f>
        <v>1</v>
      </c>
      <c r="AO574" s="16">
        <f>SUMIF(RawData[Customer_ID],AL574,RawData[Quantity])</f>
        <v>5</v>
      </c>
      <c r="AP574" s="21">
        <f>SUMIF(RawData[Customer_ID],AL574,RawData[Revenue])</f>
        <v>79195.199999999997</v>
      </c>
      <c r="AQ574" s="21">
        <f>SUMIF(RawData[Customer_ID],AL574,RawData[Profit])</f>
        <v>6599.5999999999913</v>
      </c>
      <c r="AR574" s="16">
        <f t="shared" si="42"/>
        <v>79195.199999999997</v>
      </c>
      <c r="AS574" s="16" t="str">
        <f t="shared" si="43"/>
        <v>One-time</v>
      </c>
    </row>
    <row r="575" spans="38:45" x14ac:dyDescent="0.25">
      <c r="AL575" s="16" t="s">
        <v>2342</v>
      </c>
      <c r="AM575" s="16" t="s">
        <v>907</v>
      </c>
      <c r="AN575" s="16">
        <f>COUNTIF(RawData[Customer_ID],AL575)</f>
        <v>2</v>
      </c>
      <c r="AO575" s="16">
        <f>SUMIF(RawData[Customer_ID],AL575,RawData[Quantity])</f>
        <v>5</v>
      </c>
      <c r="AP575" s="21">
        <f>SUMIF(RawData[Customer_ID],AL575,RawData[Revenue])</f>
        <v>34755.61</v>
      </c>
      <c r="AQ575" s="21">
        <f>SUMIF(RawData[Customer_ID],AL575,RawData[Profit])</f>
        <v>6219.1699999999983</v>
      </c>
      <c r="AR575" s="16">
        <f t="shared" si="42"/>
        <v>17377.805</v>
      </c>
      <c r="AS575" s="16" t="str">
        <f t="shared" si="43"/>
        <v>Occasional</v>
      </c>
    </row>
    <row r="576" spans="38:45" x14ac:dyDescent="0.25">
      <c r="AL576" s="16" t="s">
        <v>1755</v>
      </c>
      <c r="AM576" s="16" t="s">
        <v>908</v>
      </c>
      <c r="AN576" s="16">
        <f>COUNTIF(RawData[Customer_ID],AL576)</f>
        <v>3</v>
      </c>
      <c r="AO576" s="16">
        <f>SUMIF(RawData[Customer_ID],AL576,RawData[Quantity])</f>
        <v>6</v>
      </c>
      <c r="AP576" s="21">
        <f>SUMIF(RawData[Customer_ID],AL576,RawData[Revenue])</f>
        <v>19940.16</v>
      </c>
      <c r="AQ576" s="21">
        <f>SUMIF(RawData[Customer_ID],AL576,RawData[Profit])</f>
        <v>4615.6000000000004</v>
      </c>
      <c r="AR576" s="16">
        <f t="shared" si="42"/>
        <v>6646.72</v>
      </c>
      <c r="AS576" s="16" t="str">
        <f t="shared" si="43"/>
        <v>Occasional</v>
      </c>
    </row>
    <row r="577" spans="38:45" x14ac:dyDescent="0.25">
      <c r="AL577" s="16" t="s">
        <v>1400</v>
      </c>
      <c r="AM577" s="16" t="s">
        <v>909</v>
      </c>
      <c r="AN577" s="16">
        <f>COUNTIF(RawData[Customer_ID],AL577)</f>
        <v>3</v>
      </c>
      <c r="AO577" s="16">
        <f>SUMIF(RawData[Customer_ID],AL577,RawData[Quantity])</f>
        <v>6</v>
      </c>
      <c r="AP577" s="21">
        <f>SUMIF(RawData[Customer_ID],AL577,RawData[Revenue])</f>
        <v>45859.28</v>
      </c>
      <c r="AQ577" s="21">
        <f>SUMIF(RawData[Customer_ID],AL577,RawData[Profit])</f>
        <v>10474.909999999998</v>
      </c>
      <c r="AR577" s="16">
        <f t="shared" si="42"/>
        <v>15286.426666666666</v>
      </c>
      <c r="AS577" s="16" t="str">
        <f t="shared" si="43"/>
        <v>Occasional</v>
      </c>
    </row>
    <row r="578" spans="38:45" x14ac:dyDescent="0.25">
      <c r="AL578" s="16" t="s">
        <v>3046</v>
      </c>
      <c r="AM578" s="16" t="s">
        <v>910</v>
      </c>
      <c r="AN578" s="16">
        <f>COUNTIF(RawData[Customer_ID],AL578)</f>
        <v>2</v>
      </c>
      <c r="AO578" s="16">
        <f>SUMIF(RawData[Customer_ID],AL578,RawData[Quantity])</f>
        <v>8</v>
      </c>
      <c r="AP578" s="21">
        <f>SUMIF(RawData[Customer_ID],AL578,RawData[Revenue])</f>
        <v>108544.2</v>
      </c>
      <c r="AQ578" s="21">
        <f>SUMIF(RawData[Customer_ID],AL578,RawData[Profit])</f>
        <v>18787.359999999986</v>
      </c>
      <c r="AR578" s="16">
        <f t="shared" si="42"/>
        <v>54272.1</v>
      </c>
      <c r="AS578" s="16" t="str">
        <f t="shared" si="43"/>
        <v>Occasional</v>
      </c>
    </row>
    <row r="579" spans="38:45" x14ac:dyDescent="0.25">
      <c r="AL579" s="16" t="s">
        <v>1929</v>
      </c>
      <c r="AM579" s="16" t="s">
        <v>911</v>
      </c>
      <c r="AN579" s="16">
        <f>COUNTIF(RawData[Customer_ID],AL579)</f>
        <v>1</v>
      </c>
      <c r="AO579" s="16">
        <f>SUMIF(RawData[Customer_ID],AL579,RawData[Quantity])</f>
        <v>5</v>
      </c>
      <c r="AP579" s="21">
        <f>SUMIF(RawData[Customer_ID],AL579,RawData[Revenue])</f>
        <v>63245.4</v>
      </c>
      <c r="AQ579" s="21">
        <f>SUMIF(RawData[Customer_ID],AL579,RawData[Profit])</f>
        <v>8249.4000000000015</v>
      </c>
      <c r="AR579" s="16">
        <f t="shared" ref="AR579:AR642" si="44">IF(AN579=0,0,AP579/AN579)</f>
        <v>63245.4</v>
      </c>
      <c r="AS579" s="16" t="str">
        <f t="shared" ref="AS579:AS642" si="45">IF(AN579=1,"One-time",IF(AN579&lt;=4,"Occasional",IF(AN579&lt;=8,"Loyal","Review")))</f>
        <v>One-time</v>
      </c>
    </row>
    <row r="580" spans="38:45" x14ac:dyDescent="0.25">
      <c r="AL580" s="16" t="s">
        <v>1628</v>
      </c>
      <c r="AM580" s="16" t="s">
        <v>912</v>
      </c>
      <c r="AN580" s="16">
        <f>COUNTIF(RawData[Customer_ID],AL580)</f>
        <v>2</v>
      </c>
      <c r="AO580" s="16">
        <f>SUMIF(RawData[Customer_ID],AL580,RawData[Quantity])</f>
        <v>6</v>
      </c>
      <c r="AP580" s="21">
        <f>SUMIF(RawData[Customer_ID],AL580,RawData[Revenue])</f>
        <v>58006.200000000004</v>
      </c>
      <c r="AQ580" s="21">
        <f>SUMIF(RawData[Customer_ID],AL580,RawData[Profit])</f>
        <v>6481.4000000000033</v>
      </c>
      <c r="AR580" s="16">
        <f t="shared" si="44"/>
        <v>29003.100000000002</v>
      </c>
      <c r="AS580" s="16" t="str">
        <f t="shared" si="45"/>
        <v>Occasional</v>
      </c>
    </row>
    <row r="581" spans="38:45" x14ac:dyDescent="0.25">
      <c r="AL581" s="16" t="s">
        <v>5087</v>
      </c>
      <c r="AM581" s="16" t="s">
        <v>913</v>
      </c>
      <c r="AN581" s="16">
        <f>COUNTIF(RawData[Customer_ID],AL581)</f>
        <v>4</v>
      </c>
      <c r="AO581" s="16">
        <f>SUMIF(RawData[Customer_ID],AL581,RawData[Quantity])</f>
        <v>12</v>
      </c>
      <c r="AP581" s="21">
        <f>SUMIF(RawData[Customer_ID],AL581,RawData[Revenue])</f>
        <v>74610.149999999994</v>
      </c>
      <c r="AQ581" s="21">
        <f>SUMIF(RawData[Customer_ID],AL581,RawData[Profit])</f>
        <v>16033.9</v>
      </c>
      <c r="AR581" s="16">
        <f t="shared" si="44"/>
        <v>18652.537499999999</v>
      </c>
      <c r="AS581" s="16" t="str">
        <f t="shared" si="45"/>
        <v>Occasional</v>
      </c>
    </row>
    <row r="582" spans="38:45" x14ac:dyDescent="0.25">
      <c r="AL582" s="16" t="s">
        <v>5100</v>
      </c>
      <c r="AM582" s="16" t="s">
        <v>914</v>
      </c>
      <c r="AN582" s="16">
        <f>COUNTIF(RawData[Customer_ID],AL582)</f>
        <v>3</v>
      </c>
      <c r="AO582" s="16">
        <f>SUMIF(RawData[Customer_ID],AL582,RawData[Quantity])</f>
        <v>7</v>
      </c>
      <c r="AP582" s="21">
        <f>SUMIF(RawData[Customer_ID],AL582,RawData[Revenue])</f>
        <v>106759.04000000001</v>
      </c>
      <c r="AQ582" s="21">
        <f>SUMIF(RawData[Customer_ID],AL582,RawData[Profit])</f>
        <v>21759.86</v>
      </c>
      <c r="AR582" s="16">
        <f t="shared" si="44"/>
        <v>35586.346666666672</v>
      </c>
      <c r="AS582" s="16" t="str">
        <f t="shared" si="45"/>
        <v>Occasional</v>
      </c>
    </row>
    <row r="583" spans="38:45" x14ac:dyDescent="0.25">
      <c r="AL583" s="16" t="s">
        <v>1941</v>
      </c>
      <c r="AM583" s="16" t="s">
        <v>915</v>
      </c>
      <c r="AN583" s="16">
        <f>COUNTIF(RawData[Customer_ID],AL583)</f>
        <v>2</v>
      </c>
      <c r="AO583" s="16">
        <f>SUMIF(RawData[Customer_ID],AL583,RawData[Quantity])</f>
        <v>8</v>
      </c>
      <c r="AP583" s="21">
        <f>SUMIF(RawData[Customer_ID],AL583,RawData[Revenue])</f>
        <v>156032.68</v>
      </c>
      <c r="AQ583" s="21">
        <f>SUMIF(RawData[Customer_ID],AL583,RawData[Profit])</f>
        <v>27718.76</v>
      </c>
      <c r="AR583" s="16">
        <f t="shared" si="44"/>
        <v>78016.34</v>
      </c>
      <c r="AS583" s="16" t="str">
        <f t="shared" si="45"/>
        <v>Occasional</v>
      </c>
    </row>
    <row r="584" spans="38:45" x14ac:dyDescent="0.25">
      <c r="AL584" s="16" t="s">
        <v>2007</v>
      </c>
      <c r="AM584" s="16" t="s">
        <v>916</v>
      </c>
      <c r="AN584" s="16">
        <f>COUNTIF(RawData[Customer_ID],AL584)</f>
        <v>3</v>
      </c>
      <c r="AO584" s="16">
        <f>SUMIF(RawData[Customer_ID],AL584,RawData[Quantity])</f>
        <v>8</v>
      </c>
      <c r="AP584" s="21">
        <f>SUMIF(RawData[Customer_ID],AL584,RawData[Revenue])</f>
        <v>96607.43</v>
      </c>
      <c r="AQ584" s="21">
        <f>SUMIF(RawData[Customer_ID],AL584,RawData[Profit])</f>
        <v>10818.199999999997</v>
      </c>
      <c r="AR584" s="16">
        <f t="shared" si="44"/>
        <v>32202.476666666666</v>
      </c>
      <c r="AS584" s="16" t="str">
        <f t="shared" si="45"/>
        <v>Occasional</v>
      </c>
    </row>
    <row r="585" spans="38:45" x14ac:dyDescent="0.25">
      <c r="AL585" s="16" t="s">
        <v>1423</v>
      </c>
      <c r="AM585" s="16" t="s">
        <v>917</v>
      </c>
      <c r="AN585" s="16">
        <f>COUNTIF(RawData[Customer_ID],AL585)</f>
        <v>2</v>
      </c>
      <c r="AO585" s="16">
        <f>SUMIF(RawData[Customer_ID],AL585,RawData[Quantity])</f>
        <v>5</v>
      </c>
      <c r="AP585" s="21">
        <f>SUMIF(RawData[Customer_ID],AL585,RawData[Revenue])</f>
        <v>158350.28999999998</v>
      </c>
      <c r="AQ585" s="21">
        <f>SUMIF(RawData[Customer_ID],AL585,RawData[Profit])</f>
        <v>26099.219999999987</v>
      </c>
      <c r="AR585" s="16">
        <f t="shared" si="44"/>
        <v>79175.14499999999</v>
      </c>
      <c r="AS585" s="16" t="str">
        <f t="shared" si="45"/>
        <v>Occasional</v>
      </c>
    </row>
    <row r="586" spans="38:45" x14ac:dyDescent="0.25">
      <c r="AL586" s="16" t="s">
        <v>1850</v>
      </c>
      <c r="AM586" s="16" t="s">
        <v>918</v>
      </c>
      <c r="AN586" s="16">
        <f>COUNTIF(RawData[Customer_ID],AL586)</f>
        <v>4</v>
      </c>
      <c r="AO586" s="16">
        <f>SUMIF(RawData[Customer_ID],AL586,RawData[Quantity])</f>
        <v>14</v>
      </c>
      <c r="AP586" s="21">
        <f>SUMIF(RawData[Customer_ID],AL586,RawData[Revenue])</f>
        <v>227289.94</v>
      </c>
      <c r="AQ586" s="21">
        <f>SUMIF(RawData[Customer_ID],AL586,RawData[Profit])</f>
        <v>36724.359999999986</v>
      </c>
      <c r="AR586" s="16">
        <f t="shared" si="44"/>
        <v>56822.485000000001</v>
      </c>
      <c r="AS586" s="16" t="str">
        <f t="shared" si="45"/>
        <v>Occasional</v>
      </c>
    </row>
    <row r="587" spans="38:45" x14ac:dyDescent="0.25">
      <c r="AL587" s="16" t="s">
        <v>1380</v>
      </c>
      <c r="AM587" s="16" t="s">
        <v>919</v>
      </c>
      <c r="AN587" s="16">
        <f>COUNTIF(RawData[Customer_ID],AL587)</f>
        <v>3</v>
      </c>
      <c r="AO587" s="16">
        <f>SUMIF(RawData[Customer_ID],AL587,RawData[Quantity])</f>
        <v>11</v>
      </c>
      <c r="AP587" s="21">
        <f>SUMIF(RawData[Customer_ID],AL587,RawData[Revenue])</f>
        <v>156501.06</v>
      </c>
      <c r="AQ587" s="21">
        <f>SUMIF(RawData[Customer_ID],AL587,RawData[Profit])</f>
        <v>30195.459999999992</v>
      </c>
      <c r="AR587" s="16">
        <f t="shared" si="44"/>
        <v>52167.02</v>
      </c>
      <c r="AS587" s="16" t="str">
        <f t="shared" si="45"/>
        <v>Occasional</v>
      </c>
    </row>
    <row r="588" spans="38:45" x14ac:dyDescent="0.25">
      <c r="AL588" s="16" t="s">
        <v>5099</v>
      </c>
      <c r="AM588" s="16" t="s">
        <v>920</v>
      </c>
      <c r="AN588" s="16">
        <f>COUNTIF(RawData[Customer_ID],AL588)</f>
        <v>2</v>
      </c>
      <c r="AO588" s="16">
        <f>SUMIF(RawData[Customer_ID],AL588,RawData[Quantity])</f>
        <v>6</v>
      </c>
      <c r="AP588" s="21">
        <f>SUMIF(RawData[Customer_ID],AL588,RawData[Revenue])</f>
        <v>94106.85</v>
      </c>
      <c r="AQ588" s="21">
        <f>SUMIF(RawData[Customer_ID],AL588,RawData[Profit])</f>
        <v>13511.650000000001</v>
      </c>
      <c r="AR588" s="16">
        <f t="shared" si="44"/>
        <v>47053.425000000003</v>
      </c>
      <c r="AS588" s="16" t="str">
        <f t="shared" si="45"/>
        <v>Occasional</v>
      </c>
    </row>
    <row r="589" spans="38:45" x14ac:dyDescent="0.25">
      <c r="AL589" s="16" t="s">
        <v>1665</v>
      </c>
      <c r="AM589" s="16" t="s">
        <v>921</v>
      </c>
      <c r="AN589" s="16">
        <f>COUNTIF(RawData[Customer_ID],AL589)</f>
        <v>4</v>
      </c>
      <c r="AO589" s="16">
        <f>SUMIF(RawData[Customer_ID],AL589,RawData[Quantity])</f>
        <v>13</v>
      </c>
      <c r="AP589" s="21">
        <f>SUMIF(RawData[Customer_ID],AL589,RawData[Revenue])</f>
        <v>84316.12</v>
      </c>
      <c r="AQ589" s="21">
        <f>SUMIF(RawData[Customer_ID],AL589,RawData[Profit])</f>
        <v>12794.619999999999</v>
      </c>
      <c r="AR589" s="16">
        <f t="shared" si="44"/>
        <v>21079.03</v>
      </c>
      <c r="AS589" s="16" t="str">
        <f t="shared" si="45"/>
        <v>Occasional</v>
      </c>
    </row>
    <row r="590" spans="38:45" x14ac:dyDescent="0.25">
      <c r="AL590" s="16" t="s">
        <v>1548</v>
      </c>
      <c r="AM590" s="16" t="s">
        <v>922</v>
      </c>
      <c r="AN590" s="16">
        <f>COUNTIF(RawData[Customer_ID],AL590)</f>
        <v>1</v>
      </c>
      <c r="AO590" s="16">
        <f>SUMIF(RawData[Customer_ID],AL590,RawData[Quantity])</f>
        <v>2</v>
      </c>
      <c r="AP590" s="21">
        <f>SUMIF(RawData[Customer_ID],AL590,RawData[Revenue])</f>
        <v>12834</v>
      </c>
      <c r="AQ590" s="21">
        <f>SUMIF(RawData[Customer_ID],AL590,RawData[Profit])</f>
        <v>1380</v>
      </c>
      <c r="AR590" s="16">
        <f t="shared" si="44"/>
        <v>12834</v>
      </c>
      <c r="AS590" s="16" t="str">
        <f t="shared" si="45"/>
        <v>One-time</v>
      </c>
    </row>
    <row r="591" spans="38:45" x14ac:dyDescent="0.25">
      <c r="AL591" s="16" t="s">
        <v>2375</v>
      </c>
      <c r="AM591" s="16" t="s">
        <v>923</v>
      </c>
      <c r="AN591" s="16">
        <f>COUNTIF(RawData[Customer_ID],AL591)</f>
        <v>3</v>
      </c>
      <c r="AO591" s="16">
        <f>SUMIF(RawData[Customer_ID],AL591,RawData[Quantity])</f>
        <v>4</v>
      </c>
      <c r="AP591" s="21">
        <f>SUMIF(RawData[Customer_ID],AL591,RawData[Revenue])</f>
        <v>73221.33</v>
      </c>
      <c r="AQ591" s="21">
        <f>SUMIF(RawData[Customer_ID],AL591,RawData[Profit])</f>
        <v>10614.29</v>
      </c>
      <c r="AR591" s="16">
        <f t="shared" si="44"/>
        <v>24407.11</v>
      </c>
      <c r="AS591" s="16" t="str">
        <f t="shared" si="45"/>
        <v>Occasional</v>
      </c>
    </row>
    <row r="592" spans="38:45" x14ac:dyDescent="0.25">
      <c r="AL592" s="16" t="s">
        <v>2373</v>
      </c>
      <c r="AM592" s="16" t="s">
        <v>924</v>
      </c>
      <c r="AN592" s="16">
        <f>COUNTIF(RawData[Customer_ID],AL592)</f>
        <v>2</v>
      </c>
      <c r="AO592" s="16">
        <f>SUMIF(RawData[Customer_ID],AL592,RawData[Quantity])</f>
        <v>5</v>
      </c>
      <c r="AP592" s="21">
        <f>SUMIF(RawData[Customer_ID],AL592,RawData[Revenue])</f>
        <v>1582</v>
      </c>
      <c r="AQ592" s="21">
        <f>SUMIF(RawData[Customer_ID],AL592,RawData[Profit])</f>
        <v>477</v>
      </c>
      <c r="AR592" s="16">
        <f t="shared" si="44"/>
        <v>791</v>
      </c>
      <c r="AS592" s="16" t="str">
        <f t="shared" si="45"/>
        <v>Occasional</v>
      </c>
    </row>
    <row r="593" spans="38:45" x14ac:dyDescent="0.25">
      <c r="AL593" s="16" t="s">
        <v>2699</v>
      </c>
      <c r="AM593" s="16" t="s">
        <v>925</v>
      </c>
      <c r="AN593" s="16">
        <f>COUNTIF(RawData[Customer_ID],AL593)</f>
        <v>3</v>
      </c>
      <c r="AO593" s="16">
        <f>SUMIF(RawData[Customer_ID],AL593,RawData[Quantity])</f>
        <v>6</v>
      </c>
      <c r="AP593" s="21">
        <f>SUMIF(RawData[Customer_ID],AL593,RawData[Revenue])</f>
        <v>167734.38</v>
      </c>
      <c r="AQ593" s="21">
        <f>SUMIF(RawData[Customer_ID],AL593,RawData[Profit])</f>
        <v>21689.119999999995</v>
      </c>
      <c r="AR593" s="16">
        <f t="shared" si="44"/>
        <v>55911.46</v>
      </c>
      <c r="AS593" s="16" t="str">
        <f t="shared" si="45"/>
        <v>Occasional</v>
      </c>
    </row>
    <row r="594" spans="38:45" x14ac:dyDescent="0.25">
      <c r="AL594" s="16" t="s">
        <v>1277</v>
      </c>
      <c r="AM594" s="16" t="s">
        <v>926</v>
      </c>
      <c r="AN594" s="16">
        <f>COUNTIF(RawData[Customer_ID],AL594)</f>
        <v>2</v>
      </c>
      <c r="AO594" s="16">
        <f>SUMIF(RawData[Customer_ID],AL594,RawData[Quantity])</f>
        <v>7</v>
      </c>
      <c r="AP594" s="21">
        <f>SUMIF(RawData[Customer_ID],AL594,RawData[Revenue])</f>
        <v>70530.45</v>
      </c>
      <c r="AQ594" s="21">
        <f>SUMIF(RawData[Customer_ID],AL594,RawData[Profit])</f>
        <v>81.600000000000023</v>
      </c>
      <c r="AR594" s="16">
        <f t="shared" si="44"/>
        <v>35265.224999999999</v>
      </c>
      <c r="AS594" s="16" t="str">
        <f t="shared" si="45"/>
        <v>Occasional</v>
      </c>
    </row>
    <row r="595" spans="38:45" x14ac:dyDescent="0.25">
      <c r="AL595" s="16" t="s">
        <v>1963</v>
      </c>
      <c r="AM595" s="16" t="s">
        <v>927</v>
      </c>
      <c r="AN595" s="16">
        <f>COUNTIF(RawData[Customer_ID],AL595)</f>
        <v>4</v>
      </c>
      <c r="AO595" s="16">
        <f>SUMIF(RawData[Customer_ID],AL595,RawData[Quantity])</f>
        <v>12</v>
      </c>
      <c r="AP595" s="21">
        <f>SUMIF(RawData[Customer_ID],AL595,RawData[Revenue])</f>
        <v>2835.2</v>
      </c>
      <c r="AQ595" s="21">
        <f>SUMIF(RawData[Customer_ID],AL595,RawData[Profit])</f>
        <v>958</v>
      </c>
      <c r="AR595" s="16">
        <f t="shared" si="44"/>
        <v>708.8</v>
      </c>
      <c r="AS595" s="16" t="str">
        <f t="shared" si="45"/>
        <v>Occasional</v>
      </c>
    </row>
    <row r="596" spans="38:45" x14ac:dyDescent="0.25">
      <c r="AL596" s="16" t="s">
        <v>3866</v>
      </c>
      <c r="AM596" s="16" t="s">
        <v>928</v>
      </c>
      <c r="AN596" s="16">
        <f>COUNTIF(RawData[Customer_ID],AL596)</f>
        <v>7</v>
      </c>
      <c r="AO596" s="16">
        <f>SUMIF(RawData[Customer_ID],AL596,RawData[Quantity])</f>
        <v>22</v>
      </c>
      <c r="AP596" s="21">
        <f>SUMIF(RawData[Customer_ID],AL596,RawData[Revenue])</f>
        <v>192622.29</v>
      </c>
      <c r="AQ596" s="21">
        <f>SUMIF(RawData[Customer_ID],AL596,RawData[Profit])</f>
        <v>25939.010000000002</v>
      </c>
      <c r="AR596" s="16">
        <f t="shared" si="44"/>
        <v>27517.47</v>
      </c>
      <c r="AS596" s="16" t="str">
        <f t="shared" si="45"/>
        <v>Loyal</v>
      </c>
    </row>
    <row r="597" spans="38:45" x14ac:dyDescent="0.25">
      <c r="AL597" s="16" t="s">
        <v>2926</v>
      </c>
      <c r="AM597" s="16" t="s">
        <v>929</v>
      </c>
      <c r="AN597" s="16">
        <f>COUNTIF(RawData[Customer_ID],AL597)</f>
        <v>4</v>
      </c>
      <c r="AO597" s="16">
        <f>SUMIF(RawData[Customer_ID],AL597,RawData[Quantity])</f>
        <v>13</v>
      </c>
      <c r="AP597" s="21">
        <f>SUMIF(RawData[Customer_ID],AL597,RawData[Revenue])</f>
        <v>147080.81</v>
      </c>
      <c r="AQ597" s="21">
        <f>SUMIF(RawData[Customer_ID],AL597,RawData[Profit])</f>
        <v>23836.489999999998</v>
      </c>
      <c r="AR597" s="16">
        <f t="shared" si="44"/>
        <v>36770.202499999999</v>
      </c>
      <c r="AS597" s="16" t="str">
        <f t="shared" si="45"/>
        <v>Occasional</v>
      </c>
    </row>
    <row r="598" spans="38:45" x14ac:dyDescent="0.25">
      <c r="AL598" s="16" t="s">
        <v>1494</v>
      </c>
      <c r="AM598" s="16" t="s">
        <v>930</v>
      </c>
      <c r="AN598" s="16">
        <f>COUNTIF(RawData[Customer_ID],AL598)</f>
        <v>8</v>
      </c>
      <c r="AO598" s="16">
        <f>SUMIF(RawData[Customer_ID],AL598,RawData[Quantity])</f>
        <v>27</v>
      </c>
      <c r="AP598" s="21">
        <f>SUMIF(RawData[Customer_ID],AL598,RawData[Revenue])</f>
        <v>400136.5</v>
      </c>
      <c r="AQ598" s="21">
        <f>SUMIF(RawData[Customer_ID],AL598,RawData[Profit])</f>
        <v>54476.399999999972</v>
      </c>
      <c r="AR598" s="16">
        <f t="shared" si="44"/>
        <v>50017.0625</v>
      </c>
      <c r="AS598" s="16" t="str">
        <f t="shared" si="45"/>
        <v>Loyal</v>
      </c>
    </row>
    <row r="599" spans="38:45" x14ac:dyDescent="0.25">
      <c r="AL599" s="16" t="s">
        <v>1536</v>
      </c>
      <c r="AM599" s="16" t="s">
        <v>931</v>
      </c>
      <c r="AN599" s="16">
        <f>COUNTIF(RawData[Customer_ID],AL599)</f>
        <v>3</v>
      </c>
      <c r="AO599" s="16">
        <f>SUMIF(RawData[Customer_ID],AL599,RawData[Quantity])</f>
        <v>9</v>
      </c>
      <c r="AP599" s="21">
        <f>SUMIF(RawData[Customer_ID],AL599,RawData[Revenue])</f>
        <v>148735.32</v>
      </c>
      <c r="AQ599" s="21">
        <f>SUMIF(RawData[Customer_ID],AL599,RawData[Profit])</f>
        <v>18959.659999999996</v>
      </c>
      <c r="AR599" s="16">
        <f t="shared" si="44"/>
        <v>49578.44</v>
      </c>
      <c r="AS599" s="16" t="str">
        <f t="shared" si="45"/>
        <v>Occasional</v>
      </c>
    </row>
    <row r="600" spans="38:45" x14ac:dyDescent="0.25">
      <c r="AL600" s="16" t="s">
        <v>1802</v>
      </c>
      <c r="AM600" s="16" t="s">
        <v>932</v>
      </c>
      <c r="AN600" s="16">
        <f>COUNTIF(RawData[Customer_ID],AL600)</f>
        <v>5</v>
      </c>
      <c r="AO600" s="16">
        <f>SUMIF(RawData[Customer_ID],AL600,RawData[Quantity])</f>
        <v>20</v>
      </c>
      <c r="AP600" s="21">
        <f>SUMIF(RawData[Customer_ID],AL600,RawData[Revenue])</f>
        <v>292365.43</v>
      </c>
      <c r="AQ600" s="21">
        <f>SUMIF(RawData[Customer_ID],AL600,RawData[Profit])</f>
        <v>55328.77</v>
      </c>
      <c r="AR600" s="16">
        <f t="shared" si="44"/>
        <v>58473.085999999996</v>
      </c>
      <c r="AS600" s="16" t="str">
        <f t="shared" si="45"/>
        <v>Loyal</v>
      </c>
    </row>
    <row r="601" spans="38:45" x14ac:dyDescent="0.25">
      <c r="AL601" s="16" t="s">
        <v>2388</v>
      </c>
      <c r="AM601" s="16" t="s">
        <v>933</v>
      </c>
      <c r="AN601" s="16">
        <f>COUNTIF(RawData[Customer_ID],AL601)</f>
        <v>6</v>
      </c>
      <c r="AO601" s="16">
        <f>SUMIF(RawData[Customer_ID],AL601,RawData[Quantity])</f>
        <v>14</v>
      </c>
      <c r="AP601" s="21">
        <f>SUMIF(RawData[Customer_ID],AL601,RawData[Revenue])</f>
        <v>123578.37000000001</v>
      </c>
      <c r="AQ601" s="21">
        <f>SUMIF(RawData[Customer_ID],AL601,RawData[Profit])</f>
        <v>13681.429999999993</v>
      </c>
      <c r="AR601" s="16">
        <f t="shared" si="44"/>
        <v>20596.395</v>
      </c>
      <c r="AS601" s="16" t="str">
        <f t="shared" si="45"/>
        <v>Loyal</v>
      </c>
    </row>
    <row r="602" spans="38:45" x14ac:dyDescent="0.25">
      <c r="AL602" s="16" t="s">
        <v>3784</v>
      </c>
      <c r="AM602" s="16" t="s">
        <v>934</v>
      </c>
      <c r="AN602" s="16">
        <f>COUNTIF(RawData[Customer_ID],AL602)</f>
        <v>1</v>
      </c>
      <c r="AO602" s="16">
        <f>SUMIF(RawData[Customer_ID],AL602,RawData[Quantity])</f>
        <v>5</v>
      </c>
      <c r="AP602" s="21">
        <f>SUMIF(RawData[Customer_ID],AL602,RawData[Revenue])</f>
        <v>7590</v>
      </c>
      <c r="AQ602" s="21">
        <f>SUMIF(RawData[Customer_ID],AL602,RawData[Profit])</f>
        <v>2640</v>
      </c>
      <c r="AR602" s="16">
        <f t="shared" si="44"/>
        <v>7590</v>
      </c>
      <c r="AS602" s="16" t="str">
        <f t="shared" si="45"/>
        <v>One-time</v>
      </c>
    </row>
    <row r="603" spans="38:45" x14ac:dyDescent="0.25">
      <c r="AL603" s="16" t="s">
        <v>1663</v>
      </c>
      <c r="AM603" s="16" t="s">
        <v>935</v>
      </c>
      <c r="AN603" s="16">
        <f>COUNTIF(RawData[Customer_ID],AL603)</f>
        <v>2</v>
      </c>
      <c r="AO603" s="16">
        <f>SUMIF(RawData[Customer_ID],AL603,RawData[Quantity])</f>
        <v>7</v>
      </c>
      <c r="AP603" s="21">
        <f>SUMIF(RawData[Customer_ID],AL603,RawData[Revenue])</f>
        <v>66909.700000000012</v>
      </c>
      <c r="AQ603" s="21">
        <f>SUMIF(RawData[Customer_ID],AL603,RawData[Profit])</f>
        <v>8493.9000000000087</v>
      </c>
      <c r="AR603" s="16">
        <f t="shared" si="44"/>
        <v>33454.850000000006</v>
      </c>
      <c r="AS603" s="16" t="str">
        <f t="shared" si="45"/>
        <v>Occasional</v>
      </c>
    </row>
    <row r="604" spans="38:45" x14ac:dyDescent="0.25">
      <c r="AL604" s="16" t="s">
        <v>1879</v>
      </c>
      <c r="AM604" s="16" t="s">
        <v>936</v>
      </c>
      <c r="AN604" s="16">
        <f>COUNTIF(RawData[Customer_ID],AL604)</f>
        <v>2</v>
      </c>
      <c r="AO604" s="16">
        <f>SUMIF(RawData[Customer_ID],AL604,RawData[Quantity])</f>
        <v>6</v>
      </c>
      <c r="AP604" s="21">
        <f>SUMIF(RawData[Customer_ID],AL604,RawData[Revenue])</f>
        <v>155856.24000000002</v>
      </c>
      <c r="AQ604" s="21">
        <f>SUMIF(RawData[Customer_ID],AL604,RawData[Profit])</f>
        <v>17588.700000000012</v>
      </c>
      <c r="AR604" s="16">
        <f t="shared" si="44"/>
        <v>77928.12000000001</v>
      </c>
      <c r="AS604" s="16" t="str">
        <f t="shared" si="45"/>
        <v>Occasional</v>
      </c>
    </row>
    <row r="605" spans="38:45" x14ac:dyDescent="0.25">
      <c r="AL605" s="16" t="s">
        <v>1781</v>
      </c>
      <c r="AM605" s="16" t="s">
        <v>871</v>
      </c>
      <c r="AN605" s="16">
        <f>COUNTIF(RawData[Customer_ID],AL605)</f>
        <v>2</v>
      </c>
      <c r="AO605" s="16">
        <f>SUMIF(RawData[Customer_ID],AL605,RawData[Quantity])</f>
        <v>2</v>
      </c>
      <c r="AP605" s="21">
        <f>SUMIF(RawData[Customer_ID],AL605,RawData[Revenue])</f>
        <v>5989.29</v>
      </c>
      <c r="AQ605" s="21">
        <f>SUMIF(RawData[Customer_ID],AL605,RawData[Profit])</f>
        <v>1383.9900000000009</v>
      </c>
      <c r="AR605" s="16">
        <f t="shared" si="44"/>
        <v>2994.645</v>
      </c>
      <c r="AS605" s="16" t="str">
        <f t="shared" si="45"/>
        <v>Occasional</v>
      </c>
    </row>
    <row r="606" spans="38:45" x14ac:dyDescent="0.25">
      <c r="AL606" s="16" t="s">
        <v>2333</v>
      </c>
      <c r="AM606" s="16" t="s">
        <v>937</v>
      </c>
      <c r="AN606" s="16">
        <f>COUNTIF(RawData[Customer_ID],AL606)</f>
        <v>3</v>
      </c>
      <c r="AO606" s="16">
        <f>SUMIF(RawData[Customer_ID],AL606,RawData[Quantity])</f>
        <v>10</v>
      </c>
      <c r="AP606" s="21">
        <f>SUMIF(RawData[Customer_ID],AL606,RawData[Revenue])</f>
        <v>102955.32999999999</v>
      </c>
      <c r="AQ606" s="21">
        <f>SUMIF(RawData[Customer_ID],AL606,RawData[Profit])</f>
        <v>9074.6699999999983</v>
      </c>
      <c r="AR606" s="16">
        <f t="shared" si="44"/>
        <v>34318.443333333329</v>
      </c>
      <c r="AS606" s="16" t="str">
        <f t="shared" si="45"/>
        <v>Occasional</v>
      </c>
    </row>
    <row r="607" spans="38:45" x14ac:dyDescent="0.25">
      <c r="AL607" s="16" t="s">
        <v>1594</v>
      </c>
      <c r="AM607" s="16" t="s">
        <v>938</v>
      </c>
      <c r="AN607" s="16">
        <f>COUNTIF(RawData[Customer_ID],AL607)</f>
        <v>5</v>
      </c>
      <c r="AO607" s="16">
        <f>SUMIF(RawData[Customer_ID],AL607,RawData[Quantity])</f>
        <v>17</v>
      </c>
      <c r="AP607" s="21">
        <f>SUMIF(RawData[Customer_ID],AL607,RawData[Revenue])</f>
        <v>54794.770000000004</v>
      </c>
      <c r="AQ607" s="21">
        <f>SUMIF(RawData[Customer_ID],AL607,RawData[Profit])</f>
        <v>5838.6699999999983</v>
      </c>
      <c r="AR607" s="16">
        <f t="shared" si="44"/>
        <v>10958.954000000002</v>
      </c>
      <c r="AS607" s="16" t="str">
        <f t="shared" si="45"/>
        <v>Loyal</v>
      </c>
    </row>
    <row r="608" spans="38:45" x14ac:dyDescent="0.25">
      <c r="AL608" s="16" t="s">
        <v>3454</v>
      </c>
      <c r="AM608" s="16" t="s">
        <v>939</v>
      </c>
      <c r="AN608" s="16">
        <f>COUNTIF(RawData[Customer_ID],AL608)</f>
        <v>3</v>
      </c>
      <c r="AO608" s="16">
        <f>SUMIF(RawData[Customer_ID],AL608,RawData[Quantity])</f>
        <v>8</v>
      </c>
      <c r="AP608" s="21">
        <f>SUMIF(RawData[Customer_ID],AL608,RawData[Revenue])</f>
        <v>90747.18</v>
      </c>
      <c r="AQ608" s="21">
        <f>SUMIF(RawData[Customer_ID],AL608,RawData[Profit])</f>
        <v>13541.579999999991</v>
      </c>
      <c r="AR608" s="16">
        <f t="shared" si="44"/>
        <v>30249.059999999998</v>
      </c>
      <c r="AS608" s="16" t="str">
        <f t="shared" si="45"/>
        <v>Occasional</v>
      </c>
    </row>
    <row r="609" spans="38:45" x14ac:dyDescent="0.25">
      <c r="AL609" s="16" t="s">
        <v>2300</v>
      </c>
      <c r="AM609" s="16" t="s">
        <v>940</v>
      </c>
      <c r="AN609" s="16">
        <f>COUNTIF(RawData[Customer_ID],AL609)</f>
        <v>6</v>
      </c>
      <c r="AO609" s="16">
        <f>SUMIF(RawData[Customer_ID],AL609,RawData[Quantity])</f>
        <v>26</v>
      </c>
      <c r="AP609" s="21">
        <f>SUMIF(RawData[Customer_ID],AL609,RawData[Revenue])</f>
        <v>255469.72999999998</v>
      </c>
      <c r="AQ609" s="21">
        <f>SUMIF(RawData[Customer_ID],AL609,RawData[Profit])</f>
        <v>32834.899999999965</v>
      </c>
      <c r="AR609" s="16">
        <f t="shared" si="44"/>
        <v>42578.28833333333</v>
      </c>
      <c r="AS609" s="16" t="str">
        <f t="shared" si="45"/>
        <v>Loyal</v>
      </c>
    </row>
    <row r="610" spans="38:45" x14ac:dyDescent="0.25">
      <c r="AL610" s="16" t="s">
        <v>3220</v>
      </c>
      <c r="AM610" s="16" t="s">
        <v>941</v>
      </c>
      <c r="AN610" s="16">
        <f>COUNTIF(RawData[Customer_ID],AL610)</f>
        <v>1</v>
      </c>
      <c r="AO610" s="16">
        <f>SUMIF(RawData[Customer_ID],AL610,RawData[Quantity])</f>
        <v>3</v>
      </c>
      <c r="AP610" s="21">
        <f>SUMIF(RawData[Customer_ID],AL610,RawData[Revenue])</f>
        <v>75897.240000000005</v>
      </c>
      <c r="AQ610" s="21">
        <f>SUMIF(RawData[Customer_ID],AL610,RawData[Profit])</f>
        <v>10724.61</v>
      </c>
      <c r="AR610" s="16">
        <f t="shared" si="44"/>
        <v>75897.240000000005</v>
      </c>
      <c r="AS610" s="16" t="str">
        <f t="shared" si="45"/>
        <v>One-time</v>
      </c>
    </row>
    <row r="611" spans="38:45" x14ac:dyDescent="0.25">
      <c r="AL611" s="16" t="s">
        <v>1359</v>
      </c>
      <c r="AM611" s="16" t="s">
        <v>942</v>
      </c>
      <c r="AN611" s="16">
        <f>COUNTIF(RawData[Customer_ID],AL611)</f>
        <v>5</v>
      </c>
      <c r="AO611" s="16">
        <f>SUMIF(RawData[Customer_ID],AL611,RawData[Quantity])</f>
        <v>15</v>
      </c>
      <c r="AP611" s="21">
        <f>SUMIF(RawData[Customer_ID],AL611,RawData[Revenue])</f>
        <v>300818.33999999997</v>
      </c>
      <c r="AQ611" s="21">
        <f>SUMIF(RawData[Customer_ID],AL611,RawData[Profit])</f>
        <v>49823.899999999965</v>
      </c>
      <c r="AR611" s="16">
        <f t="shared" si="44"/>
        <v>60163.667999999991</v>
      </c>
      <c r="AS611" s="16" t="str">
        <f t="shared" si="45"/>
        <v>Loyal</v>
      </c>
    </row>
    <row r="612" spans="38:45" x14ac:dyDescent="0.25">
      <c r="AL612" s="16" t="s">
        <v>4654</v>
      </c>
      <c r="AM612" s="16" t="s">
        <v>943</v>
      </c>
      <c r="AN612" s="16">
        <f>COUNTIF(RawData[Customer_ID],AL612)</f>
        <v>3</v>
      </c>
      <c r="AO612" s="16">
        <f>SUMIF(RawData[Customer_ID],AL612,RawData[Quantity])</f>
        <v>4</v>
      </c>
      <c r="AP612" s="21">
        <f>SUMIF(RawData[Customer_ID],AL612,RawData[Revenue])</f>
        <v>31679.919999999998</v>
      </c>
      <c r="AQ612" s="21">
        <f>SUMIF(RawData[Customer_ID],AL612,RawData[Profit])</f>
        <v>2117.6799999999976</v>
      </c>
      <c r="AR612" s="16">
        <f t="shared" si="44"/>
        <v>10559.973333333333</v>
      </c>
      <c r="AS612" s="16" t="str">
        <f t="shared" si="45"/>
        <v>Occasional</v>
      </c>
    </row>
    <row r="613" spans="38:45" x14ac:dyDescent="0.25">
      <c r="AL613" s="16" t="s">
        <v>5101</v>
      </c>
      <c r="AM613" s="16" t="s">
        <v>944</v>
      </c>
      <c r="AN613" s="16">
        <f>COUNTIF(RawData[Customer_ID],AL613)</f>
        <v>4</v>
      </c>
      <c r="AO613" s="16">
        <f>SUMIF(RawData[Customer_ID],AL613,RawData[Quantity])</f>
        <v>10</v>
      </c>
      <c r="AP613" s="21">
        <f>SUMIF(RawData[Customer_ID],AL613,RawData[Revenue])</f>
        <v>129793.78</v>
      </c>
      <c r="AQ613" s="21">
        <f>SUMIF(RawData[Customer_ID],AL613,RawData[Profit])</f>
        <v>21542.939999999988</v>
      </c>
      <c r="AR613" s="16">
        <f t="shared" si="44"/>
        <v>32448.445</v>
      </c>
      <c r="AS613" s="16" t="str">
        <f t="shared" si="45"/>
        <v>Occasional</v>
      </c>
    </row>
    <row r="614" spans="38:45" x14ac:dyDescent="0.25">
      <c r="AL614" s="16" t="s">
        <v>1811</v>
      </c>
      <c r="AM614" s="16" t="s">
        <v>945</v>
      </c>
      <c r="AN614" s="16">
        <f>COUNTIF(RawData[Customer_ID],AL614)</f>
        <v>2</v>
      </c>
      <c r="AO614" s="16">
        <f>SUMIF(RawData[Customer_ID],AL614,RawData[Quantity])</f>
        <v>7</v>
      </c>
      <c r="AP614" s="21">
        <f>SUMIF(RawData[Customer_ID],AL614,RawData[Revenue])</f>
        <v>25949.14</v>
      </c>
      <c r="AQ614" s="21">
        <f>SUMIF(RawData[Customer_ID],AL614,RawData[Profit])</f>
        <v>3670.739999999998</v>
      </c>
      <c r="AR614" s="16">
        <f t="shared" si="44"/>
        <v>12974.57</v>
      </c>
      <c r="AS614" s="16" t="str">
        <f t="shared" si="45"/>
        <v>Occasional</v>
      </c>
    </row>
    <row r="615" spans="38:45" x14ac:dyDescent="0.25">
      <c r="AL615" s="16" t="s">
        <v>1943</v>
      </c>
      <c r="AM615" s="16" t="s">
        <v>946</v>
      </c>
      <c r="AN615" s="16">
        <f>COUNTIF(RawData[Customer_ID],AL615)</f>
        <v>3</v>
      </c>
      <c r="AO615" s="16">
        <f>SUMIF(RawData[Customer_ID],AL615,RawData[Quantity])</f>
        <v>8</v>
      </c>
      <c r="AP615" s="21">
        <f>SUMIF(RawData[Customer_ID],AL615,RawData[Revenue])</f>
        <v>65216.729999999996</v>
      </c>
      <c r="AQ615" s="21">
        <f>SUMIF(RawData[Customer_ID],AL615,RawData[Profit])</f>
        <v>7490.4299999999985</v>
      </c>
      <c r="AR615" s="16">
        <f t="shared" si="44"/>
        <v>21738.91</v>
      </c>
      <c r="AS615" s="16" t="str">
        <f t="shared" si="45"/>
        <v>Occasional</v>
      </c>
    </row>
    <row r="616" spans="38:45" x14ac:dyDescent="0.25">
      <c r="AL616" s="16" t="s">
        <v>2554</v>
      </c>
      <c r="AM616" s="16" t="s">
        <v>947</v>
      </c>
      <c r="AN616" s="16">
        <f>COUNTIF(RawData[Customer_ID],AL616)</f>
        <v>1</v>
      </c>
      <c r="AO616" s="16">
        <f>SUMIF(RawData[Customer_ID],AL616,RawData[Quantity])</f>
        <v>3</v>
      </c>
      <c r="AP616" s="21">
        <f>SUMIF(RawData[Customer_ID],AL616,RawData[Revenue])</f>
        <v>2970</v>
      </c>
      <c r="AQ616" s="21">
        <f>SUMIF(RawData[Customer_ID],AL616,RawData[Profit])</f>
        <v>825</v>
      </c>
      <c r="AR616" s="16">
        <f t="shared" si="44"/>
        <v>2970</v>
      </c>
      <c r="AS616" s="16" t="str">
        <f t="shared" si="45"/>
        <v>One-time</v>
      </c>
    </row>
    <row r="617" spans="38:45" x14ac:dyDescent="0.25">
      <c r="AL617" s="16" t="s">
        <v>2641</v>
      </c>
      <c r="AM617" s="16" t="s">
        <v>948</v>
      </c>
      <c r="AN617" s="16">
        <f>COUNTIF(RawData[Customer_ID],AL617)</f>
        <v>3</v>
      </c>
      <c r="AO617" s="16">
        <f>SUMIF(RawData[Customer_ID],AL617,RawData[Quantity])</f>
        <v>9</v>
      </c>
      <c r="AP617" s="21">
        <f>SUMIF(RawData[Customer_ID],AL617,RawData[Revenue])</f>
        <v>22835.68</v>
      </c>
      <c r="AQ617" s="21">
        <f>SUMIF(RawData[Customer_ID],AL617,RawData[Profit])</f>
        <v>4154.68</v>
      </c>
      <c r="AR617" s="16">
        <f t="shared" si="44"/>
        <v>7611.8933333333334</v>
      </c>
      <c r="AS617" s="16" t="str">
        <f t="shared" si="45"/>
        <v>Occasional</v>
      </c>
    </row>
    <row r="618" spans="38:45" x14ac:dyDescent="0.25">
      <c r="AL618" s="16" t="s">
        <v>2175</v>
      </c>
      <c r="AM618" s="16" t="s">
        <v>949</v>
      </c>
      <c r="AN618" s="16">
        <f>COUNTIF(RawData[Customer_ID],AL618)</f>
        <v>2</v>
      </c>
      <c r="AO618" s="16">
        <f>SUMIF(RawData[Customer_ID],AL618,RawData[Quantity])</f>
        <v>7</v>
      </c>
      <c r="AP618" s="21">
        <f>SUMIF(RawData[Customer_ID],AL618,RawData[Revenue])</f>
        <v>72762.39</v>
      </c>
      <c r="AQ618" s="21">
        <f>SUMIF(RawData[Customer_ID],AL618,RawData[Profit])</f>
        <v>6969.7599999999948</v>
      </c>
      <c r="AR618" s="16">
        <f t="shared" si="44"/>
        <v>36381.195</v>
      </c>
      <c r="AS618" s="16" t="str">
        <f t="shared" si="45"/>
        <v>Occasional</v>
      </c>
    </row>
    <row r="619" spans="38:45" x14ac:dyDescent="0.25">
      <c r="AL619" s="16" t="s">
        <v>2118</v>
      </c>
      <c r="AM619" s="16" t="s">
        <v>950</v>
      </c>
      <c r="AN619" s="16">
        <f>COUNTIF(RawData[Customer_ID],AL619)</f>
        <v>2</v>
      </c>
      <c r="AO619" s="16">
        <f>SUMIF(RawData[Customer_ID],AL619,RawData[Quantity])</f>
        <v>7</v>
      </c>
      <c r="AP619" s="21">
        <f>SUMIF(RawData[Customer_ID],AL619,RawData[Revenue])</f>
        <v>6175.2</v>
      </c>
      <c r="AQ619" s="21">
        <f>SUMIF(RawData[Customer_ID],AL619,RawData[Profit])</f>
        <v>2047.2</v>
      </c>
      <c r="AR619" s="16">
        <f t="shared" si="44"/>
        <v>3087.6</v>
      </c>
      <c r="AS619" s="16" t="str">
        <f t="shared" si="45"/>
        <v>Occasional</v>
      </c>
    </row>
    <row r="620" spans="38:45" x14ac:dyDescent="0.25">
      <c r="AL620" s="16" t="s">
        <v>3660</v>
      </c>
      <c r="AM620" s="16" t="s">
        <v>951</v>
      </c>
      <c r="AN620" s="16">
        <f>COUNTIF(RawData[Customer_ID],AL620)</f>
        <v>2</v>
      </c>
      <c r="AO620" s="16">
        <f>SUMIF(RawData[Customer_ID],AL620,RawData[Quantity])</f>
        <v>9</v>
      </c>
      <c r="AP620" s="21">
        <f>SUMIF(RawData[Customer_ID],AL620,RawData[Revenue])</f>
        <v>191380.85</v>
      </c>
      <c r="AQ620" s="21">
        <f>SUMIF(RawData[Customer_ID],AL620,RawData[Profit])</f>
        <v>21824.85</v>
      </c>
      <c r="AR620" s="16">
        <f t="shared" si="44"/>
        <v>95690.425000000003</v>
      </c>
      <c r="AS620" s="16" t="str">
        <f t="shared" si="45"/>
        <v>Occasional</v>
      </c>
    </row>
    <row r="621" spans="38:45" x14ac:dyDescent="0.25">
      <c r="AL621" s="16" t="s">
        <v>5172</v>
      </c>
      <c r="AM621" s="16" t="s">
        <v>952</v>
      </c>
      <c r="AN621" s="16">
        <f>COUNTIF(RawData[Customer_ID],AL621)</f>
        <v>0</v>
      </c>
      <c r="AO621" s="16">
        <f>SUMIF(RawData[Customer_ID],AL621,RawData[Quantity])</f>
        <v>0</v>
      </c>
      <c r="AP621" s="21">
        <f>SUMIF(RawData[Customer_ID],AL621,RawData[Revenue])</f>
        <v>0</v>
      </c>
      <c r="AQ621" s="21">
        <f>SUMIF(RawData[Customer_ID],AL621,RawData[Profit])</f>
        <v>0</v>
      </c>
      <c r="AR621" s="16">
        <f t="shared" si="44"/>
        <v>0</v>
      </c>
      <c r="AS621" s="16" t="str">
        <f t="shared" si="45"/>
        <v>Occasional</v>
      </c>
    </row>
    <row r="622" spans="38:45" x14ac:dyDescent="0.25">
      <c r="AL622" s="16" t="s">
        <v>3929</v>
      </c>
      <c r="AM622" s="16" t="s">
        <v>953</v>
      </c>
      <c r="AN622" s="16">
        <f>COUNTIF(RawData[Customer_ID],AL622)</f>
        <v>10</v>
      </c>
      <c r="AO622" s="16">
        <f>SUMIF(RawData[Customer_ID],AL622,RawData[Quantity])</f>
        <v>37</v>
      </c>
      <c r="AP622" s="21">
        <f>SUMIF(RawData[Customer_ID],AL622,RawData[Revenue])</f>
        <v>372409.92000000004</v>
      </c>
      <c r="AQ622" s="21">
        <f>SUMIF(RawData[Customer_ID],AL622,RawData[Profit])</f>
        <v>41472.039999999994</v>
      </c>
      <c r="AR622" s="16">
        <f t="shared" si="44"/>
        <v>37240.992000000006</v>
      </c>
      <c r="AS622" s="16" t="str">
        <f t="shared" si="45"/>
        <v>Review</v>
      </c>
    </row>
    <row r="623" spans="38:45" x14ac:dyDescent="0.25">
      <c r="AL623" s="16" t="s">
        <v>1528</v>
      </c>
      <c r="AM623" s="16" t="s">
        <v>954</v>
      </c>
      <c r="AN623" s="16">
        <f>COUNTIF(RawData[Customer_ID],AL623)</f>
        <v>5</v>
      </c>
      <c r="AO623" s="16">
        <f>SUMIF(RawData[Customer_ID],AL623,RawData[Quantity])</f>
        <v>12</v>
      </c>
      <c r="AP623" s="21">
        <f>SUMIF(RawData[Customer_ID],AL623,RawData[Revenue])</f>
        <v>37127</v>
      </c>
      <c r="AQ623" s="21">
        <f>SUMIF(RawData[Customer_ID],AL623,RawData[Profit])</f>
        <v>3016.2000000000035</v>
      </c>
      <c r="AR623" s="16">
        <f t="shared" si="44"/>
        <v>7425.4</v>
      </c>
      <c r="AS623" s="16" t="str">
        <f t="shared" si="45"/>
        <v>Loyal</v>
      </c>
    </row>
    <row r="624" spans="38:45" x14ac:dyDescent="0.25">
      <c r="AL624" s="16" t="s">
        <v>2971</v>
      </c>
      <c r="AM624" s="16" t="s">
        <v>955</v>
      </c>
      <c r="AN624" s="16">
        <f>COUNTIF(RawData[Customer_ID],AL624)</f>
        <v>3</v>
      </c>
      <c r="AO624" s="16">
        <f>SUMIF(RawData[Customer_ID],AL624,RawData[Quantity])</f>
        <v>12</v>
      </c>
      <c r="AP624" s="21">
        <f>SUMIF(RawData[Customer_ID],AL624,RawData[Revenue])</f>
        <v>195055.03999999998</v>
      </c>
      <c r="AQ624" s="21">
        <f>SUMIF(RawData[Customer_ID],AL624,RawData[Profit])</f>
        <v>24718.309999999998</v>
      </c>
      <c r="AR624" s="16">
        <f t="shared" si="44"/>
        <v>65018.346666666657</v>
      </c>
      <c r="AS624" s="16" t="str">
        <f t="shared" si="45"/>
        <v>Occasional</v>
      </c>
    </row>
    <row r="625" spans="38:45" x14ac:dyDescent="0.25">
      <c r="AL625" s="16" t="s">
        <v>3375</v>
      </c>
      <c r="AM625" s="16" t="s">
        <v>956</v>
      </c>
      <c r="AN625" s="16">
        <f>COUNTIF(RawData[Customer_ID],AL625)</f>
        <v>5</v>
      </c>
      <c r="AO625" s="16">
        <f>SUMIF(RawData[Customer_ID],AL625,RawData[Quantity])</f>
        <v>19</v>
      </c>
      <c r="AP625" s="21">
        <f>SUMIF(RawData[Customer_ID],AL625,RawData[Revenue])</f>
        <v>220354.57</v>
      </c>
      <c r="AQ625" s="21">
        <f>SUMIF(RawData[Customer_ID],AL625,RawData[Profit])</f>
        <v>33448.76999999999</v>
      </c>
      <c r="AR625" s="16">
        <f t="shared" si="44"/>
        <v>44070.914000000004</v>
      </c>
      <c r="AS625" s="16" t="str">
        <f t="shared" si="45"/>
        <v>Loyal</v>
      </c>
    </row>
    <row r="626" spans="38:45" x14ac:dyDescent="0.25">
      <c r="AL626" s="16" t="s">
        <v>2312</v>
      </c>
      <c r="AM626" s="16" t="s">
        <v>957</v>
      </c>
      <c r="AN626" s="16">
        <f>COUNTIF(RawData[Customer_ID],AL626)</f>
        <v>2</v>
      </c>
      <c r="AO626" s="16">
        <f>SUMIF(RawData[Customer_ID],AL626,RawData[Quantity])</f>
        <v>9</v>
      </c>
      <c r="AP626" s="21">
        <f>SUMIF(RawData[Customer_ID],AL626,RawData[Revenue])</f>
        <v>199226.36</v>
      </c>
      <c r="AQ626" s="21">
        <f>SUMIF(RawData[Customer_ID],AL626,RawData[Profit])</f>
        <v>30109.24</v>
      </c>
      <c r="AR626" s="16">
        <f t="shared" si="44"/>
        <v>99613.18</v>
      </c>
      <c r="AS626" s="16" t="str">
        <f t="shared" si="45"/>
        <v>Occasional</v>
      </c>
    </row>
    <row r="627" spans="38:45" x14ac:dyDescent="0.25">
      <c r="AL627" s="16" t="s">
        <v>2543</v>
      </c>
      <c r="AM627" s="16" t="s">
        <v>958</v>
      </c>
      <c r="AN627" s="16">
        <f>COUNTIF(RawData[Customer_ID],AL627)</f>
        <v>5</v>
      </c>
      <c r="AO627" s="16">
        <f>SUMIF(RawData[Customer_ID],AL627,RawData[Quantity])</f>
        <v>17</v>
      </c>
      <c r="AP627" s="21">
        <f>SUMIF(RawData[Customer_ID],AL627,RawData[Revenue])</f>
        <v>423287.44</v>
      </c>
      <c r="AQ627" s="21">
        <f>SUMIF(RawData[Customer_ID],AL627,RawData[Profit])</f>
        <v>50771.149999999994</v>
      </c>
      <c r="AR627" s="16">
        <f t="shared" si="44"/>
        <v>84657.487999999998</v>
      </c>
      <c r="AS627" s="16" t="str">
        <f t="shared" si="45"/>
        <v>Loyal</v>
      </c>
    </row>
    <row r="628" spans="38:45" x14ac:dyDescent="0.25">
      <c r="AL628" s="16" t="s">
        <v>1312</v>
      </c>
      <c r="AM628" s="16" t="s">
        <v>959</v>
      </c>
      <c r="AN628" s="16">
        <f>COUNTIF(RawData[Customer_ID],AL628)</f>
        <v>4</v>
      </c>
      <c r="AO628" s="16">
        <f>SUMIF(RawData[Customer_ID],AL628,RawData[Quantity])</f>
        <v>14</v>
      </c>
      <c r="AP628" s="21">
        <f>SUMIF(RawData[Customer_ID],AL628,RawData[Revenue])</f>
        <v>238411.51</v>
      </c>
      <c r="AQ628" s="21">
        <f>SUMIF(RawData[Customer_ID],AL628,RawData[Profit])</f>
        <v>37831.079999999994</v>
      </c>
      <c r="AR628" s="16">
        <f t="shared" si="44"/>
        <v>59602.877500000002</v>
      </c>
      <c r="AS628" s="16" t="str">
        <f t="shared" si="45"/>
        <v>Occasional</v>
      </c>
    </row>
    <row r="629" spans="38:45" x14ac:dyDescent="0.25">
      <c r="AL629" s="16" t="s">
        <v>3170</v>
      </c>
      <c r="AM629" s="16" t="s">
        <v>960</v>
      </c>
      <c r="AN629" s="16">
        <f>COUNTIF(RawData[Customer_ID],AL629)</f>
        <v>3</v>
      </c>
      <c r="AO629" s="16">
        <f>SUMIF(RawData[Customer_ID],AL629,RawData[Quantity])</f>
        <v>9</v>
      </c>
      <c r="AP629" s="21">
        <f>SUMIF(RawData[Customer_ID],AL629,RawData[Revenue])</f>
        <v>1142</v>
      </c>
      <c r="AQ629" s="21">
        <f>SUMIF(RawData[Customer_ID],AL629,RawData[Profit])</f>
        <v>356.99999999999994</v>
      </c>
      <c r="AR629" s="16">
        <f t="shared" si="44"/>
        <v>380.66666666666669</v>
      </c>
      <c r="AS629" s="16" t="str">
        <f t="shared" si="45"/>
        <v>Occasional</v>
      </c>
    </row>
    <row r="630" spans="38:45" x14ac:dyDescent="0.25">
      <c r="AL630" s="16" t="s">
        <v>2188</v>
      </c>
      <c r="AM630" s="16" t="s">
        <v>961</v>
      </c>
      <c r="AN630" s="16">
        <f>COUNTIF(RawData[Customer_ID],AL630)</f>
        <v>2</v>
      </c>
      <c r="AO630" s="16">
        <f>SUMIF(RawData[Customer_ID],AL630,RawData[Quantity])</f>
        <v>7</v>
      </c>
      <c r="AP630" s="21">
        <f>SUMIF(RawData[Customer_ID],AL630,RawData[Revenue])</f>
        <v>274593.60000000003</v>
      </c>
      <c r="AQ630" s="21">
        <f>SUMIF(RawData[Customer_ID],AL630,RawData[Profit])</f>
        <v>31099.20000000003</v>
      </c>
      <c r="AR630" s="16">
        <f t="shared" si="44"/>
        <v>137296.80000000002</v>
      </c>
      <c r="AS630" s="16" t="str">
        <f t="shared" si="45"/>
        <v>Occasional</v>
      </c>
    </row>
    <row r="631" spans="38:45" x14ac:dyDescent="0.25">
      <c r="AL631" s="16" t="s">
        <v>1635</v>
      </c>
      <c r="AM631" s="16" t="s">
        <v>962</v>
      </c>
      <c r="AN631" s="16">
        <f>COUNTIF(RawData[Customer_ID],AL631)</f>
        <v>2</v>
      </c>
      <c r="AO631" s="16">
        <f>SUMIF(RawData[Customer_ID],AL631,RawData[Quantity])</f>
        <v>6</v>
      </c>
      <c r="AP631" s="21">
        <f>SUMIF(RawData[Customer_ID],AL631,RawData[Revenue])</f>
        <v>75654.559999999998</v>
      </c>
      <c r="AQ631" s="21">
        <f>SUMIF(RawData[Customer_ID],AL631,RawData[Profit])</f>
        <v>4619.5199999999986</v>
      </c>
      <c r="AR631" s="16">
        <f t="shared" si="44"/>
        <v>37827.279999999999</v>
      </c>
      <c r="AS631" s="16" t="str">
        <f t="shared" si="45"/>
        <v>Occasional</v>
      </c>
    </row>
    <row r="632" spans="38:45" x14ac:dyDescent="0.25">
      <c r="AL632" s="16" t="s">
        <v>2025</v>
      </c>
      <c r="AM632" s="16" t="s">
        <v>963</v>
      </c>
      <c r="AN632" s="16">
        <f>COUNTIF(RawData[Customer_ID],AL632)</f>
        <v>6</v>
      </c>
      <c r="AO632" s="16">
        <f>SUMIF(RawData[Customer_ID],AL632,RawData[Quantity])</f>
        <v>24</v>
      </c>
      <c r="AP632" s="21">
        <f>SUMIF(RawData[Customer_ID],AL632,RawData[Revenue])</f>
        <v>280023.7</v>
      </c>
      <c r="AQ632" s="21">
        <f>SUMIF(RawData[Customer_ID],AL632,RawData[Profit])</f>
        <v>28314.700000000026</v>
      </c>
      <c r="AR632" s="16">
        <f t="shared" si="44"/>
        <v>46670.616666666669</v>
      </c>
      <c r="AS632" s="16" t="str">
        <f t="shared" si="45"/>
        <v>Loyal</v>
      </c>
    </row>
    <row r="633" spans="38:45" x14ac:dyDescent="0.25">
      <c r="AL633" s="16" t="s">
        <v>1417</v>
      </c>
      <c r="AM633" s="16" t="s">
        <v>916</v>
      </c>
      <c r="AN633" s="16">
        <f>COUNTIF(RawData[Customer_ID],AL633)</f>
        <v>1</v>
      </c>
      <c r="AO633" s="16">
        <f>SUMIF(RawData[Customer_ID],AL633,RawData[Quantity])</f>
        <v>5</v>
      </c>
      <c r="AP633" s="21">
        <f>SUMIF(RawData[Customer_ID],AL633,RawData[Revenue])</f>
        <v>77545.299999999988</v>
      </c>
      <c r="AQ633" s="21">
        <f>SUMIF(RawData[Customer_ID],AL633,RawData[Profit])</f>
        <v>4949.6999999999825</v>
      </c>
      <c r="AR633" s="16">
        <f t="shared" si="44"/>
        <v>77545.299999999988</v>
      </c>
      <c r="AS633" s="16" t="str">
        <f t="shared" si="45"/>
        <v>One-time</v>
      </c>
    </row>
    <row r="634" spans="38:45" x14ac:dyDescent="0.25">
      <c r="AL634" s="16" t="s">
        <v>1522</v>
      </c>
      <c r="AM634" s="16" t="s">
        <v>964</v>
      </c>
      <c r="AN634" s="16">
        <f>COUNTIF(RawData[Customer_ID],AL634)</f>
        <v>7</v>
      </c>
      <c r="AO634" s="16">
        <f>SUMIF(RawData[Customer_ID],AL634,RawData[Quantity])</f>
        <v>19</v>
      </c>
      <c r="AP634" s="21">
        <f>SUMIF(RawData[Customer_ID],AL634,RawData[Revenue])</f>
        <v>257903.59000000003</v>
      </c>
      <c r="AQ634" s="21">
        <f>SUMIF(RawData[Customer_ID],AL634,RawData[Profit])</f>
        <v>31153.530000000006</v>
      </c>
      <c r="AR634" s="16">
        <f t="shared" si="44"/>
        <v>36843.370000000003</v>
      </c>
      <c r="AS634" s="16" t="str">
        <f t="shared" si="45"/>
        <v>Loyal</v>
      </c>
    </row>
    <row r="635" spans="38:45" x14ac:dyDescent="0.25">
      <c r="AL635" s="16" t="s">
        <v>5088</v>
      </c>
      <c r="AM635" s="16" t="s">
        <v>965</v>
      </c>
      <c r="AN635" s="16">
        <f>COUNTIF(RawData[Customer_ID],AL635)</f>
        <v>5</v>
      </c>
      <c r="AO635" s="16">
        <f>SUMIF(RawData[Customer_ID],AL635,RawData[Quantity])</f>
        <v>15</v>
      </c>
      <c r="AP635" s="21">
        <f>SUMIF(RawData[Customer_ID],AL635,RawData[Revenue])</f>
        <v>372067.87</v>
      </c>
      <c r="AQ635" s="21">
        <f>SUMIF(RawData[Customer_ID],AL635,RawData[Profit])</f>
        <v>62586.649999999965</v>
      </c>
      <c r="AR635" s="16">
        <f t="shared" si="44"/>
        <v>74413.573999999993</v>
      </c>
      <c r="AS635" s="16" t="str">
        <f t="shared" si="45"/>
        <v>Loyal</v>
      </c>
    </row>
    <row r="636" spans="38:45" x14ac:dyDescent="0.25">
      <c r="AL636" s="16" t="s">
        <v>1680</v>
      </c>
      <c r="AM636" s="16" t="s">
        <v>966</v>
      </c>
      <c r="AN636" s="16">
        <f>COUNTIF(RawData[Customer_ID],AL636)</f>
        <v>4</v>
      </c>
      <c r="AO636" s="16">
        <f>SUMIF(RawData[Customer_ID],AL636,RawData[Quantity])</f>
        <v>15</v>
      </c>
      <c r="AP636" s="21">
        <f>SUMIF(RawData[Customer_ID],AL636,RawData[Revenue])</f>
        <v>115390.08</v>
      </c>
      <c r="AQ636" s="21">
        <f>SUMIF(RawData[Customer_ID],AL636,RawData[Profit])</f>
        <v>21208.639999999999</v>
      </c>
      <c r="AR636" s="16">
        <f t="shared" si="44"/>
        <v>28847.52</v>
      </c>
      <c r="AS636" s="16" t="str">
        <f t="shared" si="45"/>
        <v>Occasional</v>
      </c>
    </row>
    <row r="637" spans="38:45" x14ac:dyDescent="0.25">
      <c r="AL637" s="16" t="s">
        <v>1326</v>
      </c>
      <c r="AM637" s="16" t="s">
        <v>967</v>
      </c>
      <c r="AN637" s="16">
        <f>COUNTIF(RawData[Customer_ID],AL637)</f>
        <v>3</v>
      </c>
      <c r="AO637" s="16">
        <f>SUMIF(RawData[Customer_ID],AL637,RawData[Quantity])</f>
        <v>12</v>
      </c>
      <c r="AP637" s="21">
        <f>SUMIF(RawData[Customer_ID],AL637,RawData[Revenue])</f>
        <v>181649.4</v>
      </c>
      <c r="AQ637" s="21">
        <f>SUMIF(RawData[Customer_ID],AL637,RawData[Profit])</f>
        <v>9670.6500000000142</v>
      </c>
      <c r="AR637" s="16">
        <f t="shared" si="44"/>
        <v>60549.799999999996</v>
      </c>
      <c r="AS637" s="16" t="str">
        <f t="shared" si="45"/>
        <v>Occasional</v>
      </c>
    </row>
    <row r="638" spans="38:45" x14ac:dyDescent="0.25">
      <c r="AL638" s="16" t="s">
        <v>1555</v>
      </c>
      <c r="AM638" s="16" t="s">
        <v>968</v>
      </c>
      <c r="AN638" s="16">
        <f>COUNTIF(RawData[Customer_ID],AL638)</f>
        <v>4</v>
      </c>
      <c r="AO638" s="16">
        <f>SUMIF(RawData[Customer_ID],AL638,RawData[Quantity])</f>
        <v>9</v>
      </c>
      <c r="AP638" s="21">
        <f>SUMIF(RawData[Customer_ID],AL638,RawData[Revenue])</f>
        <v>235134.44</v>
      </c>
      <c r="AQ638" s="21">
        <f>SUMIF(RawData[Customer_ID],AL638,RawData[Profit])</f>
        <v>42602.639999999985</v>
      </c>
      <c r="AR638" s="16">
        <f t="shared" si="44"/>
        <v>58783.61</v>
      </c>
      <c r="AS638" s="16" t="str">
        <f t="shared" si="45"/>
        <v>Occasional</v>
      </c>
    </row>
    <row r="639" spans="38:45" x14ac:dyDescent="0.25">
      <c r="AL639" s="16" t="s">
        <v>4754</v>
      </c>
      <c r="AM639" s="16" t="s">
        <v>969</v>
      </c>
      <c r="AN639" s="16">
        <f>COUNTIF(RawData[Customer_ID],AL639)</f>
        <v>3</v>
      </c>
      <c r="AO639" s="16">
        <f>SUMIF(RawData[Customer_ID],AL639,RawData[Quantity])</f>
        <v>9</v>
      </c>
      <c r="AP639" s="21">
        <f>SUMIF(RawData[Customer_ID],AL639,RawData[Revenue])</f>
        <v>131049.46</v>
      </c>
      <c r="AQ639" s="21">
        <f>SUMIF(RawData[Customer_ID],AL639,RawData[Profit])</f>
        <v>16818.469999999998</v>
      </c>
      <c r="AR639" s="16">
        <f t="shared" si="44"/>
        <v>43683.153333333335</v>
      </c>
      <c r="AS639" s="16" t="str">
        <f t="shared" si="45"/>
        <v>Occasional</v>
      </c>
    </row>
    <row r="640" spans="38:45" x14ac:dyDescent="0.25">
      <c r="AL640" s="16" t="s">
        <v>2627</v>
      </c>
      <c r="AM640" s="16" t="s">
        <v>970</v>
      </c>
      <c r="AN640" s="16">
        <f>COUNTIF(RawData[Customer_ID],AL640)</f>
        <v>7</v>
      </c>
      <c r="AO640" s="16">
        <f>SUMIF(RawData[Customer_ID],AL640,RawData[Quantity])</f>
        <v>18</v>
      </c>
      <c r="AP640" s="21">
        <f>SUMIF(RawData[Customer_ID],AL640,RawData[Revenue])</f>
        <v>432760.98</v>
      </c>
      <c r="AQ640" s="21">
        <f>SUMIF(RawData[Customer_ID],AL640,RawData[Profit])</f>
        <v>62035.459999999985</v>
      </c>
      <c r="AR640" s="16">
        <f t="shared" si="44"/>
        <v>61822.997142857137</v>
      </c>
      <c r="AS640" s="16" t="str">
        <f t="shared" si="45"/>
        <v>Loyal</v>
      </c>
    </row>
    <row r="641" spans="38:45" x14ac:dyDescent="0.25">
      <c r="AL641" s="16" t="s">
        <v>5081</v>
      </c>
      <c r="AM641" s="16" t="s">
        <v>971</v>
      </c>
      <c r="AN641" s="16">
        <f>COUNTIF(RawData[Customer_ID],AL641)</f>
        <v>2</v>
      </c>
      <c r="AO641" s="16">
        <f>SUMIF(RawData[Customer_ID],AL641,RawData[Quantity])</f>
        <v>6</v>
      </c>
      <c r="AP641" s="21">
        <f>SUMIF(RawData[Customer_ID],AL641,RawData[Revenue])</f>
        <v>131967.20000000001</v>
      </c>
      <c r="AQ641" s="21">
        <f>SUMIF(RawData[Customer_ID],AL641,RawData[Profit])</f>
        <v>17244</v>
      </c>
      <c r="AR641" s="16">
        <f t="shared" si="44"/>
        <v>65983.600000000006</v>
      </c>
      <c r="AS641" s="16" t="str">
        <f t="shared" si="45"/>
        <v>Occasional</v>
      </c>
    </row>
    <row r="642" spans="38:45" x14ac:dyDescent="0.25">
      <c r="AL642" s="16" t="s">
        <v>1265</v>
      </c>
      <c r="AM642" s="16" t="s">
        <v>972</v>
      </c>
      <c r="AN642" s="16">
        <f>COUNTIF(RawData[Customer_ID],AL642)</f>
        <v>4</v>
      </c>
      <c r="AO642" s="16">
        <f>SUMIF(RawData[Customer_ID],AL642,RawData[Quantity])</f>
        <v>10</v>
      </c>
      <c r="AP642" s="21">
        <f>SUMIF(RawData[Customer_ID],AL642,RawData[Revenue])</f>
        <v>110278.43000000001</v>
      </c>
      <c r="AQ642" s="21">
        <f>SUMIF(RawData[Customer_ID],AL642,RawData[Profit])</f>
        <v>19575.290000000008</v>
      </c>
      <c r="AR642" s="16">
        <f t="shared" si="44"/>
        <v>27569.607500000002</v>
      </c>
      <c r="AS642" s="16" t="str">
        <f t="shared" si="45"/>
        <v>Occasional</v>
      </c>
    </row>
    <row r="643" spans="38:45" x14ac:dyDescent="0.25">
      <c r="AL643" s="16" t="s">
        <v>5104</v>
      </c>
      <c r="AM643" s="16" t="s">
        <v>973</v>
      </c>
      <c r="AN643" s="16">
        <f>COUNTIF(RawData[Customer_ID],AL643)</f>
        <v>2</v>
      </c>
      <c r="AO643" s="16">
        <f>SUMIF(RawData[Customer_ID],AL643,RawData[Quantity])</f>
        <v>3</v>
      </c>
      <c r="AP643" s="21">
        <f>SUMIF(RawData[Customer_ID],AL643,RawData[Revenue])</f>
        <v>14029.5</v>
      </c>
      <c r="AQ643" s="21">
        <f>SUMIF(RawData[Customer_ID],AL643,RawData[Profit])</f>
        <v>2107.5</v>
      </c>
      <c r="AR643" s="16">
        <f t="shared" ref="AR643:AR706" si="46">IF(AN643=0,0,AP643/AN643)</f>
        <v>7014.75</v>
      </c>
      <c r="AS643" s="16" t="str">
        <f t="shared" ref="AS643:AS706" si="47">IF(AN643=1,"One-time",IF(AN643&lt;=4,"Occasional",IF(AN643&lt;=8,"Loyal","Review")))</f>
        <v>Occasional</v>
      </c>
    </row>
    <row r="644" spans="38:45" x14ac:dyDescent="0.25">
      <c r="AL644" s="16" t="s">
        <v>1766</v>
      </c>
      <c r="AM644" s="16" t="s">
        <v>974</v>
      </c>
      <c r="AN644" s="16">
        <f>COUNTIF(RawData[Customer_ID],AL644)</f>
        <v>3</v>
      </c>
      <c r="AO644" s="16">
        <f>SUMIF(RawData[Customer_ID],AL644,RawData[Quantity])</f>
        <v>6</v>
      </c>
      <c r="AP644" s="21">
        <f>SUMIF(RawData[Customer_ID],AL644,RawData[Revenue])</f>
        <v>129108.56</v>
      </c>
      <c r="AQ644" s="21">
        <f>SUMIF(RawData[Customer_ID],AL644,RawData[Profit])</f>
        <v>6874.4600000000064</v>
      </c>
      <c r="AR644" s="16">
        <f t="shared" si="46"/>
        <v>43036.186666666668</v>
      </c>
      <c r="AS644" s="16" t="str">
        <f t="shared" si="47"/>
        <v>Occasional</v>
      </c>
    </row>
    <row r="645" spans="38:45" x14ac:dyDescent="0.25">
      <c r="AL645" s="16" t="s">
        <v>1546</v>
      </c>
      <c r="AM645" s="16" t="s">
        <v>975</v>
      </c>
      <c r="AN645" s="16">
        <f>COUNTIF(RawData[Customer_ID],AL645)</f>
        <v>5</v>
      </c>
      <c r="AO645" s="16">
        <f>SUMIF(RawData[Customer_ID],AL645,RawData[Quantity])</f>
        <v>18</v>
      </c>
      <c r="AP645" s="21">
        <f>SUMIF(RawData[Customer_ID],AL645,RawData[Revenue])</f>
        <v>235247.32</v>
      </c>
      <c r="AQ645" s="21">
        <f>SUMIF(RawData[Customer_ID],AL645,RawData[Profit])</f>
        <v>30603.399999999969</v>
      </c>
      <c r="AR645" s="16">
        <f t="shared" si="46"/>
        <v>47049.464</v>
      </c>
      <c r="AS645" s="16" t="str">
        <f t="shared" si="47"/>
        <v>Loyal</v>
      </c>
    </row>
    <row r="646" spans="38:45" x14ac:dyDescent="0.25">
      <c r="AL646" s="16" t="s">
        <v>5102</v>
      </c>
      <c r="AM646" s="16" t="s">
        <v>976</v>
      </c>
      <c r="AN646" s="16">
        <f>COUNTIF(RawData[Customer_ID],AL646)</f>
        <v>4</v>
      </c>
      <c r="AO646" s="16">
        <f>SUMIF(RawData[Customer_ID],AL646,RawData[Quantity])</f>
        <v>16</v>
      </c>
      <c r="AP646" s="21">
        <f>SUMIF(RawData[Customer_ID],AL646,RawData[Revenue])</f>
        <v>305733.3</v>
      </c>
      <c r="AQ646" s="21">
        <f>SUMIF(RawData[Customer_ID],AL646,RawData[Profit])</f>
        <v>40749.749999999985</v>
      </c>
      <c r="AR646" s="16">
        <f t="shared" si="46"/>
        <v>76433.324999999997</v>
      </c>
      <c r="AS646" s="16" t="str">
        <f t="shared" si="47"/>
        <v>Occasional</v>
      </c>
    </row>
    <row r="647" spans="38:45" x14ac:dyDescent="0.25">
      <c r="AL647" s="16" t="s">
        <v>1671</v>
      </c>
      <c r="AM647" s="16" t="s">
        <v>977</v>
      </c>
      <c r="AN647" s="16">
        <f>COUNTIF(RawData[Customer_ID],AL647)</f>
        <v>2</v>
      </c>
      <c r="AO647" s="16">
        <f>SUMIF(RawData[Customer_ID],AL647,RawData[Quantity])</f>
        <v>8</v>
      </c>
      <c r="AP647" s="21">
        <f>SUMIF(RawData[Customer_ID],AL647,RawData[Revenue])</f>
        <v>37128.450000000004</v>
      </c>
      <c r="AQ647" s="21">
        <f>SUMIF(RawData[Customer_ID],AL647,RawData[Profit])</f>
        <v>4267.0500000000065</v>
      </c>
      <c r="AR647" s="16">
        <f t="shared" si="46"/>
        <v>18564.225000000002</v>
      </c>
      <c r="AS647" s="16" t="str">
        <f t="shared" si="47"/>
        <v>Occasional</v>
      </c>
    </row>
    <row r="648" spans="38:45" x14ac:dyDescent="0.25">
      <c r="AL648" s="16" t="s">
        <v>2587</v>
      </c>
      <c r="AM648" s="16" t="s">
        <v>978</v>
      </c>
      <c r="AN648" s="16">
        <f>COUNTIF(RawData[Customer_ID],AL648)</f>
        <v>5</v>
      </c>
      <c r="AO648" s="16">
        <f>SUMIF(RawData[Customer_ID],AL648,RawData[Quantity])</f>
        <v>12</v>
      </c>
      <c r="AP648" s="21">
        <f>SUMIF(RawData[Customer_ID],AL648,RawData[Revenue])</f>
        <v>268102.8</v>
      </c>
      <c r="AQ648" s="21">
        <f>SUMIF(RawData[Customer_ID],AL648,RawData[Profit])</f>
        <v>38798.569999999985</v>
      </c>
      <c r="AR648" s="16">
        <f t="shared" si="46"/>
        <v>53620.56</v>
      </c>
      <c r="AS648" s="16" t="str">
        <f t="shared" si="47"/>
        <v>Loyal</v>
      </c>
    </row>
    <row r="649" spans="38:45" x14ac:dyDescent="0.25">
      <c r="AL649" s="16" t="s">
        <v>1440</v>
      </c>
      <c r="AM649" s="16" t="s">
        <v>979</v>
      </c>
      <c r="AN649" s="16">
        <f>COUNTIF(RawData[Customer_ID],AL649)</f>
        <v>3</v>
      </c>
      <c r="AO649" s="16">
        <f>SUMIF(RawData[Customer_ID],AL649,RawData[Quantity])</f>
        <v>11</v>
      </c>
      <c r="AP649" s="21">
        <f>SUMIF(RawData[Customer_ID],AL649,RawData[Revenue])</f>
        <v>240708.6</v>
      </c>
      <c r="AQ649" s="21">
        <f>SUMIF(RawData[Customer_ID],AL649,RawData[Profit])</f>
        <v>27548.250000000007</v>
      </c>
      <c r="AR649" s="16">
        <f t="shared" si="46"/>
        <v>80236.2</v>
      </c>
      <c r="AS649" s="16" t="str">
        <f t="shared" si="47"/>
        <v>Occasional</v>
      </c>
    </row>
    <row r="650" spans="38:45" x14ac:dyDescent="0.25">
      <c r="AL650" s="16" t="s">
        <v>2678</v>
      </c>
      <c r="AM650" s="16" t="s">
        <v>980</v>
      </c>
      <c r="AN650" s="16">
        <f>COUNTIF(RawData[Customer_ID],AL650)</f>
        <v>4</v>
      </c>
      <c r="AO650" s="16">
        <f>SUMIF(RawData[Customer_ID],AL650,RawData[Quantity])</f>
        <v>12</v>
      </c>
      <c r="AP650" s="21">
        <f>SUMIF(RawData[Customer_ID],AL650,RawData[Revenue])</f>
        <v>305932.42</v>
      </c>
      <c r="AQ650" s="21">
        <f>SUMIF(RawData[Customer_ID],AL650,RawData[Profit])</f>
        <v>40300.929999999993</v>
      </c>
      <c r="AR650" s="16">
        <f t="shared" si="46"/>
        <v>76483.104999999996</v>
      </c>
      <c r="AS650" s="16" t="str">
        <f t="shared" si="47"/>
        <v>Occasional</v>
      </c>
    </row>
    <row r="651" spans="38:45" x14ac:dyDescent="0.25">
      <c r="AL651" s="16" t="s">
        <v>2227</v>
      </c>
      <c r="AM651" s="16" t="s">
        <v>981</v>
      </c>
      <c r="AN651" s="16">
        <f>COUNTIF(RawData[Customer_ID],AL651)</f>
        <v>5</v>
      </c>
      <c r="AO651" s="16">
        <f>SUMIF(RawData[Customer_ID],AL651,RawData[Quantity])</f>
        <v>8</v>
      </c>
      <c r="AP651" s="21">
        <f>SUMIF(RawData[Customer_ID],AL651,RawData[Revenue])</f>
        <v>57071.16</v>
      </c>
      <c r="AQ651" s="21">
        <f>SUMIF(RawData[Customer_ID],AL651,RawData[Profit])</f>
        <v>3518.1199999999963</v>
      </c>
      <c r="AR651" s="16">
        <f t="shared" si="46"/>
        <v>11414.232</v>
      </c>
      <c r="AS651" s="16" t="str">
        <f t="shared" si="47"/>
        <v>Loyal</v>
      </c>
    </row>
    <row r="652" spans="38:45" x14ac:dyDescent="0.25">
      <c r="AL652" s="16" t="s">
        <v>3827</v>
      </c>
      <c r="AM652" s="16" t="s">
        <v>982</v>
      </c>
      <c r="AN652" s="16">
        <f>COUNTIF(RawData[Customer_ID],AL652)</f>
        <v>3</v>
      </c>
      <c r="AO652" s="16">
        <f>SUMIF(RawData[Customer_ID],AL652,RawData[Quantity])</f>
        <v>9</v>
      </c>
      <c r="AP652" s="21">
        <f>SUMIF(RawData[Customer_ID],AL652,RawData[Revenue])</f>
        <v>3710.4</v>
      </c>
      <c r="AQ652" s="21">
        <f>SUMIF(RawData[Customer_ID],AL652,RawData[Profit])</f>
        <v>1075.8000000000002</v>
      </c>
      <c r="AR652" s="16">
        <f t="shared" si="46"/>
        <v>1236.8</v>
      </c>
      <c r="AS652" s="16" t="str">
        <f t="shared" si="47"/>
        <v>Occasional</v>
      </c>
    </row>
    <row r="653" spans="38:45" x14ac:dyDescent="0.25">
      <c r="AL653" s="16" t="s">
        <v>1603</v>
      </c>
      <c r="AM653" s="16" t="s">
        <v>983</v>
      </c>
      <c r="AN653" s="16">
        <f>COUNTIF(RawData[Customer_ID],AL653)</f>
        <v>3</v>
      </c>
      <c r="AO653" s="16">
        <f>SUMIF(RawData[Customer_ID],AL653,RawData[Quantity])</f>
        <v>7</v>
      </c>
      <c r="AP653" s="21">
        <f>SUMIF(RawData[Customer_ID],AL653,RawData[Revenue])</f>
        <v>122472</v>
      </c>
      <c r="AQ653" s="21">
        <f>SUMIF(RawData[Customer_ID],AL653,RawData[Profit])</f>
        <v>17375.84</v>
      </c>
      <c r="AR653" s="16">
        <f t="shared" si="46"/>
        <v>40824</v>
      </c>
      <c r="AS653" s="16" t="str">
        <f t="shared" si="47"/>
        <v>Occasional</v>
      </c>
    </row>
    <row r="654" spans="38:45" x14ac:dyDescent="0.25">
      <c r="AL654" s="16" t="s">
        <v>2721</v>
      </c>
      <c r="AM654" s="16" t="s">
        <v>984</v>
      </c>
      <c r="AN654" s="16">
        <f>COUNTIF(RawData[Customer_ID],AL654)</f>
        <v>1</v>
      </c>
      <c r="AO654" s="16">
        <f>SUMIF(RawData[Customer_ID],AL654,RawData[Quantity])</f>
        <v>1</v>
      </c>
      <c r="AP654" s="21">
        <f>SUMIF(RawData[Customer_ID],AL654,RawData[Revenue])</f>
        <v>34010</v>
      </c>
      <c r="AQ654" s="21">
        <f>SUMIF(RawData[Customer_ID],AL654,RawData[Profit])</f>
        <v>5370</v>
      </c>
      <c r="AR654" s="16">
        <f t="shared" si="46"/>
        <v>34010</v>
      </c>
      <c r="AS654" s="16" t="str">
        <f t="shared" si="47"/>
        <v>One-time</v>
      </c>
    </row>
    <row r="655" spans="38:45" x14ac:dyDescent="0.25">
      <c r="AL655" s="16" t="s">
        <v>1843</v>
      </c>
      <c r="AM655" s="16" t="s">
        <v>985</v>
      </c>
      <c r="AN655" s="16">
        <f>COUNTIF(RawData[Customer_ID],AL655)</f>
        <v>6</v>
      </c>
      <c r="AO655" s="16">
        <f>SUMIF(RawData[Customer_ID],AL655,RawData[Quantity])</f>
        <v>22</v>
      </c>
      <c r="AP655" s="21">
        <f>SUMIF(RawData[Customer_ID],AL655,RawData[Revenue])</f>
        <v>180692.41</v>
      </c>
      <c r="AQ655" s="21">
        <f>SUMIF(RawData[Customer_ID],AL655,RawData[Profit])</f>
        <v>29038.130000000012</v>
      </c>
      <c r="AR655" s="16">
        <f t="shared" si="46"/>
        <v>30115.401666666668</v>
      </c>
      <c r="AS655" s="16" t="str">
        <f t="shared" si="47"/>
        <v>Loyal</v>
      </c>
    </row>
    <row r="656" spans="38:45" x14ac:dyDescent="0.25">
      <c r="AL656" s="16" t="s">
        <v>5173</v>
      </c>
      <c r="AM656" s="16" t="s">
        <v>986</v>
      </c>
      <c r="AN656" s="16">
        <f>COUNTIF(RawData[Customer_ID],AL656)</f>
        <v>0</v>
      </c>
      <c r="AO656" s="16">
        <f>SUMIF(RawData[Customer_ID],AL656,RawData[Quantity])</f>
        <v>0</v>
      </c>
      <c r="AP656" s="21">
        <f>SUMIF(RawData[Customer_ID],AL656,RawData[Revenue])</f>
        <v>0</v>
      </c>
      <c r="AQ656" s="21">
        <f>SUMIF(RawData[Customer_ID],AL656,RawData[Profit])</f>
        <v>0</v>
      </c>
      <c r="AR656" s="16">
        <f t="shared" si="46"/>
        <v>0</v>
      </c>
      <c r="AS656" s="16" t="str">
        <f t="shared" si="47"/>
        <v>Occasional</v>
      </c>
    </row>
    <row r="657" spans="38:45" x14ac:dyDescent="0.25">
      <c r="AL657" s="16" t="s">
        <v>1347</v>
      </c>
      <c r="AM657" s="16" t="s">
        <v>987</v>
      </c>
      <c r="AN657" s="16">
        <f>COUNTIF(RawData[Customer_ID],AL657)</f>
        <v>2</v>
      </c>
      <c r="AO657" s="16">
        <f>SUMIF(RawData[Customer_ID],AL657,RawData[Quantity])</f>
        <v>8</v>
      </c>
      <c r="AP657" s="21">
        <f>SUMIF(RawData[Customer_ID],AL657,RawData[Revenue])</f>
        <v>164198.24</v>
      </c>
      <c r="AQ657" s="21">
        <f>SUMIF(RawData[Customer_ID],AL657,RawData[Profit])</f>
        <v>28169.359999999986</v>
      </c>
      <c r="AR657" s="16">
        <f t="shared" si="46"/>
        <v>82099.12</v>
      </c>
      <c r="AS657" s="16" t="str">
        <f t="shared" si="47"/>
        <v>Occasional</v>
      </c>
    </row>
    <row r="658" spans="38:45" x14ac:dyDescent="0.25">
      <c r="AL658" s="16" t="s">
        <v>1677</v>
      </c>
      <c r="AM658" s="16" t="s">
        <v>988</v>
      </c>
      <c r="AN658" s="16">
        <f>COUNTIF(RawData[Customer_ID],AL658)</f>
        <v>3</v>
      </c>
      <c r="AO658" s="16">
        <f>SUMIF(RawData[Customer_ID],AL658,RawData[Quantity])</f>
        <v>11</v>
      </c>
      <c r="AP658" s="21">
        <f>SUMIF(RawData[Customer_ID],AL658,RawData[Revenue])</f>
        <v>127986.16</v>
      </c>
      <c r="AQ658" s="21">
        <f>SUMIF(RawData[Customer_ID],AL658,RawData[Profit])</f>
        <v>23248.960000000003</v>
      </c>
      <c r="AR658" s="16">
        <f t="shared" si="46"/>
        <v>42662.053333333337</v>
      </c>
      <c r="AS658" s="16" t="str">
        <f t="shared" si="47"/>
        <v>Occasional</v>
      </c>
    </row>
    <row r="659" spans="38:45" x14ac:dyDescent="0.25">
      <c r="AL659" s="16" t="s">
        <v>4230</v>
      </c>
      <c r="AM659" s="16" t="s">
        <v>989</v>
      </c>
      <c r="AN659" s="16">
        <f>COUNTIF(RawData[Customer_ID],AL659)</f>
        <v>1</v>
      </c>
      <c r="AO659" s="16">
        <f>SUMIF(RawData[Customer_ID],AL659,RawData[Quantity])</f>
        <v>2</v>
      </c>
      <c r="AP659" s="21">
        <f>SUMIF(RawData[Customer_ID],AL659,RawData[Revenue])</f>
        <v>232.79999999999998</v>
      </c>
      <c r="AQ659" s="21">
        <f>SUMIF(RawData[Customer_ID],AL659,RawData[Profit])</f>
        <v>69.599999999999994</v>
      </c>
      <c r="AR659" s="16">
        <f t="shared" si="46"/>
        <v>232.79999999999998</v>
      </c>
      <c r="AS659" s="16" t="str">
        <f t="shared" si="47"/>
        <v>One-time</v>
      </c>
    </row>
    <row r="660" spans="38:45" x14ac:dyDescent="0.25">
      <c r="AL660" s="16" t="s">
        <v>2870</v>
      </c>
      <c r="AM660" s="16" t="s">
        <v>990</v>
      </c>
      <c r="AN660" s="16">
        <f>COUNTIF(RawData[Customer_ID],AL660)</f>
        <v>3</v>
      </c>
      <c r="AO660" s="16">
        <f>SUMIF(RawData[Customer_ID],AL660,RawData[Quantity])</f>
        <v>8</v>
      </c>
      <c r="AP660" s="21">
        <f>SUMIF(RawData[Customer_ID],AL660,RawData[Revenue])</f>
        <v>41169.149999999994</v>
      </c>
      <c r="AQ660" s="21">
        <f>SUMIF(RawData[Customer_ID],AL660,RawData[Profit])</f>
        <v>8132.3099999999977</v>
      </c>
      <c r="AR660" s="16">
        <f t="shared" si="46"/>
        <v>13723.049999999997</v>
      </c>
      <c r="AS660" s="16" t="str">
        <f t="shared" si="47"/>
        <v>Occasional</v>
      </c>
    </row>
    <row r="661" spans="38:45" x14ac:dyDescent="0.25">
      <c r="AL661" s="16" t="s">
        <v>1563</v>
      </c>
      <c r="AM661" s="16" t="s">
        <v>991</v>
      </c>
      <c r="AN661" s="16">
        <f>COUNTIF(RawData[Customer_ID],AL661)</f>
        <v>3</v>
      </c>
      <c r="AO661" s="16">
        <f>SUMIF(RawData[Customer_ID],AL661,RawData[Quantity])</f>
        <v>11</v>
      </c>
      <c r="AP661" s="21">
        <f>SUMIF(RawData[Customer_ID],AL661,RawData[Revenue])</f>
        <v>31962.799999999999</v>
      </c>
      <c r="AQ661" s="21">
        <f>SUMIF(RawData[Customer_ID],AL661,RawData[Profit])</f>
        <v>9048.7999999999993</v>
      </c>
      <c r="AR661" s="16">
        <f t="shared" si="46"/>
        <v>10654.266666666666</v>
      </c>
      <c r="AS661" s="16" t="str">
        <f t="shared" si="47"/>
        <v>Occasional</v>
      </c>
    </row>
    <row r="662" spans="38:45" x14ac:dyDescent="0.25">
      <c r="AL662" s="16" t="s">
        <v>1409</v>
      </c>
      <c r="AM662" s="16" t="s">
        <v>992</v>
      </c>
      <c r="AN662" s="16">
        <f>COUNTIF(RawData[Customer_ID],AL662)</f>
        <v>2</v>
      </c>
      <c r="AO662" s="16">
        <f>SUMIF(RawData[Customer_ID],AL662,RawData[Quantity])</f>
        <v>4</v>
      </c>
      <c r="AP662" s="21">
        <f>SUMIF(RawData[Customer_ID],AL662,RawData[Revenue])</f>
        <v>33650.400000000001</v>
      </c>
      <c r="AQ662" s="21">
        <f>SUMIF(RawData[Customer_ID],AL662,RawData[Profit])</f>
        <v>4765.6000000000004</v>
      </c>
      <c r="AR662" s="16">
        <f t="shared" si="46"/>
        <v>16825.2</v>
      </c>
      <c r="AS662" s="16" t="str">
        <f t="shared" si="47"/>
        <v>Occasional</v>
      </c>
    </row>
    <row r="663" spans="38:45" x14ac:dyDescent="0.25">
      <c r="AL663" s="16" t="s">
        <v>1378</v>
      </c>
      <c r="AM663" s="16" t="s">
        <v>993</v>
      </c>
      <c r="AN663" s="16">
        <f>COUNTIF(RawData[Customer_ID],AL663)</f>
        <v>5</v>
      </c>
      <c r="AO663" s="16">
        <f>SUMIF(RawData[Customer_ID],AL663,RawData[Quantity])</f>
        <v>16</v>
      </c>
      <c r="AP663" s="21">
        <f>SUMIF(RawData[Customer_ID],AL663,RawData[Revenue])</f>
        <v>47048.7</v>
      </c>
      <c r="AQ663" s="21">
        <f>SUMIF(RawData[Customer_ID],AL663,RawData[Profit])</f>
        <v>10186.799999999999</v>
      </c>
      <c r="AR663" s="16">
        <f t="shared" si="46"/>
        <v>9409.74</v>
      </c>
      <c r="AS663" s="16" t="str">
        <f t="shared" si="47"/>
        <v>Loyal</v>
      </c>
    </row>
    <row r="664" spans="38:45" x14ac:dyDescent="0.25">
      <c r="AL664" s="16" t="s">
        <v>1692</v>
      </c>
      <c r="AM664" s="16" t="s">
        <v>988</v>
      </c>
      <c r="AN664" s="16">
        <f>COUNTIF(RawData[Customer_ID],AL664)</f>
        <v>4</v>
      </c>
      <c r="AO664" s="16">
        <f>SUMIF(RawData[Customer_ID],AL664,RawData[Quantity])</f>
        <v>12</v>
      </c>
      <c r="AP664" s="21">
        <f>SUMIF(RawData[Customer_ID],AL664,RawData[Revenue])</f>
        <v>249816.41999999998</v>
      </c>
      <c r="AQ664" s="21">
        <f>SUMIF(RawData[Customer_ID],AL664,RawData[Profit])</f>
        <v>30678.869999999995</v>
      </c>
      <c r="AR664" s="16">
        <f t="shared" si="46"/>
        <v>62454.104999999996</v>
      </c>
      <c r="AS664" s="16" t="str">
        <f t="shared" si="47"/>
        <v>Occasional</v>
      </c>
    </row>
    <row r="665" spans="38:45" x14ac:dyDescent="0.25">
      <c r="AL665" s="16" t="s">
        <v>2390</v>
      </c>
      <c r="AM665" s="16" t="s">
        <v>994</v>
      </c>
      <c r="AN665" s="16">
        <f>COUNTIF(RawData[Customer_ID],AL665)</f>
        <v>6</v>
      </c>
      <c r="AO665" s="16">
        <f>SUMIF(RawData[Customer_ID],AL665,RawData[Quantity])</f>
        <v>18</v>
      </c>
      <c r="AP665" s="21">
        <f>SUMIF(RawData[Customer_ID],AL665,RawData[Revenue])</f>
        <v>464198.70999999996</v>
      </c>
      <c r="AQ665" s="21">
        <f>SUMIF(RawData[Customer_ID],AL665,RawData[Profit])</f>
        <v>79057.389999999985</v>
      </c>
      <c r="AR665" s="16">
        <f t="shared" si="46"/>
        <v>77366.45166666666</v>
      </c>
      <c r="AS665" s="16" t="str">
        <f t="shared" si="47"/>
        <v>Loyal</v>
      </c>
    </row>
    <row r="666" spans="38:45" x14ac:dyDescent="0.25">
      <c r="AL666" s="16" t="s">
        <v>2461</v>
      </c>
      <c r="AM666" s="16" t="s">
        <v>995</v>
      </c>
      <c r="AN666" s="16">
        <f>COUNTIF(RawData[Customer_ID],AL666)</f>
        <v>2</v>
      </c>
      <c r="AO666" s="16">
        <f>SUMIF(RawData[Customer_ID],AL666,RawData[Quantity])</f>
        <v>7</v>
      </c>
      <c r="AP666" s="21">
        <f>SUMIF(RawData[Customer_ID],AL666,RawData[Revenue])</f>
        <v>152545.24</v>
      </c>
      <c r="AQ666" s="21">
        <f>SUMIF(RawData[Customer_ID],AL666,RawData[Profit])</f>
        <v>24337.340000000004</v>
      </c>
      <c r="AR666" s="16">
        <f t="shared" si="46"/>
        <v>76272.62</v>
      </c>
      <c r="AS666" s="16" t="str">
        <f t="shared" si="47"/>
        <v>Occasional</v>
      </c>
    </row>
    <row r="667" spans="38:45" x14ac:dyDescent="0.25">
      <c r="AL667" s="16" t="s">
        <v>1402</v>
      </c>
      <c r="AM667" s="16" t="s">
        <v>996</v>
      </c>
      <c r="AN667" s="16">
        <f>COUNTIF(RawData[Customer_ID],AL667)</f>
        <v>4</v>
      </c>
      <c r="AO667" s="16">
        <f>SUMIF(RawData[Customer_ID],AL667,RawData[Quantity])</f>
        <v>11</v>
      </c>
      <c r="AP667" s="21">
        <f>SUMIF(RawData[Customer_ID],AL667,RawData[Revenue])</f>
        <v>142589.6</v>
      </c>
      <c r="AQ667" s="21">
        <f>SUMIF(RawData[Customer_ID],AL667,RawData[Profit])</f>
        <v>3970.239999999998</v>
      </c>
      <c r="AR667" s="16">
        <f t="shared" si="46"/>
        <v>35647.4</v>
      </c>
      <c r="AS667" s="16" t="str">
        <f t="shared" si="47"/>
        <v>Occasional</v>
      </c>
    </row>
    <row r="668" spans="38:45" x14ac:dyDescent="0.25">
      <c r="AL668" s="16" t="s">
        <v>3483</v>
      </c>
      <c r="AM668" s="16" t="s">
        <v>997</v>
      </c>
      <c r="AN668" s="16">
        <f>COUNTIF(RawData[Customer_ID],AL668)</f>
        <v>3</v>
      </c>
      <c r="AO668" s="16">
        <f>SUMIF(RawData[Customer_ID],AL668,RawData[Quantity])</f>
        <v>7</v>
      </c>
      <c r="AP668" s="21">
        <f>SUMIF(RawData[Customer_ID],AL668,RawData[Revenue])</f>
        <v>72332.259999999995</v>
      </c>
      <c r="AQ668" s="21">
        <f>SUMIF(RawData[Customer_ID],AL668,RawData[Profit])</f>
        <v>11590.839999999993</v>
      </c>
      <c r="AR668" s="16">
        <f t="shared" si="46"/>
        <v>24110.75333333333</v>
      </c>
      <c r="AS668" s="16" t="str">
        <f t="shared" si="47"/>
        <v>Occasional</v>
      </c>
    </row>
    <row r="669" spans="38:45" x14ac:dyDescent="0.25">
      <c r="AL669" s="16" t="s">
        <v>1383</v>
      </c>
      <c r="AM669" s="16" t="s">
        <v>998</v>
      </c>
      <c r="AN669" s="16">
        <f>COUNTIF(RawData[Customer_ID],AL669)</f>
        <v>5</v>
      </c>
      <c r="AO669" s="16">
        <f>SUMIF(RawData[Customer_ID],AL669,RawData[Quantity])</f>
        <v>14</v>
      </c>
      <c r="AP669" s="21">
        <f>SUMIF(RawData[Customer_ID],AL669,RawData[Revenue])</f>
        <v>29069.5</v>
      </c>
      <c r="AQ669" s="21">
        <f>SUMIF(RawData[Customer_ID],AL669,RawData[Profit])</f>
        <v>4774.5</v>
      </c>
      <c r="AR669" s="16">
        <f t="shared" si="46"/>
        <v>5813.9</v>
      </c>
      <c r="AS669" s="16" t="str">
        <f t="shared" si="47"/>
        <v>Loyal</v>
      </c>
    </row>
    <row r="670" spans="38:45" x14ac:dyDescent="0.25">
      <c r="AL670" s="16" t="s">
        <v>1684</v>
      </c>
      <c r="AM670" s="16" t="s">
        <v>999</v>
      </c>
      <c r="AN670" s="16">
        <f>COUNTIF(RawData[Customer_ID],AL670)</f>
        <v>2</v>
      </c>
      <c r="AO670" s="16">
        <f>SUMIF(RawData[Customer_ID],AL670,RawData[Quantity])</f>
        <v>6</v>
      </c>
      <c r="AP670" s="21">
        <f>SUMIF(RawData[Customer_ID],AL670,RawData[Revenue])</f>
        <v>169234.37</v>
      </c>
      <c r="AQ670" s="21">
        <f>SUMIF(RawData[Customer_ID],AL670,RawData[Profit])</f>
        <v>18824.400000000001</v>
      </c>
      <c r="AR670" s="16">
        <f t="shared" si="46"/>
        <v>84617.184999999998</v>
      </c>
      <c r="AS670" s="16" t="str">
        <f t="shared" si="47"/>
        <v>Occasional</v>
      </c>
    </row>
    <row r="671" spans="38:45" x14ac:dyDescent="0.25">
      <c r="AL671" s="16" t="s">
        <v>3596</v>
      </c>
      <c r="AM671" s="16" t="s">
        <v>1000</v>
      </c>
      <c r="AN671" s="16">
        <f>COUNTIF(RawData[Customer_ID],AL671)</f>
        <v>5</v>
      </c>
      <c r="AO671" s="16">
        <f>SUMIF(RawData[Customer_ID],AL671,RawData[Quantity])</f>
        <v>14</v>
      </c>
      <c r="AP671" s="21">
        <f>SUMIF(RawData[Customer_ID],AL671,RawData[Revenue])</f>
        <v>441054.45</v>
      </c>
      <c r="AQ671" s="21">
        <f>SUMIF(RawData[Customer_ID],AL671,RawData[Profit])</f>
        <v>60741.350000000006</v>
      </c>
      <c r="AR671" s="16">
        <f t="shared" si="46"/>
        <v>88210.89</v>
      </c>
      <c r="AS671" s="16" t="str">
        <f t="shared" si="47"/>
        <v>Loyal</v>
      </c>
    </row>
    <row r="672" spans="38:45" x14ac:dyDescent="0.25">
      <c r="AL672" s="16" t="s">
        <v>2396</v>
      </c>
      <c r="AM672" s="16" t="s">
        <v>1001</v>
      </c>
      <c r="AN672" s="16">
        <f>COUNTIF(RawData[Customer_ID],AL672)</f>
        <v>1</v>
      </c>
      <c r="AO672" s="16">
        <f>SUMIF(RawData[Customer_ID],AL672,RawData[Quantity])</f>
        <v>4</v>
      </c>
      <c r="AP672" s="21">
        <f>SUMIF(RawData[Customer_ID],AL672,RawData[Revenue])</f>
        <v>25116</v>
      </c>
      <c r="AQ672" s="21">
        <f>SUMIF(RawData[Customer_ID],AL672,RawData[Profit])</f>
        <v>2208</v>
      </c>
      <c r="AR672" s="16">
        <f t="shared" si="46"/>
        <v>25116</v>
      </c>
      <c r="AS672" s="16" t="str">
        <f t="shared" si="47"/>
        <v>One-time</v>
      </c>
    </row>
    <row r="673" spans="38:45" x14ac:dyDescent="0.25">
      <c r="AL673" s="16" t="s">
        <v>1720</v>
      </c>
      <c r="AM673" s="16" t="s">
        <v>1002</v>
      </c>
      <c r="AN673" s="16">
        <f>COUNTIF(RawData[Customer_ID],AL673)</f>
        <v>1</v>
      </c>
      <c r="AO673" s="16">
        <f>SUMIF(RawData[Customer_ID],AL673,RawData[Quantity])</f>
        <v>1</v>
      </c>
      <c r="AP673" s="21">
        <f>SUMIF(RawData[Customer_ID],AL673,RawData[Revenue])</f>
        <v>6486</v>
      </c>
      <c r="AQ673" s="21">
        <f>SUMIF(RawData[Customer_ID],AL673,RawData[Profit])</f>
        <v>759</v>
      </c>
      <c r="AR673" s="16">
        <f t="shared" si="46"/>
        <v>6486</v>
      </c>
      <c r="AS673" s="16" t="str">
        <f t="shared" si="47"/>
        <v>One-time</v>
      </c>
    </row>
    <row r="674" spans="38:45" x14ac:dyDescent="0.25">
      <c r="AL674" s="16" t="s">
        <v>2365</v>
      </c>
      <c r="AM674" s="16" t="s">
        <v>1003</v>
      </c>
      <c r="AN674" s="16">
        <f>COUNTIF(RawData[Customer_ID],AL674)</f>
        <v>4</v>
      </c>
      <c r="AO674" s="16">
        <f>SUMIF(RawData[Customer_ID],AL674,RawData[Quantity])</f>
        <v>14</v>
      </c>
      <c r="AP674" s="21">
        <f>SUMIF(RawData[Customer_ID],AL674,RawData[Revenue])</f>
        <v>282000.49</v>
      </c>
      <c r="AQ674" s="21">
        <f>SUMIF(RawData[Customer_ID],AL674,RawData[Profit])</f>
        <v>38166.49</v>
      </c>
      <c r="AR674" s="16">
        <f t="shared" si="46"/>
        <v>70500.122499999998</v>
      </c>
      <c r="AS674" s="16" t="str">
        <f t="shared" si="47"/>
        <v>Occasional</v>
      </c>
    </row>
    <row r="675" spans="38:45" x14ac:dyDescent="0.25">
      <c r="AL675" s="16" t="s">
        <v>3704</v>
      </c>
      <c r="AM675" s="16" t="s">
        <v>609</v>
      </c>
      <c r="AN675" s="16">
        <f>COUNTIF(RawData[Customer_ID],AL675)</f>
        <v>3</v>
      </c>
      <c r="AO675" s="16">
        <f>SUMIF(RawData[Customer_ID],AL675,RawData[Quantity])</f>
        <v>4</v>
      </c>
      <c r="AP675" s="21">
        <f>SUMIF(RawData[Customer_ID],AL675,RawData[Revenue])</f>
        <v>63463.11</v>
      </c>
      <c r="AQ675" s="21">
        <f>SUMIF(RawData[Customer_ID],AL675,RawData[Profit])</f>
        <v>8959.4899999999925</v>
      </c>
      <c r="AR675" s="16">
        <f t="shared" si="46"/>
        <v>21154.37</v>
      </c>
      <c r="AS675" s="16" t="str">
        <f t="shared" si="47"/>
        <v>Occasional</v>
      </c>
    </row>
    <row r="676" spans="38:45" x14ac:dyDescent="0.25">
      <c r="AL676" s="16" t="s">
        <v>2124</v>
      </c>
      <c r="AM676" s="16" t="s">
        <v>1004</v>
      </c>
      <c r="AN676" s="16">
        <f>COUNTIF(RawData[Customer_ID],AL676)</f>
        <v>4</v>
      </c>
      <c r="AO676" s="16">
        <f>SUMIF(RawData[Customer_ID],AL676,RawData[Quantity])</f>
        <v>11</v>
      </c>
      <c r="AP676" s="21">
        <f>SUMIF(RawData[Customer_ID],AL676,RawData[Revenue])</f>
        <v>70477.100000000006</v>
      </c>
      <c r="AQ676" s="21">
        <f>SUMIF(RawData[Customer_ID],AL676,RawData[Profit])</f>
        <v>12491.7</v>
      </c>
      <c r="AR676" s="16">
        <f t="shared" si="46"/>
        <v>17619.275000000001</v>
      </c>
      <c r="AS676" s="16" t="str">
        <f t="shared" si="47"/>
        <v>Occasional</v>
      </c>
    </row>
    <row r="677" spans="38:45" x14ac:dyDescent="0.25">
      <c r="AL677" s="16" t="s">
        <v>1498</v>
      </c>
      <c r="AM677" s="16" t="s">
        <v>1005</v>
      </c>
      <c r="AN677" s="16">
        <f>COUNTIF(RawData[Customer_ID],AL677)</f>
        <v>4</v>
      </c>
      <c r="AO677" s="16">
        <f>SUMIF(RawData[Customer_ID],AL677,RawData[Quantity])</f>
        <v>13</v>
      </c>
      <c r="AP677" s="21">
        <f>SUMIF(RawData[Customer_ID],AL677,RawData[Revenue])</f>
        <v>240279.92</v>
      </c>
      <c r="AQ677" s="21">
        <f>SUMIF(RawData[Customer_ID],AL677,RawData[Profit])</f>
        <v>44360.919999999976</v>
      </c>
      <c r="AR677" s="16">
        <f t="shared" si="46"/>
        <v>60069.98</v>
      </c>
      <c r="AS677" s="16" t="str">
        <f t="shared" si="47"/>
        <v>Occasional</v>
      </c>
    </row>
    <row r="678" spans="38:45" x14ac:dyDescent="0.25">
      <c r="AL678" s="16" t="s">
        <v>1690</v>
      </c>
      <c r="AM678" s="16" t="s">
        <v>1006</v>
      </c>
      <c r="AN678" s="16">
        <f>COUNTIF(RawData[Customer_ID],AL678)</f>
        <v>5</v>
      </c>
      <c r="AO678" s="16">
        <f>SUMIF(RawData[Customer_ID],AL678,RawData[Quantity])</f>
        <v>17</v>
      </c>
      <c r="AP678" s="21">
        <f>SUMIF(RawData[Customer_ID],AL678,RawData[Revenue])</f>
        <v>87662.12</v>
      </c>
      <c r="AQ678" s="21">
        <f>SUMIF(RawData[Customer_ID],AL678,RawData[Profit])</f>
        <v>16476.22</v>
      </c>
      <c r="AR678" s="16">
        <f t="shared" si="46"/>
        <v>17532.423999999999</v>
      </c>
      <c r="AS678" s="16" t="str">
        <f t="shared" si="47"/>
        <v>Loyal</v>
      </c>
    </row>
    <row r="679" spans="38:45" x14ac:dyDescent="0.25">
      <c r="AL679" s="16" t="s">
        <v>4197</v>
      </c>
      <c r="AM679" s="16" t="s">
        <v>1007</v>
      </c>
      <c r="AN679" s="16">
        <f>COUNTIF(RawData[Customer_ID],AL679)</f>
        <v>5</v>
      </c>
      <c r="AO679" s="16">
        <f>SUMIF(RawData[Customer_ID],AL679,RawData[Quantity])</f>
        <v>17</v>
      </c>
      <c r="AP679" s="21">
        <f>SUMIF(RawData[Customer_ID],AL679,RawData[Revenue])</f>
        <v>166622.39999999999</v>
      </c>
      <c r="AQ679" s="21">
        <f>SUMIF(RawData[Customer_ID],AL679,RawData[Profit])</f>
        <v>33127.9</v>
      </c>
      <c r="AR679" s="16">
        <f t="shared" si="46"/>
        <v>33324.479999999996</v>
      </c>
      <c r="AS679" s="16" t="str">
        <f t="shared" si="47"/>
        <v>Loyal</v>
      </c>
    </row>
    <row r="680" spans="38:45" x14ac:dyDescent="0.25">
      <c r="AL680" s="16" t="s">
        <v>2852</v>
      </c>
      <c r="AM680" s="16" t="s">
        <v>1008</v>
      </c>
      <c r="AN680" s="16">
        <f>COUNTIF(RawData[Customer_ID],AL680)</f>
        <v>9</v>
      </c>
      <c r="AO680" s="16">
        <f>SUMIF(RawData[Customer_ID],AL680,RawData[Quantity])</f>
        <v>28</v>
      </c>
      <c r="AP680" s="21">
        <f>SUMIF(RawData[Customer_ID],AL680,RawData[Revenue])</f>
        <v>327338.43</v>
      </c>
      <c r="AQ680" s="21">
        <f>SUMIF(RawData[Customer_ID],AL680,RawData[Profit])</f>
        <v>44423.92</v>
      </c>
      <c r="AR680" s="16">
        <f t="shared" si="46"/>
        <v>36370.936666666668</v>
      </c>
      <c r="AS680" s="16" t="str">
        <f t="shared" si="47"/>
        <v>Review</v>
      </c>
    </row>
    <row r="681" spans="38:45" x14ac:dyDescent="0.25">
      <c r="AL681" s="16" t="s">
        <v>2898</v>
      </c>
      <c r="AM681" s="16" t="s">
        <v>1009</v>
      </c>
      <c r="AN681" s="16">
        <f>COUNTIF(RawData[Customer_ID],AL681)</f>
        <v>6</v>
      </c>
      <c r="AO681" s="16">
        <f>SUMIF(RawData[Customer_ID],AL681,RawData[Quantity])</f>
        <v>21</v>
      </c>
      <c r="AP681" s="21">
        <f>SUMIF(RawData[Customer_ID],AL681,RawData[Revenue])</f>
        <v>150766.96000000002</v>
      </c>
      <c r="AQ681" s="21">
        <f>SUMIF(RawData[Customer_ID],AL681,RawData[Profit])</f>
        <v>15766.160000000003</v>
      </c>
      <c r="AR681" s="16">
        <f t="shared" si="46"/>
        <v>25127.826666666671</v>
      </c>
      <c r="AS681" s="16" t="str">
        <f t="shared" si="47"/>
        <v>Loyal</v>
      </c>
    </row>
    <row r="682" spans="38:45" x14ac:dyDescent="0.25">
      <c r="AL682" s="16" t="s">
        <v>1394</v>
      </c>
      <c r="AM682" s="16" t="s">
        <v>1010</v>
      </c>
      <c r="AN682" s="16">
        <f>COUNTIF(RawData[Customer_ID],AL682)</f>
        <v>2</v>
      </c>
      <c r="AO682" s="16">
        <f>SUMIF(RawData[Customer_ID],AL682,RawData[Quantity])</f>
        <v>5</v>
      </c>
      <c r="AP682" s="21">
        <f>SUMIF(RawData[Customer_ID],AL682,RawData[Revenue])</f>
        <v>26414.2</v>
      </c>
      <c r="AQ682" s="21">
        <f>SUMIF(RawData[Customer_ID],AL682,RawData[Profit])</f>
        <v>4566.2</v>
      </c>
      <c r="AR682" s="16">
        <f t="shared" si="46"/>
        <v>13207.1</v>
      </c>
      <c r="AS682" s="16" t="str">
        <f t="shared" si="47"/>
        <v>Occasional</v>
      </c>
    </row>
    <row r="683" spans="38:45" x14ac:dyDescent="0.25">
      <c r="AL683" s="16" t="s">
        <v>1376</v>
      </c>
      <c r="AM683" s="16" t="s">
        <v>1011</v>
      </c>
      <c r="AN683" s="16">
        <f>COUNTIF(RawData[Customer_ID],AL683)</f>
        <v>7</v>
      </c>
      <c r="AO683" s="16">
        <f>SUMIF(RawData[Customer_ID],AL683,RawData[Quantity])</f>
        <v>26</v>
      </c>
      <c r="AP683" s="21">
        <f>SUMIF(RawData[Customer_ID],AL683,RawData[Revenue])</f>
        <v>427904.55</v>
      </c>
      <c r="AQ683" s="21">
        <f>SUMIF(RawData[Customer_ID],AL683,RawData[Profit])</f>
        <v>74736.75</v>
      </c>
      <c r="AR683" s="16">
        <f t="shared" si="46"/>
        <v>61129.221428571429</v>
      </c>
      <c r="AS683" s="16" t="str">
        <f t="shared" si="47"/>
        <v>Loyal</v>
      </c>
    </row>
    <row r="684" spans="38:45" x14ac:dyDescent="0.25">
      <c r="AL684" s="16" t="s">
        <v>1569</v>
      </c>
      <c r="AM684" s="16" t="s">
        <v>1012</v>
      </c>
      <c r="AN684" s="16">
        <f>COUNTIF(RawData[Customer_ID],AL684)</f>
        <v>2</v>
      </c>
      <c r="AO684" s="16">
        <f>SUMIF(RawData[Customer_ID],AL684,RawData[Quantity])</f>
        <v>8</v>
      </c>
      <c r="AP684" s="21">
        <f>SUMIF(RawData[Customer_ID],AL684,RawData[Revenue])</f>
        <v>176047.52999999997</v>
      </c>
      <c r="AQ684" s="21">
        <f>SUMIF(RawData[Customer_ID],AL684,RawData[Profit])</f>
        <v>15619.419999999998</v>
      </c>
      <c r="AR684" s="16">
        <f t="shared" si="46"/>
        <v>88023.764999999985</v>
      </c>
      <c r="AS684" s="16" t="str">
        <f t="shared" si="47"/>
        <v>Occasional</v>
      </c>
    </row>
    <row r="685" spans="38:45" x14ac:dyDescent="0.25">
      <c r="AL685" s="16" t="s">
        <v>4168</v>
      </c>
      <c r="AM685" s="16" t="s">
        <v>725</v>
      </c>
      <c r="AN685" s="16">
        <f>COUNTIF(RawData[Customer_ID],AL685)</f>
        <v>2</v>
      </c>
      <c r="AO685" s="16">
        <f>SUMIF(RawData[Customer_ID],AL685,RawData[Quantity])</f>
        <v>6</v>
      </c>
      <c r="AP685" s="21">
        <f>SUMIF(RawData[Customer_ID],AL685,RawData[Revenue])</f>
        <v>129901.2</v>
      </c>
      <c r="AQ685" s="21">
        <f>SUMIF(RawData[Customer_ID],AL685,RawData[Profit])</f>
        <v>10674.2</v>
      </c>
      <c r="AR685" s="16">
        <f t="shared" si="46"/>
        <v>64950.6</v>
      </c>
      <c r="AS685" s="16" t="str">
        <f t="shared" si="47"/>
        <v>Occasional</v>
      </c>
    </row>
    <row r="686" spans="38:45" x14ac:dyDescent="0.25">
      <c r="AL686" s="16" t="s">
        <v>3001</v>
      </c>
      <c r="AM686" s="16" t="s">
        <v>1013</v>
      </c>
      <c r="AN686" s="16">
        <f>COUNTIF(RawData[Customer_ID],AL686)</f>
        <v>2</v>
      </c>
      <c r="AO686" s="16">
        <f>SUMIF(RawData[Customer_ID],AL686,RawData[Quantity])</f>
        <v>7</v>
      </c>
      <c r="AP686" s="21">
        <f>SUMIF(RawData[Customer_ID],AL686,RawData[Revenue])</f>
        <v>63118.14</v>
      </c>
      <c r="AQ686" s="21">
        <f>SUMIF(RawData[Customer_ID],AL686,RawData[Profit])</f>
        <v>5444.8999999999942</v>
      </c>
      <c r="AR686" s="16">
        <f t="shared" si="46"/>
        <v>31559.07</v>
      </c>
      <c r="AS686" s="16" t="str">
        <f t="shared" si="47"/>
        <v>Occasional</v>
      </c>
    </row>
    <row r="687" spans="38:45" x14ac:dyDescent="0.25">
      <c r="AL687" s="16" t="s">
        <v>4095</v>
      </c>
      <c r="AM687" s="16" t="s">
        <v>1014</v>
      </c>
      <c r="AN687" s="16">
        <f>COUNTIF(RawData[Customer_ID],AL687)</f>
        <v>8</v>
      </c>
      <c r="AO687" s="16">
        <f>SUMIF(RawData[Customer_ID],AL687,RawData[Quantity])</f>
        <v>19</v>
      </c>
      <c r="AP687" s="21">
        <f>SUMIF(RawData[Customer_ID],AL687,RawData[Revenue])</f>
        <v>96323.959999999992</v>
      </c>
      <c r="AQ687" s="21">
        <f>SUMIF(RawData[Customer_ID],AL687,RawData[Profit])</f>
        <v>19620.879999999997</v>
      </c>
      <c r="AR687" s="16">
        <f t="shared" si="46"/>
        <v>12040.494999999999</v>
      </c>
      <c r="AS687" s="16" t="str">
        <f t="shared" si="47"/>
        <v>Loyal</v>
      </c>
    </row>
    <row r="688" spans="38:45" x14ac:dyDescent="0.25">
      <c r="AL688" s="16" t="s">
        <v>5174</v>
      </c>
      <c r="AM688" s="16" t="s">
        <v>1015</v>
      </c>
      <c r="AN688" s="16">
        <f>COUNTIF(RawData[Customer_ID],AL688)</f>
        <v>0</v>
      </c>
      <c r="AO688" s="16">
        <f>SUMIF(RawData[Customer_ID],AL688,RawData[Quantity])</f>
        <v>0</v>
      </c>
      <c r="AP688" s="21">
        <f>SUMIF(RawData[Customer_ID],AL688,RawData[Revenue])</f>
        <v>0</v>
      </c>
      <c r="AQ688" s="21">
        <f>SUMIF(RawData[Customer_ID],AL688,RawData[Profit])</f>
        <v>0</v>
      </c>
      <c r="AR688" s="16">
        <f t="shared" si="46"/>
        <v>0</v>
      </c>
      <c r="AS688" s="16" t="str">
        <f t="shared" si="47"/>
        <v>Occasional</v>
      </c>
    </row>
    <row r="689" spans="38:45" x14ac:dyDescent="0.25">
      <c r="AL689" s="16" t="s">
        <v>2428</v>
      </c>
      <c r="AM689" s="16" t="s">
        <v>1016</v>
      </c>
      <c r="AN689" s="16">
        <f>COUNTIF(RawData[Customer_ID],AL689)</f>
        <v>6</v>
      </c>
      <c r="AO689" s="16">
        <f>SUMIF(RawData[Customer_ID],AL689,RawData[Quantity])</f>
        <v>18</v>
      </c>
      <c r="AP689" s="21">
        <f>SUMIF(RawData[Customer_ID],AL689,RawData[Revenue])</f>
        <v>272566.19</v>
      </c>
      <c r="AQ689" s="21">
        <f>SUMIF(RawData[Customer_ID],AL689,RawData[Profit])</f>
        <v>45158.809999999983</v>
      </c>
      <c r="AR689" s="16">
        <f t="shared" si="46"/>
        <v>45427.698333333334</v>
      </c>
      <c r="AS689" s="16" t="str">
        <f t="shared" si="47"/>
        <v>Loyal</v>
      </c>
    </row>
    <row r="690" spans="38:45" x14ac:dyDescent="0.25">
      <c r="AL690" s="16" t="s">
        <v>3796</v>
      </c>
      <c r="AM690" s="16" t="s">
        <v>710</v>
      </c>
      <c r="AN690" s="16">
        <f>COUNTIF(RawData[Customer_ID],AL690)</f>
        <v>4</v>
      </c>
      <c r="AO690" s="16">
        <f>SUMIF(RawData[Customer_ID],AL690,RawData[Quantity])</f>
        <v>9</v>
      </c>
      <c r="AP690" s="21">
        <f>SUMIF(RawData[Customer_ID],AL690,RawData[Revenue])</f>
        <v>146981.94</v>
      </c>
      <c r="AQ690" s="21">
        <f>SUMIF(RawData[Customer_ID],AL690,RawData[Profit])</f>
        <v>25598.139999999981</v>
      </c>
      <c r="AR690" s="16">
        <f t="shared" si="46"/>
        <v>36745.485000000001</v>
      </c>
      <c r="AS690" s="16" t="str">
        <f t="shared" si="47"/>
        <v>Occasional</v>
      </c>
    </row>
    <row r="691" spans="38:45" x14ac:dyDescent="0.25">
      <c r="AL691" s="16" t="s">
        <v>2100</v>
      </c>
      <c r="AM691" s="16" t="s">
        <v>1017</v>
      </c>
      <c r="AN691" s="16">
        <f>COUNTIF(RawData[Customer_ID],AL691)</f>
        <v>3</v>
      </c>
      <c r="AO691" s="16">
        <f>SUMIF(RawData[Customer_ID],AL691,RawData[Quantity])</f>
        <v>8</v>
      </c>
      <c r="AP691" s="21">
        <f>SUMIF(RawData[Customer_ID],AL691,RawData[Revenue])</f>
        <v>345542.39</v>
      </c>
      <c r="AQ691" s="21">
        <f>SUMIF(RawData[Customer_ID],AL691,RawData[Profit])</f>
        <v>50998.87000000001</v>
      </c>
      <c r="AR691" s="16">
        <f t="shared" si="46"/>
        <v>115180.79666666668</v>
      </c>
      <c r="AS691" s="16" t="str">
        <f t="shared" si="47"/>
        <v>Occasional</v>
      </c>
    </row>
    <row r="692" spans="38:45" x14ac:dyDescent="0.25">
      <c r="AL692" s="16" t="s">
        <v>2149</v>
      </c>
      <c r="AM692" s="16" t="s">
        <v>1018</v>
      </c>
      <c r="AN692" s="16">
        <f>COUNTIF(RawData[Customer_ID],AL692)</f>
        <v>2</v>
      </c>
      <c r="AO692" s="16">
        <f>SUMIF(RawData[Customer_ID],AL692,RawData[Quantity])</f>
        <v>8</v>
      </c>
      <c r="AP692" s="21">
        <f>SUMIF(RawData[Customer_ID],AL692,RawData[Revenue])</f>
        <v>151876.56</v>
      </c>
      <c r="AQ692" s="21">
        <f>SUMIF(RawData[Customer_ID],AL692,RawData[Profit])</f>
        <v>14859.679999999993</v>
      </c>
      <c r="AR692" s="16">
        <f t="shared" si="46"/>
        <v>75938.28</v>
      </c>
      <c r="AS692" s="16" t="str">
        <f t="shared" si="47"/>
        <v>Occasional</v>
      </c>
    </row>
    <row r="693" spans="38:45" x14ac:dyDescent="0.25">
      <c r="AL693" s="16" t="s">
        <v>3414</v>
      </c>
      <c r="AM693" s="16" t="s">
        <v>1019</v>
      </c>
      <c r="AN693" s="16">
        <f>COUNTIF(RawData[Customer_ID],AL693)</f>
        <v>2</v>
      </c>
      <c r="AO693" s="16">
        <f>SUMIF(RawData[Customer_ID],AL693,RawData[Quantity])</f>
        <v>10</v>
      </c>
      <c r="AP693" s="21">
        <f>SUMIF(RawData[Customer_ID],AL693,RawData[Revenue])</f>
        <v>51335.75</v>
      </c>
      <c r="AQ693" s="21">
        <f>SUMIF(RawData[Customer_ID],AL693,RawData[Profit])</f>
        <v>6059.5</v>
      </c>
      <c r="AR693" s="16">
        <f t="shared" si="46"/>
        <v>25667.875</v>
      </c>
      <c r="AS693" s="16" t="str">
        <f t="shared" si="47"/>
        <v>Occasional</v>
      </c>
    </row>
    <row r="694" spans="38:45" x14ac:dyDescent="0.25">
      <c r="AL694" s="16" t="s">
        <v>1559</v>
      </c>
      <c r="AM694" s="16" t="s">
        <v>1020</v>
      </c>
      <c r="AN694" s="16">
        <f>COUNTIF(RawData[Customer_ID],AL694)</f>
        <v>2</v>
      </c>
      <c r="AO694" s="16">
        <f>SUMIF(RawData[Customer_ID],AL694,RawData[Quantity])</f>
        <v>5</v>
      </c>
      <c r="AP694" s="21">
        <f>SUMIF(RawData[Customer_ID],AL694,RawData[Revenue])</f>
        <v>872</v>
      </c>
      <c r="AQ694" s="21">
        <f>SUMIF(RawData[Customer_ID],AL694,RawData[Profit])</f>
        <v>269.5</v>
      </c>
      <c r="AR694" s="16">
        <f t="shared" si="46"/>
        <v>436</v>
      </c>
      <c r="AS694" s="16" t="str">
        <f t="shared" si="47"/>
        <v>Occasional</v>
      </c>
    </row>
    <row r="695" spans="38:45" x14ac:dyDescent="0.25">
      <c r="AL695" s="16" t="s">
        <v>1579</v>
      </c>
      <c r="AM695" s="16" t="s">
        <v>1021</v>
      </c>
      <c r="AN695" s="16">
        <f>COUNTIF(RawData[Customer_ID],AL695)</f>
        <v>3</v>
      </c>
      <c r="AO695" s="16">
        <f>SUMIF(RawData[Customer_ID],AL695,RawData[Quantity])</f>
        <v>7</v>
      </c>
      <c r="AP695" s="21">
        <f>SUMIF(RawData[Customer_ID],AL695,RawData[Revenue])</f>
        <v>4422.6000000000004</v>
      </c>
      <c r="AQ695" s="21">
        <f>SUMIF(RawData[Customer_ID],AL695,RawData[Profit])</f>
        <v>1389.1</v>
      </c>
      <c r="AR695" s="16">
        <f t="shared" si="46"/>
        <v>1474.2</v>
      </c>
      <c r="AS695" s="16" t="str">
        <f t="shared" si="47"/>
        <v>Occasional</v>
      </c>
    </row>
    <row r="696" spans="38:45" x14ac:dyDescent="0.25">
      <c r="AL696" s="16" t="s">
        <v>1251</v>
      </c>
      <c r="AM696" s="16" t="s">
        <v>585</v>
      </c>
      <c r="AN696" s="16">
        <f>COUNTIF(RawData[Customer_ID],AL696)</f>
        <v>5</v>
      </c>
      <c r="AO696" s="16">
        <f>SUMIF(RawData[Customer_ID],AL696,RawData[Quantity])</f>
        <v>15</v>
      </c>
      <c r="AP696" s="21">
        <f>SUMIF(RawData[Customer_ID],AL696,RawData[Revenue])</f>
        <v>161872.40999999997</v>
      </c>
      <c r="AQ696" s="21">
        <f>SUMIF(RawData[Customer_ID],AL696,RawData[Profit])</f>
        <v>4888.3699999999735</v>
      </c>
      <c r="AR696" s="16">
        <f t="shared" si="46"/>
        <v>32374.481999999996</v>
      </c>
      <c r="AS696" s="16" t="str">
        <f t="shared" si="47"/>
        <v>Loyal</v>
      </c>
    </row>
    <row r="697" spans="38:45" x14ac:dyDescent="0.25">
      <c r="AL697" s="16" t="s">
        <v>2486</v>
      </c>
      <c r="AM697" s="16" t="s">
        <v>970</v>
      </c>
      <c r="AN697" s="16">
        <f>COUNTIF(RawData[Customer_ID],AL697)</f>
        <v>2</v>
      </c>
      <c r="AO697" s="16">
        <f>SUMIF(RawData[Customer_ID],AL697,RawData[Quantity])</f>
        <v>6</v>
      </c>
      <c r="AP697" s="21">
        <f>SUMIF(RawData[Customer_ID],AL697,RawData[Revenue])</f>
        <v>9583</v>
      </c>
      <c r="AQ697" s="21">
        <f>SUMIF(RawData[Customer_ID],AL697,RawData[Profit])</f>
        <v>2525</v>
      </c>
      <c r="AR697" s="16">
        <f t="shared" si="46"/>
        <v>4791.5</v>
      </c>
      <c r="AS697" s="16" t="str">
        <f t="shared" si="47"/>
        <v>Occasional</v>
      </c>
    </row>
    <row r="698" spans="38:45" x14ac:dyDescent="0.25">
      <c r="AL698" s="16" t="s">
        <v>2180</v>
      </c>
      <c r="AM698" s="16" t="s">
        <v>1022</v>
      </c>
      <c r="AN698" s="16">
        <f>COUNTIF(RawData[Customer_ID],AL698)</f>
        <v>3</v>
      </c>
      <c r="AO698" s="16">
        <f>SUMIF(RawData[Customer_ID],AL698,RawData[Quantity])</f>
        <v>8</v>
      </c>
      <c r="AP698" s="21">
        <f>SUMIF(RawData[Customer_ID],AL698,RawData[Revenue])</f>
        <v>77779.77</v>
      </c>
      <c r="AQ698" s="21">
        <f>SUMIF(RawData[Customer_ID],AL698,RawData[Profit])</f>
        <v>10712.14</v>
      </c>
      <c r="AR698" s="16">
        <f t="shared" si="46"/>
        <v>25926.59</v>
      </c>
      <c r="AS698" s="16" t="str">
        <f t="shared" si="47"/>
        <v>Occasional</v>
      </c>
    </row>
    <row r="699" spans="38:45" x14ac:dyDescent="0.25">
      <c r="AL699" s="16" t="s">
        <v>4539</v>
      </c>
      <c r="AM699" s="16" t="s">
        <v>1023</v>
      </c>
      <c r="AN699" s="16">
        <f>COUNTIF(RawData[Customer_ID],AL699)</f>
        <v>2</v>
      </c>
      <c r="AO699" s="16">
        <f>SUMIF(RawData[Customer_ID],AL699,RawData[Quantity])</f>
        <v>7</v>
      </c>
      <c r="AP699" s="21">
        <f>SUMIF(RawData[Customer_ID],AL699,RawData[Revenue])</f>
        <v>145883.45000000001</v>
      </c>
      <c r="AQ699" s="21">
        <f>SUMIF(RawData[Customer_ID],AL699,RawData[Profit])</f>
        <v>17692.450000000012</v>
      </c>
      <c r="AR699" s="16">
        <f t="shared" si="46"/>
        <v>72941.725000000006</v>
      </c>
      <c r="AS699" s="16" t="str">
        <f t="shared" si="47"/>
        <v>Occasional</v>
      </c>
    </row>
    <row r="700" spans="38:45" x14ac:dyDescent="0.25">
      <c r="AL700" s="16" t="s">
        <v>1456</v>
      </c>
      <c r="AM700" s="16" t="s">
        <v>1024</v>
      </c>
      <c r="AN700" s="16">
        <f>COUNTIF(RawData[Customer_ID],AL700)</f>
        <v>3</v>
      </c>
      <c r="AO700" s="16">
        <f>SUMIF(RawData[Customer_ID],AL700,RawData[Quantity])</f>
        <v>5</v>
      </c>
      <c r="AP700" s="21">
        <f>SUMIF(RawData[Customer_ID],AL700,RawData[Revenue])</f>
        <v>58337.2</v>
      </c>
      <c r="AQ700" s="21">
        <f>SUMIF(RawData[Customer_ID],AL700,RawData[Profit])</f>
        <v>6876.4000000000042</v>
      </c>
      <c r="AR700" s="16">
        <f t="shared" si="46"/>
        <v>19445.733333333334</v>
      </c>
      <c r="AS700" s="16" t="str">
        <f t="shared" si="47"/>
        <v>Occasional</v>
      </c>
    </row>
    <row r="701" spans="38:45" x14ac:dyDescent="0.25">
      <c r="AL701" s="16" t="s">
        <v>2116</v>
      </c>
      <c r="AM701" s="16" t="s">
        <v>1025</v>
      </c>
      <c r="AN701" s="16">
        <f>COUNTIF(RawData[Customer_ID],AL701)</f>
        <v>4</v>
      </c>
      <c r="AO701" s="16">
        <f>SUMIF(RawData[Customer_ID],AL701,RawData[Quantity])</f>
        <v>11</v>
      </c>
      <c r="AP701" s="21">
        <f>SUMIF(RawData[Customer_ID],AL701,RawData[Revenue])</f>
        <v>84595.28</v>
      </c>
      <c r="AQ701" s="21">
        <f>SUMIF(RawData[Customer_ID],AL701,RawData[Profit])</f>
        <v>12874.479999999996</v>
      </c>
      <c r="AR701" s="16">
        <f t="shared" si="46"/>
        <v>21148.82</v>
      </c>
      <c r="AS701" s="16" t="str">
        <f t="shared" si="47"/>
        <v>Occasional</v>
      </c>
    </row>
    <row r="702" spans="38:45" x14ac:dyDescent="0.25">
      <c r="AL702" s="16" t="s">
        <v>2935</v>
      </c>
      <c r="AM702" s="16" t="s">
        <v>1026</v>
      </c>
      <c r="AN702" s="16">
        <f>COUNTIF(RawData[Customer_ID],AL702)</f>
        <v>4</v>
      </c>
      <c r="AO702" s="16">
        <f>SUMIF(RawData[Customer_ID],AL702,RawData[Quantity])</f>
        <v>14</v>
      </c>
      <c r="AP702" s="21">
        <f>SUMIF(RawData[Customer_ID],AL702,RawData[Revenue])</f>
        <v>200714.53999999998</v>
      </c>
      <c r="AQ702" s="21">
        <f>SUMIF(RawData[Customer_ID],AL702,RawData[Profit])</f>
        <v>33248.979999999996</v>
      </c>
      <c r="AR702" s="16">
        <f t="shared" si="46"/>
        <v>50178.634999999995</v>
      </c>
      <c r="AS702" s="16" t="str">
        <f t="shared" si="47"/>
        <v>Occasional</v>
      </c>
    </row>
    <row r="703" spans="38:45" x14ac:dyDescent="0.25">
      <c r="AL703" s="16" t="s">
        <v>2501</v>
      </c>
      <c r="AM703" s="16" t="s">
        <v>1027</v>
      </c>
      <c r="AN703" s="16">
        <f>COUNTIF(RawData[Customer_ID],AL703)</f>
        <v>5</v>
      </c>
      <c r="AO703" s="16">
        <f>SUMIF(RawData[Customer_ID],AL703,RawData[Quantity])</f>
        <v>17</v>
      </c>
      <c r="AP703" s="21">
        <f>SUMIF(RawData[Customer_ID],AL703,RawData[Revenue])</f>
        <v>258252.24</v>
      </c>
      <c r="AQ703" s="21">
        <f>SUMIF(RawData[Customer_ID],AL703,RawData[Profit])</f>
        <v>30064.069999999971</v>
      </c>
      <c r="AR703" s="16">
        <f t="shared" si="46"/>
        <v>51650.447999999997</v>
      </c>
      <c r="AS703" s="16" t="str">
        <f t="shared" si="47"/>
        <v>Loyal</v>
      </c>
    </row>
    <row r="704" spans="38:45" x14ac:dyDescent="0.25">
      <c r="AL704" s="16" t="s">
        <v>3298</v>
      </c>
      <c r="AM704" s="16" t="s">
        <v>992</v>
      </c>
      <c r="AN704" s="16">
        <f>COUNTIF(RawData[Customer_ID],AL704)</f>
        <v>2</v>
      </c>
      <c r="AO704" s="16">
        <f>SUMIF(RawData[Customer_ID],AL704,RawData[Quantity])</f>
        <v>5</v>
      </c>
      <c r="AP704" s="21">
        <f>SUMIF(RawData[Customer_ID],AL704,RawData[Revenue])</f>
        <v>51373.74</v>
      </c>
      <c r="AQ704" s="21">
        <f>SUMIF(RawData[Customer_ID],AL704,RawData[Profit])</f>
        <v>4457.4400000000041</v>
      </c>
      <c r="AR704" s="16">
        <f t="shared" si="46"/>
        <v>25686.87</v>
      </c>
      <c r="AS704" s="16" t="str">
        <f t="shared" si="47"/>
        <v>Occasional</v>
      </c>
    </row>
    <row r="705" spans="38:45" x14ac:dyDescent="0.25">
      <c r="AL705" s="16" t="s">
        <v>2356</v>
      </c>
      <c r="AM705" s="16" t="s">
        <v>1028</v>
      </c>
      <c r="AN705" s="16">
        <f>COUNTIF(RawData[Customer_ID],AL705)</f>
        <v>4</v>
      </c>
      <c r="AO705" s="16">
        <f>SUMIF(RawData[Customer_ID],AL705,RawData[Quantity])</f>
        <v>11</v>
      </c>
      <c r="AP705" s="21">
        <f>SUMIF(RawData[Customer_ID],AL705,RawData[Revenue])</f>
        <v>276649.30000000005</v>
      </c>
      <c r="AQ705" s="21">
        <f>SUMIF(RawData[Customer_ID],AL705,RawData[Profit])</f>
        <v>35981.400000000009</v>
      </c>
      <c r="AR705" s="16">
        <f t="shared" si="46"/>
        <v>69162.325000000012</v>
      </c>
      <c r="AS705" s="16" t="str">
        <f t="shared" si="47"/>
        <v>Occasional</v>
      </c>
    </row>
    <row r="706" spans="38:45" x14ac:dyDescent="0.25">
      <c r="AL706" s="16" t="s">
        <v>1675</v>
      </c>
      <c r="AM706" s="16" t="s">
        <v>1029</v>
      </c>
      <c r="AN706" s="16">
        <f>COUNTIF(RawData[Customer_ID],AL706)</f>
        <v>4</v>
      </c>
      <c r="AO706" s="16">
        <f>SUMIF(RawData[Customer_ID],AL706,RawData[Quantity])</f>
        <v>16</v>
      </c>
      <c r="AP706" s="21">
        <f>SUMIF(RawData[Customer_ID],AL706,RawData[Revenue])</f>
        <v>125414.43</v>
      </c>
      <c r="AQ706" s="21">
        <f>SUMIF(RawData[Customer_ID],AL706,RawData[Profit])</f>
        <v>19074.309999999994</v>
      </c>
      <c r="AR706" s="16">
        <f t="shared" si="46"/>
        <v>31353.607499999998</v>
      </c>
      <c r="AS706" s="16" t="str">
        <f t="shared" si="47"/>
        <v>Occasional</v>
      </c>
    </row>
    <row r="707" spans="38:45" x14ac:dyDescent="0.25">
      <c r="AL707" s="16" t="s">
        <v>3274</v>
      </c>
      <c r="AM707" s="16" t="s">
        <v>1030</v>
      </c>
      <c r="AN707" s="16">
        <f>COUNTIF(RawData[Customer_ID],AL707)</f>
        <v>4</v>
      </c>
      <c r="AO707" s="16">
        <f>SUMIF(RawData[Customer_ID],AL707,RawData[Quantity])</f>
        <v>9</v>
      </c>
      <c r="AP707" s="21">
        <f>SUMIF(RawData[Customer_ID],AL707,RawData[Revenue])</f>
        <v>88151.680000000008</v>
      </c>
      <c r="AQ707" s="21">
        <f>SUMIF(RawData[Customer_ID],AL707,RawData[Profit])</f>
        <v>13838.240000000005</v>
      </c>
      <c r="AR707" s="16">
        <f t="shared" ref="AR707:AR770" si="48">IF(AN707=0,0,AP707/AN707)</f>
        <v>22037.920000000002</v>
      </c>
      <c r="AS707" s="16" t="str">
        <f t="shared" ref="AS707:AS770" si="49">IF(AN707=1,"One-time",IF(AN707&lt;=4,"Occasional",IF(AN707&lt;=8,"Loyal","Review")))</f>
        <v>Occasional</v>
      </c>
    </row>
    <row r="708" spans="38:45" x14ac:dyDescent="0.25">
      <c r="AL708" s="16" t="s">
        <v>2204</v>
      </c>
      <c r="AM708" s="16" t="s">
        <v>1031</v>
      </c>
      <c r="AN708" s="16">
        <f>COUNTIF(RawData[Customer_ID],AL708)</f>
        <v>1</v>
      </c>
      <c r="AO708" s="16">
        <f>SUMIF(RawData[Customer_ID],AL708,RawData[Quantity])</f>
        <v>5</v>
      </c>
      <c r="AP708" s="21">
        <f>SUMIF(RawData[Customer_ID],AL708,RawData[Revenue])</f>
        <v>360</v>
      </c>
      <c r="AQ708" s="21">
        <f>SUMIF(RawData[Customer_ID],AL708,RawData[Profit])</f>
        <v>80</v>
      </c>
      <c r="AR708" s="16">
        <f t="shared" si="48"/>
        <v>360</v>
      </c>
      <c r="AS708" s="16" t="str">
        <f t="shared" si="49"/>
        <v>One-time</v>
      </c>
    </row>
    <row r="709" spans="38:45" x14ac:dyDescent="0.25">
      <c r="AL709" s="16" t="s">
        <v>3211</v>
      </c>
      <c r="AM709" s="16" t="s">
        <v>1032</v>
      </c>
      <c r="AN709" s="16">
        <f>COUNTIF(RawData[Customer_ID],AL709)</f>
        <v>6</v>
      </c>
      <c r="AO709" s="16">
        <f>SUMIF(RawData[Customer_ID],AL709,RawData[Quantity])</f>
        <v>19</v>
      </c>
      <c r="AP709" s="21">
        <f>SUMIF(RawData[Customer_ID],AL709,RawData[Revenue])</f>
        <v>306005.47000000003</v>
      </c>
      <c r="AQ709" s="21">
        <f>SUMIF(RawData[Customer_ID],AL709,RawData[Profit])</f>
        <v>52261.07</v>
      </c>
      <c r="AR709" s="16">
        <f t="shared" si="48"/>
        <v>51000.911666666674</v>
      </c>
      <c r="AS709" s="16" t="str">
        <f t="shared" si="49"/>
        <v>Loyal</v>
      </c>
    </row>
    <row r="710" spans="38:45" x14ac:dyDescent="0.25">
      <c r="AL710" s="16" t="s">
        <v>1979</v>
      </c>
      <c r="AM710" s="16" t="s">
        <v>1033</v>
      </c>
      <c r="AN710" s="16">
        <f>COUNTIF(RawData[Customer_ID],AL710)</f>
        <v>1</v>
      </c>
      <c r="AO710" s="16">
        <f>SUMIF(RawData[Customer_ID],AL710,RawData[Quantity])</f>
        <v>3</v>
      </c>
      <c r="AP710" s="21">
        <f>SUMIF(RawData[Customer_ID],AL710,RawData[Revenue])</f>
        <v>360</v>
      </c>
      <c r="AQ710" s="21">
        <f>SUMIF(RawData[Customer_ID],AL710,RawData[Profit])</f>
        <v>115.20000000000002</v>
      </c>
      <c r="AR710" s="16">
        <f t="shared" si="48"/>
        <v>360</v>
      </c>
      <c r="AS710" s="16" t="str">
        <f t="shared" si="49"/>
        <v>One-time</v>
      </c>
    </row>
    <row r="711" spans="38:45" x14ac:dyDescent="0.25">
      <c r="AL711" s="16" t="s">
        <v>3433</v>
      </c>
      <c r="AM711" s="16" t="s">
        <v>1034</v>
      </c>
      <c r="AN711" s="16">
        <f>COUNTIF(RawData[Customer_ID],AL711)</f>
        <v>1</v>
      </c>
      <c r="AO711" s="16">
        <f>SUMIF(RawData[Customer_ID],AL711,RawData[Quantity])</f>
        <v>3</v>
      </c>
      <c r="AP711" s="21">
        <f>SUMIF(RawData[Customer_ID],AL711,RawData[Revenue])</f>
        <v>16182.509999999998</v>
      </c>
      <c r="AQ711" s="21">
        <f>SUMIF(RawData[Customer_ID],AL711,RawData[Profit])</f>
        <v>2534.6100000000006</v>
      </c>
      <c r="AR711" s="16">
        <f t="shared" si="48"/>
        <v>16182.509999999998</v>
      </c>
      <c r="AS711" s="16" t="str">
        <f t="shared" si="49"/>
        <v>One-time</v>
      </c>
    </row>
    <row r="712" spans="38:45" x14ac:dyDescent="0.25">
      <c r="AL712" s="16" t="s">
        <v>1973</v>
      </c>
      <c r="AM712" s="16" t="s">
        <v>997</v>
      </c>
      <c r="AN712" s="16">
        <f>COUNTIF(RawData[Customer_ID],AL712)</f>
        <v>6</v>
      </c>
      <c r="AO712" s="16">
        <f>SUMIF(RawData[Customer_ID],AL712,RawData[Quantity])</f>
        <v>14</v>
      </c>
      <c r="AP712" s="21">
        <f>SUMIF(RawData[Customer_ID],AL712,RawData[Revenue])</f>
        <v>356453.31</v>
      </c>
      <c r="AQ712" s="21">
        <f>SUMIF(RawData[Customer_ID],AL712,RawData[Profit])</f>
        <v>61783.329999999987</v>
      </c>
      <c r="AR712" s="16">
        <f t="shared" si="48"/>
        <v>59408.885000000002</v>
      </c>
      <c r="AS712" s="16" t="str">
        <f t="shared" si="49"/>
        <v>Loyal</v>
      </c>
    </row>
    <row r="713" spans="38:45" x14ac:dyDescent="0.25">
      <c r="AL713" s="16" t="s">
        <v>1421</v>
      </c>
      <c r="AM713" s="16" t="s">
        <v>1035</v>
      </c>
      <c r="AN713" s="16">
        <f>COUNTIF(RawData[Customer_ID],AL713)</f>
        <v>5</v>
      </c>
      <c r="AO713" s="16">
        <f>SUMIF(RawData[Customer_ID],AL713,RawData[Quantity])</f>
        <v>13</v>
      </c>
      <c r="AP713" s="21">
        <f>SUMIF(RawData[Customer_ID],AL713,RawData[Revenue])</f>
        <v>207083.8</v>
      </c>
      <c r="AQ713" s="21">
        <f>SUMIF(RawData[Customer_ID],AL713,RawData[Profit])</f>
        <v>30039.439999999988</v>
      </c>
      <c r="AR713" s="16">
        <f t="shared" si="48"/>
        <v>41416.759999999995</v>
      </c>
      <c r="AS713" s="16" t="str">
        <f t="shared" si="49"/>
        <v>Loyal</v>
      </c>
    </row>
    <row r="714" spans="38:45" x14ac:dyDescent="0.25">
      <c r="AL714" s="16" t="s">
        <v>3033</v>
      </c>
      <c r="AM714" s="16" t="s">
        <v>1036</v>
      </c>
      <c r="AN714" s="16">
        <f>COUNTIF(RawData[Customer_ID],AL714)</f>
        <v>4</v>
      </c>
      <c r="AO714" s="16">
        <f>SUMIF(RawData[Customer_ID],AL714,RawData[Quantity])</f>
        <v>9</v>
      </c>
      <c r="AP714" s="21">
        <f>SUMIF(RawData[Customer_ID],AL714,RawData[Revenue])</f>
        <v>166242.32</v>
      </c>
      <c r="AQ714" s="21">
        <f>SUMIF(RawData[Customer_ID],AL714,RawData[Profit])</f>
        <v>20143.32</v>
      </c>
      <c r="AR714" s="16">
        <f t="shared" si="48"/>
        <v>41560.58</v>
      </c>
      <c r="AS714" s="16" t="str">
        <f t="shared" si="49"/>
        <v>Occasional</v>
      </c>
    </row>
    <row r="715" spans="38:45" x14ac:dyDescent="0.25">
      <c r="AL715" s="16" t="s">
        <v>2729</v>
      </c>
      <c r="AM715" s="16" t="s">
        <v>1037</v>
      </c>
      <c r="AN715" s="16">
        <f>COUNTIF(RawData[Customer_ID],AL715)</f>
        <v>5</v>
      </c>
      <c r="AO715" s="16">
        <f>SUMIF(RawData[Customer_ID],AL715,RawData[Quantity])</f>
        <v>16</v>
      </c>
      <c r="AP715" s="21">
        <f>SUMIF(RawData[Customer_ID],AL715,RawData[Revenue])</f>
        <v>214914.01</v>
      </c>
      <c r="AQ715" s="21">
        <f>SUMIF(RawData[Customer_ID],AL715,RawData[Profit])</f>
        <v>39320.550000000003</v>
      </c>
      <c r="AR715" s="16">
        <f t="shared" si="48"/>
        <v>42982.802000000003</v>
      </c>
      <c r="AS715" s="16" t="str">
        <f t="shared" si="49"/>
        <v>Loyal</v>
      </c>
    </row>
    <row r="716" spans="38:45" x14ac:dyDescent="0.25">
      <c r="AL716" s="16" t="s">
        <v>1458</v>
      </c>
      <c r="AM716" s="16" t="s">
        <v>1038</v>
      </c>
      <c r="AN716" s="16">
        <f>COUNTIF(RawData[Customer_ID],AL716)</f>
        <v>5</v>
      </c>
      <c r="AO716" s="16">
        <f>SUMIF(RawData[Customer_ID],AL716,RawData[Quantity])</f>
        <v>16</v>
      </c>
      <c r="AP716" s="21">
        <f>SUMIF(RawData[Customer_ID],AL716,RawData[Revenue])</f>
        <v>193876.89</v>
      </c>
      <c r="AQ716" s="21">
        <f>SUMIF(RawData[Customer_ID],AL716,RawData[Profit])</f>
        <v>29278.289999999986</v>
      </c>
      <c r="AR716" s="16">
        <f t="shared" si="48"/>
        <v>38775.378000000004</v>
      </c>
      <c r="AS716" s="16" t="str">
        <f t="shared" si="49"/>
        <v>Loyal</v>
      </c>
    </row>
    <row r="717" spans="38:45" x14ac:dyDescent="0.25">
      <c r="AL717" s="16" t="s">
        <v>1460</v>
      </c>
      <c r="AM717" s="16" t="s">
        <v>1039</v>
      </c>
      <c r="AN717" s="16">
        <f>COUNTIF(RawData[Customer_ID],AL717)</f>
        <v>5</v>
      </c>
      <c r="AO717" s="16">
        <f>SUMIF(RawData[Customer_ID],AL717,RawData[Quantity])</f>
        <v>16</v>
      </c>
      <c r="AP717" s="21">
        <f>SUMIF(RawData[Customer_ID],AL717,RawData[Revenue])</f>
        <v>194084</v>
      </c>
      <c r="AQ717" s="21">
        <f>SUMIF(RawData[Customer_ID],AL717,RawData[Profit])</f>
        <v>33321.699999999983</v>
      </c>
      <c r="AR717" s="16">
        <f t="shared" si="48"/>
        <v>38816.800000000003</v>
      </c>
      <c r="AS717" s="16" t="str">
        <f t="shared" si="49"/>
        <v>Loyal</v>
      </c>
    </row>
    <row r="718" spans="38:45" x14ac:dyDescent="0.25">
      <c r="AL718" s="16" t="s">
        <v>2015</v>
      </c>
      <c r="AM718" s="16" t="s">
        <v>1040</v>
      </c>
      <c r="AN718" s="16">
        <f>COUNTIF(RawData[Customer_ID],AL718)</f>
        <v>2</v>
      </c>
      <c r="AO718" s="16">
        <f>SUMIF(RawData[Customer_ID],AL718,RawData[Quantity])</f>
        <v>8</v>
      </c>
      <c r="AP718" s="21">
        <f>SUMIF(RawData[Customer_ID],AL718,RawData[Revenue])</f>
        <v>147112.34</v>
      </c>
      <c r="AQ718" s="21">
        <f>SUMIF(RawData[Customer_ID],AL718,RawData[Profit])</f>
        <v>25318.489999999998</v>
      </c>
      <c r="AR718" s="16">
        <f t="shared" si="48"/>
        <v>73556.17</v>
      </c>
      <c r="AS718" s="16" t="str">
        <f t="shared" si="49"/>
        <v>Occasional</v>
      </c>
    </row>
    <row r="719" spans="38:45" x14ac:dyDescent="0.25">
      <c r="AL719" s="16" t="s">
        <v>1927</v>
      </c>
      <c r="AM719" s="16" t="s">
        <v>1041</v>
      </c>
      <c r="AN719" s="16">
        <f>COUNTIF(RawData[Customer_ID],AL719)</f>
        <v>6</v>
      </c>
      <c r="AO719" s="16">
        <f>SUMIF(RawData[Customer_ID],AL719,RawData[Quantity])</f>
        <v>21</v>
      </c>
      <c r="AP719" s="21">
        <f>SUMIF(RawData[Customer_ID],AL719,RawData[Revenue])</f>
        <v>244420.88999999998</v>
      </c>
      <c r="AQ719" s="21">
        <f>SUMIF(RawData[Customer_ID],AL719,RawData[Profit])</f>
        <v>17491.569999999985</v>
      </c>
      <c r="AR719" s="16">
        <f t="shared" si="48"/>
        <v>40736.814999999995</v>
      </c>
      <c r="AS719" s="16" t="str">
        <f t="shared" si="49"/>
        <v>Loyal</v>
      </c>
    </row>
    <row r="720" spans="38:45" x14ac:dyDescent="0.25">
      <c r="AL720" s="16" t="s">
        <v>1805</v>
      </c>
      <c r="AM720" s="16" t="s">
        <v>1042</v>
      </c>
      <c r="AN720" s="16">
        <f>COUNTIF(RawData[Customer_ID],AL720)</f>
        <v>3</v>
      </c>
      <c r="AO720" s="16">
        <f>SUMIF(RawData[Customer_ID],AL720,RawData[Quantity])</f>
        <v>7</v>
      </c>
      <c r="AP720" s="21">
        <f>SUMIF(RawData[Customer_ID],AL720,RawData[Revenue])</f>
        <v>23566.400000000001</v>
      </c>
      <c r="AQ720" s="21">
        <f>SUMIF(RawData[Customer_ID],AL720,RawData[Profit])</f>
        <v>3759.4</v>
      </c>
      <c r="AR720" s="16">
        <f t="shared" si="48"/>
        <v>7855.4666666666672</v>
      </c>
      <c r="AS720" s="16" t="str">
        <f t="shared" si="49"/>
        <v>Occasional</v>
      </c>
    </row>
    <row r="721" spans="38:45" x14ac:dyDescent="0.25">
      <c r="AL721" s="16" t="s">
        <v>1454</v>
      </c>
      <c r="AM721" s="16" t="s">
        <v>1043</v>
      </c>
      <c r="AN721" s="16">
        <f>COUNTIF(RawData[Customer_ID],AL721)</f>
        <v>5</v>
      </c>
      <c r="AO721" s="16">
        <f>SUMIF(RawData[Customer_ID],AL721,RawData[Quantity])</f>
        <v>11</v>
      </c>
      <c r="AP721" s="21">
        <f>SUMIF(RawData[Customer_ID],AL721,RawData[Revenue])</f>
        <v>74241.86</v>
      </c>
      <c r="AQ721" s="21">
        <f>SUMIF(RawData[Customer_ID],AL721,RawData[Profit])</f>
        <v>12946.49</v>
      </c>
      <c r="AR721" s="16">
        <f t="shared" si="48"/>
        <v>14848.371999999999</v>
      </c>
      <c r="AS721" s="16" t="str">
        <f t="shared" si="49"/>
        <v>Loyal</v>
      </c>
    </row>
    <row r="722" spans="38:45" x14ac:dyDescent="0.25">
      <c r="AL722" s="16" t="s">
        <v>2369</v>
      </c>
      <c r="AM722" s="16" t="s">
        <v>816</v>
      </c>
      <c r="AN722" s="16">
        <f>COUNTIF(RawData[Customer_ID],AL722)</f>
        <v>4</v>
      </c>
      <c r="AO722" s="16">
        <f>SUMIF(RawData[Customer_ID],AL722,RawData[Quantity])</f>
        <v>10</v>
      </c>
      <c r="AP722" s="21">
        <f>SUMIF(RawData[Customer_ID],AL722,RawData[Revenue])</f>
        <v>27710</v>
      </c>
      <c r="AQ722" s="21">
        <f>SUMIF(RawData[Customer_ID],AL722,RawData[Profit])</f>
        <v>7590</v>
      </c>
      <c r="AR722" s="16">
        <f t="shared" si="48"/>
        <v>6927.5</v>
      </c>
      <c r="AS722" s="16" t="str">
        <f t="shared" si="49"/>
        <v>Occasional</v>
      </c>
    </row>
    <row r="723" spans="38:45" x14ac:dyDescent="0.25">
      <c r="AL723" s="16" t="s">
        <v>1630</v>
      </c>
      <c r="AM723" s="16" t="s">
        <v>1044</v>
      </c>
      <c r="AN723" s="16">
        <f>COUNTIF(RawData[Customer_ID],AL723)</f>
        <v>7</v>
      </c>
      <c r="AO723" s="16">
        <f>SUMIF(RawData[Customer_ID],AL723,RawData[Quantity])</f>
        <v>20</v>
      </c>
      <c r="AP723" s="21">
        <f>SUMIF(RawData[Customer_ID],AL723,RawData[Revenue])</f>
        <v>306524.58999999997</v>
      </c>
      <c r="AQ723" s="21">
        <f>SUMIF(RawData[Customer_ID],AL723,RawData[Profit])</f>
        <v>41658.489999999991</v>
      </c>
      <c r="AR723" s="16">
        <f t="shared" si="48"/>
        <v>43789.22714285714</v>
      </c>
      <c r="AS723" s="16" t="str">
        <f t="shared" si="49"/>
        <v>Loyal</v>
      </c>
    </row>
    <row r="724" spans="38:45" x14ac:dyDescent="0.25">
      <c r="AL724" s="16" t="s">
        <v>3502</v>
      </c>
      <c r="AM724" s="16" t="s">
        <v>1045</v>
      </c>
      <c r="AN724" s="16">
        <f>COUNTIF(RawData[Customer_ID],AL724)</f>
        <v>3</v>
      </c>
      <c r="AO724" s="16">
        <f>SUMIF(RawData[Customer_ID],AL724,RawData[Quantity])</f>
        <v>8</v>
      </c>
      <c r="AP724" s="21">
        <f>SUMIF(RawData[Customer_ID],AL724,RawData[Revenue])</f>
        <v>2327.6999999999998</v>
      </c>
      <c r="AQ724" s="21">
        <f>SUMIF(RawData[Customer_ID],AL724,RawData[Profit])</f>
        <v>602.20000000000005</v>
      </c>
      <c r="AR724" s="16">
        <f t="shared" si="48"/>
        <v>775.9</v>
      </c>
      <c r="AS724" s="16" t="str">
        <f t="shared" si="49"/>
        <v>Occasional</v>
      </c>
    </row>
    <row r="725" spans="38:45" x14ac:dyDescent="0.25">
      <c r="AL725" s="16" t="s">
        <v>3580</v>
      </c>
      <c r="AM725" s="16" t="s">
        <v>859</v>
      </c>
      <c r="AN725" s="16">
        <f>COUNTIF(RawData[Customer_ID],AL725)</f>
        <v>5</v>
      </c>
      <c r="AO725" s="16">
        <f>SUMIF(RawData[Customer_ID],AL725,RawData[Quantity])</f>
        <v>16</v>
      </c>
      <c r="AP725" s="21">
        <f>SUMIF(RawData[Customer_ID],AL725,RawData[Revenue])</f>
        <v>319762.18000000005</v>
      </c>
      <c r="AQ725" s="21">
        <f>SUMIF(RawData[Customer_ID],AL725,RawData[Profit])</f>
        <v>33930.44</v>
      </c>
      <c r="AR725" s="16">
        <f t="shared" si="48"/>
        <v>63952.436000000009</v>
      </c>
      <c r="AS725" s="16" t="str">
        <f t="shared" si="49"/>
        <v>Loyal</v>
      </c>
    </row>
    <row r="726" spans="38:45" x14ac:dyDescent="0.25">
      <c r="AL726" s="16" t="s">
        <v>1745</v>
      </c>
      <c r="AM726" s="16" t="s">
        <v>1046</v>
      </c>
      <c r="AN726" s="16">
        <f>COUNTIF(RawData[Customer_ID],AL726)</f>
        <v>7</v>
      </c>
      <c r="AO726" s="16">
        <f>SUMIF(RawData[Customer_ID],AL726,RawData[Quantity])</f>
        <v>21</v>
      </c>
      <c r="AP726" s="21">
        <f>SUMIF(RawData[Customer_ID],AL726,RawData[Revenue])</f>
        <v>346817.89</v>
      </c>
      <c r="AQ726" s="21">
        <f>SUMIF(RawData[Customer_ID],AL726,RawData[Profit])</f>
        <v>41287.979999999989</v>
      </c>
      <c r="AR726" s="16">
        <f t="shared" si="48"/>
        <v>49545.412857142859</v>
      </c>
      <c r="AS726" s="16" t="str">
        <f t="shared" si="49"/>
        <v>Loyal</v>
      </c>
    </row>
    <row r="727" spans="38:45" x14ac:dyDescent="0.25">
      <c r="AL727" s="16" t="s">
        <v>1669</v>
      </c>
      <c r="AM727" s="16" t="s">
        <v>1047</v>
      </c>
      <c r="AN727" s="16">
        <f>COUNTIF(RawData[Customer_ID],AL727)</f>
        <v>2</v>
      </c>
      <c r="AO727" s="16">
        <f>SUMIF(RawData[Customer_ID],AL727,RawData[Quantity])</f>
        <v>7</v>
      </c>
      <c r="AP727" s="21">
        <f>SUMIF(RawData[Customer_ID],AL727,RawData[Revenue])</f>
        <v>5323.6</v>
      </c>
      <c r="AQ727" s="21">
        <f>SUMIF(RawData[Customer_ID],AL727,RawData[Profit])</f>
        <v>1636.6</v>
      </c>
      <c r="AR727" s="16">
        <f t="shared" si="48"/>
        <v>2661.8</v>
      </c>
      <c r="AS727" s="16" t="str">
        <f t="shared" si="49"/>
        <v>Occasional</v>
      </c>
    </row>
    <row r="728" spans="38:45" x14ac:dyDescent="0.25">
      <c r="AL728" s="16" t="s">
        <v>2758</v>
      </c>
      <c r="AM728" s="16" t="s">
        <v>1048</v>
      </c>
      <c r="AN728" s="16">
        <f>COUNTIF(RawData[Customer_ID],AL728)</f>
        <v>4</v>
      </c>
      <c r="AO728" s="16">
        <f>SUMIF(RawData[Customer_ID],AL728,RawData[Quantity])</f>
        <v>15</v>
      </c>
      <c r="AP728" s="21">
        <f>SUMIF(RawData[Customer_ID],AL728,RawData[Revenue])</f>
        <v>267211.17</v>
      </c>
      <c r="AQ728" s="21">
        <f>SUMIF(RawData[Customer_ID],AL728,RawData[Profit])</f>
        <v>35673.069999999992</v>
      </c>
      <c r="AR728" s="16">
        <f t="shared" si="48"/>
        <v>66802.792499999996</v>
      </c>
      <c r="AS728" s="16" t="str">
        <f t="shared" si="49"/>
        <v>Occasional</v>
      </c>
    </row>
    <row r="729" spans="38:45" x14ac:dyDescent="0.25">
      <c r="AL729" s="16" t="s">
        <v>1333</v>
      </c>
      <c r="AM729" s="16" t="s">
        <v>1049</v>
      </c>
      <c r="AN729" s="16">
        <f>COUNTIF(RawData[Customer_ID],AL729)</f>
        <v>5</v>
      </c>
      <c r="AO729" s="16">
        <f>SUMIF(RawData[Customer_ID],AL729,RawData[Quantity])</f>
        <v>14</v>
      </c>
      <c r="AP729" s="21">
        <f>SUMIF(RawData[Customer_ID],AL729,RawData[Revenue])</f>
        <v>277536.45</v>
      </c>
      <c r="AQ729" s="21">
        <f>SUMIF(RawData[Customer_ID],AL729,RawData[Profit])</f>
        <v>47962.589999999982</v>
      </c>
      <c r="AR729" s="16">
        <f t="shared" si="48"/>
        <v>55507.29</v>
      </c>
      <c r="AS729" s="16" t="str">
        <f t="shared" si="49"/>
        <v>Loyal</v>
      </c>
    </row>
    <row r="730" spans="38:45" x14ac:dyDescent="0.25">
      <c r="AL730" s="16" t="s">
        <v>2156</v>
      </c>
      <c r="AM730" s="16" t="s">
        <v>1050</v>
      </c>
      <c r="AN730" s="16">
        <f>COUNTIF(RawData[Customer_ID],AL730)</f>
        <v>3</v>
      </c>
      <c r="AO730" s="16">
        <f>SUMIF(RawData[Customer_ID],AL730,RawData[Quantity])</f>
        <v>11</v>
      </c>
      <c r="AP730" s="21">
        <f>SUMIF(RawData[Customer_ID],AL730,RawData[Revenue])</f>
        <v>126862.51999999999</v>
      </c>
      <c r="AQ730" s="21">
        <f>SUMIF(RawData[Customer_ID],AL730,RawData[Profit])</f>
        <v>15960.920000000004</v>
      </c>
      <c r="AR730" s="16">
        <f t="shared" si="48"/>
        <v>42287.506666666661</v>
      </c>
      <c r="AS730" s="16" t="str">
        <f t="shared" si="49"/>
        <v>Occasional</v>
      </c>
    </row>
    <row r="731" spans="38:45" x14ac:dyDescent="0.25">
      <c r="AL731" s="16" t="s">
        <v>3132</v>
      </c>
      <c r="AM731" s="16" t="s">
        <v>1051</v>
      </c>
      <c r="AN731" s="16">
        <f>COUNTIF(RawData[Customer_ID],AL731)</f>
        <v>6</v>
      </c>
      <c r="AO731" s="16">
        <f>SUMIF(RawData[Customer_ID],AL731,RawData[Quantity])</f>
        <v>20</v>
      </c>
      <c r="AP731" s="21">
        <f>SUMIF(RawData[Customer_ID],AL731,RawData[Revenue])</f>
        <v>225911.5</v>
      </c>
      <c r="AQ731" s="21">
        <f>SUMIF(RawData[Customer_ID],AL731,RawData[Profit])</f>
        <v>38164</v>
      </c>
      <c r="AR731" s="16">
        <f t="shared" si="48"/>
        <v>37651.916666666664</v>
      </c>
      <c r="AS731" s="16" t="str">
        <f t="shared" si="49"/>
        <v>Loyal</v>
      </c>
    </row>
    <row r="732" spans="38:45" x14ac:dyDescent="0.25">
      <c r="AL732" s="16" t="s">
        <v>3634</v>
      </c>
      <c r="AM732" s="16" t="s">
        <v>1052</v>
      </c>
      <c r="AN732" s="16">
        <f>COUNTIF(RawData[Customer_ID],AL732)</f>
        <v>5</v>
      </c>
      <c r="AO732" s="16">
        <f>SUMIF(RawData[Customer_ID],AL732,RawData[Quantity])</f>
        <v>15</v>
      </c>
      <c r="AP732" s="21">
        <f>SUMIF(RawData[Customer_ID],AL732,RawData[Revenue])</f>
        <v>312115.53000000003</v>
      </c>
      <c r="AQ732" s="21">
        <f>SUMIF(RawData[Customer_ID],AL732,RawData[Profit])</f>
        <v>49768.459999999992</v>
      </c>
      <c r="AR732" s="16">
        <f t="shared" si="48"/>
        <v>62423.106000000007</v>
      </c>
      <c r="AS732" s="16" t="str">
        <f t="shared" si="49"/>
        <v>Loyal</v>
      </c>
    </row>
    <row r="733" spans="38:45" x14ac:dyDescent="0.25">
      <c r="AL733" s="16" t="s">
        <v>2171</v>
      </c>
      <c r="AM733" s="16" t="s">
        <v>1053</v>
      </c>
      <c r="AN733" s="16">
        <f>COUNTIF(RawData[Customer_ID],AL733)</f>
        <v>2</v>
      </c>
      <c r="AO733" s="16">
        <f>SUMIF(RawData[Customer_ID],AL733,RawData[Quantity])</f>
        <v>5</v>
      </c>
      <c r="AP733" s="21">
        <f>SUMIF(RawData[Customer_ID],AL733,RawData[Revenue])</f>
        <v>77899.240000000005</v>
      </c>
      <c r="AQ733" s="21">
        <f>SUMIF(RawData[Customer_ID],AL733,RawData[Profit])</f>
        <v>6346.7900000000081</v>
      </c>
      <c r="AR733" s="16">
        <f t="shared" si="48"/>
        <v>38949.620000000003</v>
      </c>
      <c r="AS733" s="16" t="str">
        <f t="shared" si="49"/>
        <v>Occasional</v>
      </c>
    </row>
    <row r="734" spans="38:45" x14ac:dyDescent="0.25">
      <c r="AL734" s="16" t="s">
        <v>1778</v>
      </c>
      <c r="AM734" s="16" t="s">
        <v>1054</v>
      </c>
      <c r="AN734" s="16">
        <f>COUNTIF(RawData[Customer_ID],AL734)</f>
        <v>6</v>
      </c>
      <c r="AO734" s="16">
        <f>SUMIF(RawData[Customer_ID],AL734,RawData[Quantity])</f>
        <v>21</v>
      </c>
      <c r="AP734" s="21">
        <f>SUMIF(RawData[Customer_ID],AL734,RawData[Revenue])</f>
        <v>142854.87</v>
      </c>
      <c r="AQ734" s="21">
        <f>SUMIF(RawData[Customer_ID],AL734,RawData[Profit])</f>
        <v>21088.489999999998</v>
      </c>
      <c r="AR734" s="16">
        <f t="shared" si="48"/>
        <v>23809.145</v>
      </c>
      <c r="AS734" s="16" t="str">
        <f t="shared" si="49"/>
        <v>Loyal</v>
      </c>
    </row>
    <row r="735" spans="38:45" x14ac:dyDescent="0.25">
      <c r="AL735" s="16" t="s">
        <v>1253</v>
      </c>
      <c r="AM735" s="16" t="s">
        <v>1055</v>
      </c>
      <c r="AN735" s="16">
        <f>COUNTIF(RawData[Customer_ID],AL735)</f>
        <v>8</v>
      </c>
      <c r="AO735" s="16">
        <f>SUMIF(RawData[Customer_ID],AL735,RawData[Quantity])</f>
        <v>21</v>
      </c>
      <c r="AP735" s="21">
        <f>SUMIF(RawData[Customer_ID],AL735,RawData[Revenue])</f>
        <v>176949.22</v>
      </c>
      <c r="AQ735" s="21">
        <f>SUMIF(RawData[Customer_ID],AL735,RawData[Profit])</f>
        <v>27883.670000000002</v>
      </c>
      <c r="AR735" s="16">
        <f t="shared" si="48"/>
        <v>22118.6525</v>
      </c>
      <c r="AS735" s="16" t="str">
        <f t="shared" si="49"/>
        <v>Loyal</v>
      </c>
    </row>
    <row r="736" spans="38:45" x14ac:dyDescent="0.25">
      <c r="AL736" s="16" t="s">
        <v>4780</v>
      </c>
      <c r="AM736" s="16" t="s">
        <v>1056</v>
      </c>
      <c r="AN736" s="16">
        <f>COUNTIF(RawData[Customer_ID],AL736)</f>
        <v>9</v>
      </c>
      <c r="AO736" s="16">
        <f>SUMIF(RawData[Customer_ID],AL736,RawData[Quantity])</f>
        <v>32</v>
      </c>
      <c r="AP736" s="21">
        <f>SUMIF(RawData[Customer_ID],AL736,RawData[Revenue])</f>
        <v>281954.27</v>
      </c>
      <c r="AQ736" s="21">
        <f>SUMIF(RawData[Customer_ID],AL736,RawData[Profit])</f>
        <v>31243.520000000004</v>
      </c>
      <c r="AR736" s="16">
        <f t="shared" si="48"/>
        <v>31328.252222222225</v>
      </c>
      <c r="AS736" s="16" t="str">
        <f t="shared" si="49"/>
        <v>Review</v>
      </c>
    </row>
    <row r="737" spans="38:45" x14ac:dyDescent="0.25">
      <c r="AL737" s="16" t="s">
        <v>4502</v>
      </c>
      <c r="AM737" s="16" t="s">
        <v>571</v>
      </c>
      <c r="AN737" s="16">
        <f>COUNTIF(RawData[Customer_ID],AL737)</f>
        <v>2</v>
      </c>
      <c r="AO737" s="16">
        <f>SUMIF(RawData[Customer_ID],AL737,RawData[Quantity])</f>
        <v>8</v>
      </c>
      <c r="AP737" s="21">
        <f>SUMIF(RawData[Customer_ID],AL737,RawData[Revenue])</f>
        <v>89936.33</v>
      </c>
      <c r="AQ737" s="21">
        <f>SUMIF(RawData[Customer_ID],AL737,RawData[Profit])</f>
        <v>8146.3800000000047</v>
      </c>
      <c r="AR737" s="16">
        <f t="shared" si="48"/>
        <v>44968.165000000001</v>
      </c>
      <c r="AS737" s="16" t="str">
        <f t="shared" si="49"/>
        <v>Occasional</v>
      </c>
    </row>
    <row r="738" spans="38:45" x14ac:dyDescent="0.25">
      <c r="AL738" s="16" t="s">
        <v>2537</v>
      </c>
      <c r="AM738" s="16" t="s">
        <v>1057</v>
      </c>
      <c r="AN738" s="16">
        <f>COUNTIF(RawData[Customer_ID],AL738)</f>
        <v>2</v>
      </c>
      <c r="AO738" s="16">
        <f>SUMIF(RawData[Customer_ID],AL738,RawData[Quantity])</f>
        <v>6</v>
      </c>
      <c r="AP738" s="21">
        <f>SUMIF(RawData[Customer_ID],AL738,RawData[Revenue])</f>
        <v>72201.540000000008</v>
      </c>
      <c r="AQ738" s="21">
        <f>SUMIF(RawData[Customer_ID],AL738,RawData[Profit])</f>
        <v>-890.90999999998894</v>
      </c>
      <c r="AR738" s="16">
        <f t="shared" si="48"/>
        <v>36100.770000000004</v>
      </c>
      <c r="AS738" s="16" t="str">
        <f t="shared" si="49"/>
        <v>Occasional</v>
      </c>
    </row>
    <row r="739" spans="38:45" x14ac:dyDescent="0.25">
      <c r="AL739" s="16" t="s">
        <v>1444</v>
      </c>
      <c r="AM739" s="16" t="s">
        <v>1058</v>
      </c>
      <c r="AN739" s="16">
        <f>COUNTIF(RawData[Customer_ID],AL739)</f>
        <v>2</v>
      </c>
      <c r="AO739" s="16">
        <f>SUMIF(RawData[Customer_ID],AL739,RawData[Quantity])</f>
        <v>9</v>
      </c>
      <c r="AP739" s="21">
        <f>SUMIF(RawData[Customer_ID],AL739,RawData[Revenue])</f>
        <v>37513</v>
      </c>
      <c r="AQ739" s="21">
        <f>SUMIF(RawData[Customer_ID],AL739,RawData[Profit])</f>
        <v>6018</v>
      </c>
      <c r="AR739" s="16">
        <f t="shared" si="48"/>
        <v>18756.5</v>
      </c>
      <c r="AS739" s="16" t="str">
        <f t="shared" si="49"/>
        <v>Occasional</v>
      </c>
    </row>
    <row r="740" spans="38:45" x14ac:dyDescent="0.25">
      <c r="AL740" s="16" t="s">
        <v>1888</v>
      </c>
      <c r="AM740" s="16" t="s">
        <v>844</v>
      </c>
      <c r="AN740" s="16">
        <f>COUNTIF(RawData[Customer_ID],AL740)</f>
        <v>1</v>
      </c>
      <c r="AO740" s="16">
        <f>SUMIF(RawData[Customer_ID],AL740,RawData[Quantity])</f>
        <v>4</v>
      </c>
      <c r="AP740" s="21">
        <f>SUMIF(RawData[Customer_ID],AL740,RawData[Revenue])</f>
        <v>33836.239999999998</v>
      </c>
      <c r="AQ740" s="21">
        <f>SUMIF(RawData[Customer_ID],AL740,RawData[Profit])</f>
        <v>7919.119999999999</v>
      </c>
      <c r="AR740" s="16">
        <f t="shared" si="48"/>
        <v>33836.239999999998</v>
      </c>
      <c r="AS740" s="16" t="str">
        <f t="shared" si="49"/>
        <v>One-time</v>
      </c>
    </row>
    <row r="741" spans="38:45" x14ac:dyDescent="0.25">
      <c r="AL741" s="16" t="s">
        <v>1835</v>
      </c>
      <c r="AM741" s="16" t="s">
        <v>576</v>
      </c>
      <c r="AN741" s="16">
        <f>COUNTIF(RawData[Customer_ID],AL741)</f>
        <v>5</v>
      </c>
      <c r="AO741" s="16">
        <f>SUMIF(RawData[Customer_ID],AL741,RawData[Quantity])</f>
        <v>12</v>
      </c>
      <c r="AP741" s="21">
        <f>SUMIF(RawData[Customer_ID],AL741,RawData[Revenue])</f>
        <v>82527.69</v>
      </c>
      <c r="AQ741" s="21">
        <f>SUMIF(RawData[Customer_ID],AL741,RawData[Profit])</f>
        <v>11061.539999999999</v>
      </c>
      <c r="AR741" s="16">
        <f t="shared" si="48"/>
        <v>16505.538</v>
      </c>
      <c r="AS741" s="16" t="str">
        <f t="shared" si="49"/>
        <v>Loyal</v>
      </c>
    </row>
    <row r="742" spans="38:45" x14ac:dyDescent="0.25">
      <c r="AL742" s="16" t="s">
        <v>5080</v>
      </c>
      <c r="AM742" s="16" t="s">
        <v>1059</v>
      </c>
      <c r="AN742" s="16">
        <f>COUNTIF(RawData[Customer_ID],AL742)</f>
        <v>3</v>
      </c>
      <c r="AO742" s="16">
        <f>SUMIF(RawData[Customer_ID],AL742,RawData[Quantity])</f>
        <v>9</v>
      </c>
      <c r="AP742" s="21">
        <f>SUMIF(RawData[Customer_ID],AL742,RawData[Revenue])</f>
        <v>89437.139999999985</v>
      </c>
      <c r="AQ742" s="21">
        <f>SUMIF(RawData[Customer_ID],AL742,RawData[Profit])</f>
        <v>11932.55999999999</v>
      </c>
      <c r="AR742" s="16">
        <f t="shared" si="48"/>
        <v>29812.379999999994</v>
      </c>
      <c r="AS742" s="16" t="str">
        <f t="shared" si="49"/>
        <v>Occasional</v>
      </c>
    </row>
    <row r="743" spans="38:45" x14ac:dyDescent="0.25">
      <c r="AL743" s="16" t="s">
        <v>2838</v>
      </c>
      <c r="AM743" s="16" t="s">
        <v>1060</v>
      </c>
      <c r="AN743" s="16">
        <f>COUNTIF(RawData[Customer_ID],AL743)</f>
        <v>3</v>
      </c>
      <c r="AO743" s="16">
        <f>SUMIF(RawData[Customer_ID],AL743,RawData[Quantity])</f>
        <v>10</v>
      </c>
      <c r="AP743" s="21">
        <f>SUMIF(RawData[Customer_ID],AL743,RawData[Revenue])</f>
        <v>385813.9</v>
      </c>
      <c r="AQ743" s="21">
        <f>SUMIF(RawData[Customer_ID],AL743,RawData[Profit])</f>
        <v>57766.200000000012</v>
      </c>
      <c r="AR743" s="16">
        <f t="shared" si="48"/>
        <v>128604.63333333335</v>
      </c>
      <c r="AS743" s="16" t="str">
        <f t="shared" si="49"/>
        <v>Occasional</v>
      </c>
    </row>
    <row r="744" spans="38:45" x14ac:dyDescent="0.25">
      <c r="AL744" s="16" t="s">
        <v>1607</v>
      </c>
      <c r="AM744" s="16" t="s">
        <v>1061</v>
      </c>
      <c r="AN744" s="16">
        <f>COUNTIF(RawData[Customer_ID],AL744)</f>
        <v>1</v>
      </c>
      <c r="AO744" s="16">
        <f>SUMIF(RawData[Customer_ID],AL744,RawData[Quantity])</f>
        <v>2</v>
      </c>
      <c r="AP744" s="21">
        <f>SUMIF(RawData[Customer_ID],AL744,RawData[Revenue])</f>
        <v>78258.180000000008</v>
      </c>
      <c r="AQ744" s="21">
        <f>SUMIF(RawData[Customer_ID],AL744,RawData[Profit])</f>
        <v>11179.740000000005</v>
      </c>
      <c r="AR744" s="16">
        <f t="shared" si="48"/>
        <v>78258.180000000008</v>
      </c>
      <c r="AS744" s="16" t="str">
        <f t="shared" si="49"/>
        <v>One-time</v>
      </c>
    </row>
    <row r="745" spans="38:45" x14ac:dyDescent="0.25">
      <c r="AL745" s="16" t="s">
        <v>1541</v>
      </c>
      <c r="AM745" s="16" t="s">
        <v>994</v>
      </c>
      <c r="AN745" s="16">
        <f>COUNTIF(RawData[Customer_ID],AL745)</f>
        <v>5</v>
      </c>
      <c r="AO745" s="16">
        <f>SUMIF(RawData[Customer_ID],AL745,RawData[Quantity])</f>
        <v>16</v>
      </c>
      <c r="AP745" s="21">
        <f>SUMIF(RawData[Customer_ID],AL745,RawData[Revenue])</f>
        <v>188143.9</v>
      </c>
      <c r="AQ745" s="21">
        <f>SUMIF(RawData[Customer_ID],AL745,RawData[Profit])</f>
        <v>28261.049999999988</v>
      </c>
      <c r="AR745" s="16">
        <f t="shared" si="48"/>
        <v>37628.78</v>
      </c>
      <c r="AS745" s="16" t="str">
        <f t="shared" si="49"/>
        <v>Loyal</v>
      </c>
    </row>
    <row r="746" spans="38:45" x14ac:dyDescent="0.25">
      <c r="AL746" s="16" t="s">
        <v>1707</v>
      </c>
      <c r="AM746" s="16" t="s">
        <v>1062</v>
      </c>
      <c r="AN746" s="16">
        <f>COUNTIF(RawData[Customer_ID],AL746)</f>
        <v>1</v>
      </c>
      <c r="AO746" s="16">
        <f>SUMIF(RawData[Customer_ID],AL746,RawData[Quantity])</f>
        <v>2</v>
      </c>
      <c r="AP746" s="21">
        <f>SUMIF(RawData[Customer_ID],AL746,RawData[Revenue])</f>
        <v>102298.14</v>
      </c>
      <c r="AQ746" s="21">
        <f>SUMIF(RawData[Customer_ID],AL746,RawData[Profit])</f>
        <v>12099.779999999999</v>
      </c>
      <c r="AR746" s="16">
        <f t="shared" si="48"/>
        <v>102298.14</v>
      </c>
      <c r="AS746" s="16" t="str">
        <f t="shared" si="49"/>
        <v>One-time</v>
      </c>
    </row>
    <row r="747" spans="38:45" x14ac:dyDescent="0.25">
      <c r="AL747" s="16" t="s">
        <v>1770</v>
      </c>
      <c r="AM747" s="16" t="s">
        <v>1063</v>
      </c>
      <c r="AN747" s="16">
        <f>COUNTIF(RawData[Customer_ID],AL747)</f>
        <v>1</v>
      </c>
      <c r="AO747" s="16">
        <f>SUMIF(RawData[Customer_ID],AL747,RawData[Quantity])</f>
        <v>1</v>
      </c>
      <c r="AP747" s="21">
        <f>SUMIF(RawData[Customer_ID],AL747,RawData[Revenue])</f>
        <v>51699.06</v>
      </c>
      <c r="AQ747" s="21">
        <f>SUMIF(RawData[Customer_ID],AL747,RawData[Profit])</f>
        <v>6599.8799999999974</v>
      </c>
      <c r="AR747" s="16">
        <f t="shared" si="48"/>
        <v>51699.06</v>
      </c>
      <c r="AS747" s="16" t="str">
        <f t="shared" si="49"/>
        <v>One-time</v>
      </c>
    </row>
    <row r="748" spans="38:45" x14ac:dyDescent="0.25">
      <c r="AL748" s="16" t="s">
        <v>1673</v>
      </c>
      <c r="AM748" s="16" t="s">
        <v>1064</v>
      </c>
      <c r="AN748" s="16">
        <f>COUNTIF(RawData[Customer_ID],AL748)</f>
        <v>5</v>
      </c>
      <c r="AO748" s="16">
        <f>SUMIF(RawData[Customer_ID],AL748,RawData[Quantity])</f>
        <v>18</v>
      </c>
      <c r="AP748" s="21">
        <f>SUMIF(RawData[Customer_ID],AL748,RawData[Revenue])</f>
        <v>70833.26999999999</v>
      </c>
      <c r="AQ748" s="21">
        <f>SUMIF(RawData[Customer_ID],AL748,RawData[Profit])</f>
        <v>16762.150000000005</v>
      </c>
      <c r="AR748" s="16">
        <f t="shared" si="48"/>
        <v>14166.653999999999</v>
      </c>
      <c r="AS748" s="16" t="str">
        <f t="shared" si="49"/>
        <v>Loyal</v>
      </c>
    </row>
    <row r="749" spans="38:45" x14ac:dyDescent="0.25">
      <c r="AL749" s="16" t="s">
        <v>3159</v>
      </c>
      <c r="AM749" s="16" t="s">
        <v>1065</v>
      </c>
      <c r="AN749" s="16">
        <f>COUNTIF(RawData[Customer_ID],AL749)</f>
        <v>4</v>
      </c>
      <c r="AO749" s="16">
        <f>SUMIF(RawData[Customer_ID],AL749,RawData[Quantity])</f>
        <v>12</v>
      </c>
      <c r="AP749" s="21">
        <f>SUMIF(RawData[Customer_ID],AL749,RawData[Revenue])</f>
        <v>104452.25999999998</v>
      </c>
      <c r="AQ749" s="21">
        <f>SUMIF(RawData[Customer_ID],AL749,RawData[Profit])</f>
        <v>14258.969999999996</v>
      </c>
      <c r="AR749" s="16">
        <f t="shared" si="48"/>
        <v>26113.064999999995</v>
      </c>
      <c r="AS749" s="16" t="str">
        <f t="shared" si="49"/>
        <v>Occasional</v>
      </c>
    </row>
    <row r="750" spans="38:45" x14ac:dyDescent="0.25">
      <c r="AL750" s="16" t="s">
        <v>3907</v>
      </c>
      <c r="AM750" s="16" t="s">
        <v>1066</v>
      </c>
      <c r="AN750" s="16">
        <f>COUNTIF(RawData[Customer_ID],AL750)</f>
        <v>3</v>
      </c>
      <c r="AO750" s="16">
        <f>SUMIF(RawData[Customer_ID],AL750,RawData[Quantity])</f>
        <v>12</v>
      </c>
      <c r="AP750" s="21">
        <f>SUMIF(RawData[Customer_ID],AL750,RawData[Revenue])</f>
        <v>161772.35999999999</v>
      </c>
      <c r="AQ750" s="21">
        <f>SUMIF(RawData[Customer_ID],AL750,RawData[Profit])</f>
        <v>19019.399999999987</v>
      </c>
      <c r="AR750" s="16">
        <f t="shared" si="48"/>
        <v>53924.119999999995</v>
      </c>
      <c r="AS750" s="16" t="str">
        <f t="shared" si="49"/>
        <v>Occasional</v>
      </c>
    </row>
    <row r="751" spans="38:45" x14ac:dyDescent="0.25">
      <c r="AL751" s="16" t="s">
        <v>2250</v>
      </c>
      <c r="AM751" s="16" t="s">
        <v>983</v>
      </c>
      <c r="AN751" s="16">
        <f>COUNTIF(RawData[Customer_ID],AL751)</f>
        <v>6</v>
      </c>
      <c r="AO751" s="16">
        <f>SUMIF(RawData[Customer_ID],AL751,RawData[Quantity])</f>
        <v>23</v>
      </c>
      <c r="AP751" s="21">
        <f>SUMIF(RawData[Customer_ID],AL751,RawData[Revenue])</f>
        <v>582797.78999999992</v>
      </c>
      <c r="AQ751" s="21">
        <f>SUMIF(RawData[Customer_ID],AL751,RawData[Profit])</f>
        <v>73254.609999999971</v>
      </c>
      <c r="AR751" s="16">
        <f t="shared" si="48"/>
        <v>97132.964999999982</v>
      </c>
      <c r="AS751" s="16" t="str">
        <f t="shared" si="49"/>
        <v>Loyal</v>
      </c>
    </row>
    <row r="752" spans="38:45" x14ac:dyDescent="0.25">
      <c r="AL752" s="16" t="s">
        <v>1308</v>
      </c>
      <c r="AM752" s="16" t="s">
        <v>1067</v>
      </c>
      <c r="AN752" s="16">
        <f>COUNTIF(RawData[Customer_ID],AL752)</f>
        <v>4</v>
      </c>
      <c r="AO752" s="16">
        <f>SUMIF(RawData[Customer_ID],AL752,RawData[Quantity])</f>
        <v>8</v>
      </c>
      <c r="AP752" s="21">
        <f>SUMIF(RawData[Customer_ID],AL752,RawData[Revenue])</f>
        <v>23417.989999999998</v>
      </c>
      <c r="AQ752" s="21">
        <f>SUMIF(RawData[Customer_ID],AL752,RawData[Profit])</f>
        <v>5932.6399999999994</v>
      </c>
      <c r="AR752" s="16">
        <f t="shared" si="48"/>
        <v>5854.4974999999995</v>
      </c>
      <c r="AS752" s="16" t="str">
        <f t="shared" si="49"/>
        <v>Occasional</v>
      </c>
    </row>
    <row r="753" spans="38:45" x14ac:dyDescent="0.25">
      <c r="AL753" s="16" t="s">
        <v>2774</v>
      </c>
      <c r="AM753" s="16" t="s">
        <v>1068</v>
      </c>
      <c r="AN753" s="16">
        <f>COUNTIF(RawData[Customer_ID],AL753)</f>
        <v>2</v>
      </c>
      <c r="AO753" s="16">
        <f>SUMIF(RawData[Customer_ID],AL753,RawData[Quantity])</f>
        <v>2</v>
      </c>
      <c r="AP753" s="21">
        <f>SUMIF(RawData[Customer_ID],AL753,RawData[Revenue])</f>
        <v>18790.080000000002</v>
      </c>
      <c r="AQ753" s="21">
        <f>SUMIF(RawData[Customer_ID],AL753,RawData[Profit])</f>
        <v>2063.8799999999992</v>
      </c>
      <c r="AR753" s="16">
        <f t="shared" si="48"/>
        <v>9395.0400000000009</v>
      </c>
      <c r="AS753" s="16" t="str">
        <f t="shared" si="49"/>
        <v>Occasional</v>
      </c>
    </row>
    <row r="754" spans="38:45" x14ac:dyDescent="0.25">
      <c r="AL754" s="16" t="s">
        <v>1694</v>
      </c>
      <c r="AM754" s="16" t="s">
        <v>1069</v>
      </c>
      <c r="AN754" s="16">
        <f>COUNTIF(RawData[Customer_ID],AL754)</f>
        <v>10</v>
      </c>
      <c r="AO754" s="16">
        <f>SUMIF(RawData[Customer_ID],AL754,RawData[Quantity])</f>
        <v>24</v>
      </c>
      <c r="AP754" s="21">
        <f>SUMIF(RawData[Customer_ID],AL754,RawData[Revenue])</f>
        <v>244838.99999999997</v>
      </c>
      <c r="AQ754" s="21">
        <f>SUMIF(RawData[Customer_ID],AL754,RawData[Profit])</f>
        <v>30552.520000000008</v>
      </c>
      <c r="AR754" s="16">
        <f t="shared" si="48"/>
        <v>24483.899999999998</v>
      </c>
      <c r="AS754" s="16" t="str">
        <f t="shared" si="49"/>
        <v>Review</v>
      </c>
    </row>
    <row r="755" spans="38:45" x14ac:dyDescent="0.25">
      <c r="AL755" s="16" t="s">
        <v>2804</v>
      </c>
      <c r="AM755" s="16" t="s">
        <v>1070</v>
      </c>
      <c r="AN755" s="16">
        <f>COUNTIF(RawData[Customer_ID],AL755)</f>
        <v>5</v>
      </c>
      <c r="AO755" s="16">
        <f>SUMIF(RawData[Customer_ID],AL755,RawData[Quantity])</f>
        <v>14</v>
      </c>
      <c r="AP755" s="21">
        <f>SUMIF(RawData[Customer_ID],AL755,RawData[Revenue])</f>
        <v>105598.01999999999</v>
      </c>
      <c r="AQ755" s="21">
        <f>SUMIF(RawData[Customer_ID],AL755,RawData[Profit])</f>
        <v>9146.4799999999923</v>
      </c>
      <c r="AR755" s="16">
        <f t="shared" si="48"/>
        <v>21119.603999999999</v>
      </c>
      <c r="AS755" s="16" t="str">
        <f t="shared" si="49"/>
        <v>Loyal</v>
      </c>
    </row>
    <row r="756" spans="38:45" x14ac:dyDescent="0.25">
      <c r="AL756" s="16" t="s">
        <v>3547</v>
      </c>
      <c r="AM756" s="16" t="s">
        <v>1071</v>
      </c>
      <c r="AN756" s="16">
        <f>COUNTIF(RawData[Customer_ID],AL756)</f>
        <v>6</v>
      </c>
      <c r="AO756" s="16">
        <f>SUMIF(RawData[Customer_ID],AL756,RawData[Quantity])</f>
        <v>20</v>
      </c>
      <c r="AP756" s="21">
        <f>SUMIF(RawData[Customer_ID],AL756,RawData[Revenue])</f>
        <v>166546.51999999999</v>
      </c>
      <c r="AQ756" s="21">
        <f>SUMIF(RawData[Customer_ID],AL756,RawData[Profit])</f>
        <v>24974.82</v>
      </c>
      <c r="AR756" s="16">
        <f t="shared" si="48"/>
        <v>27757.75333333333</v>
      </c>
      <c r="AS756" s="16" t="str">
        <f t="shared" si="49"/>
        <v>Loyal</v>
      </c>
    </row>
    <row r="757" spans="38:45" x14ac:dyDescent="0.25">
      <c r="AL757" s="16" t="s">
        <v>2682</v>
      </c>
      <c r="AM757" s="16" t="s">
        <v>375</v>
      </c>
      <c r="AN757" s="16">
        <f>COUNTIF(RawData[Customer_ID],AL757)</f>
        <v>5</v>
      </c>
      <c r="AO757" s="16">
        <f>SUMIF(RawData[Customer_ID],AL757,RawData[Quantity])</f>
        <v>19</v>
      </c>
      <c r="AP757" s="21">
        <f>SUMIF(RawData[Customer_ID],AL757,RawData[Revenue])</f>
        <v>400369.9</v>
      </c>
      <c r="AQ757" s="21">
        <f>SUMIF(RawData[Customer_ID],AL757,RawData[Profit])</f>
        <v>31696.520000000019</v>
      </c>
      <c r="AR757" s="16">
        <f t="shared" si="48"/>
        <v>80073.98000000001</v>
      </c>
      <c r="AS757" s="16" t="str">
        <f t="shared" si="49"/>
        <v>Loyal</v>
      </c>
    </row>
    <row r="758" spans="38:45" x14ac:dyDescent="0.25">
      <c r="AL758" s="16" t="s">
        <v>1506</v>
      </c>
      <c r="AM758" s="16" t="s">
        <v>1072</v>
      </c>
      <c r="AN758" s="16">
        <f>COUNTIF(RawData[Customer_ID],AL758)</f>
        <v>3</v>
      </c>
      <c r="AO758" s="16">
        <f>SUMIF(RawData[Customer_ID],AL758,RawData[Quantity])</f>
        <v>7</v>
      </c>
      <c r="AP758" s="21">
        <f>SUMIF(RawData[Customer_ID],AL758,RawData[Revenue])</f>
        <v>132626.16</v>
      </c>
      <c r="AQ758" s="21">
        <f>SUMIF(RawData[Customer_ID],AL758,RawData[Profit])</f>
        <v>27214.399999999994</v>
      </c>
      <c r="AR758" s="16">
        <f t="shared" si="48"/>
        <v>44208.72</v>
      </c>
      <c r="AS758" s="16" t="str">
        <f t="shared" si="49"/>
        <v>Occasional</v>
      </c>
    </row>
    <row r="759" spans="38:45" x14ac:dyDescent="0.25">
      <c r="AL759" s="16" t="s">
        <v>4614</v>
      </c>
      <c r="AM759" s="16" t="s">
        <v>1073</v>
      </c>
      <c r="AN759" s="16">
        <f>COUNTIF(RawData[Customer_ID],AL759)</f>
        <v>3</v>
      </c>
      <c r="AO759" s="16">
        <f>SUMIF(RawData[Customer_ID],AL759,RawData[Quantity])</f>
        <v>12</v>
      </c>
      <c r="AP759" s="21">
        <f>SUMIF(RawData[Customer_ID],AL759,RawData[Revenue])</f>
        <v>159166.15999999997</v>
      </c>
      <c r="AQ759" s="21">
        <f>SUMIF(RawData[Customer_ID],AL759,RawData[Profit])</f>
        <v>29549.359999999986</v>
      </c>
      <c r="AR759" s="16">
        <f t="shared" si="48"/>
        <v>53055.386666666658</v>
      </c>
      <c r="AS759" s="16" t="str">
        <f t="shared" si="49"/>
        <v>Occasional</v>
      </c>
    </row>
    <row r="760" spans="38:45" x14ac:dyDescent="0.25">
      <c r="AL760" s="16" t="s">
        <v>2607</v>
      </c>
      <c r="AM760" s="16" t="s">
        <v>1074</v>
      </c>
      <c r="AN760" s="16">
        <f>COUNTIF(RawData[Customer_ID],AL760)</f>
        <v>6</v>
      </c>
      <c r="AO760" s="16">
        <f>SUMIF(RawData[Customer_ID],AL760,RawData[Quantity])</f>
        <v>14</v>
      </c>
      <c r="AP760" s="21">
        <f>SUMIF(RawData[Customer_ID],AL760,RawData[Revenue])</f>
        <v>66103.240000000005</v>
      </c>
      <c r="AQ760" s="21">
        <f>SUMIF(RawData[Customer_ID],AL760,RawData[Profit])</f>
        <v>10367.64</v>
      </c>
      <c r="AR760" s="16">
        <f t="shared" si="48"/>
        <v>11017.206666666667</v>
      </c>
      <c r="AS760" s="16" t="str">
        <f t="shared" si="49"/>
        <v>Loyal</v>
      </c>
    </row>
    <row r="761" spans="38:45" x14ac:dyDescent="0.25">
      <c r="AL761" s="16" t="s">
        <v>2545</v>
      </c>
      <c r="AM761" s="16" t="s">
        <v>1075</v>
      </c>
      <c r="AN761" s="16">
        <f>COUNTIF(RawData[Customer_ID],AL761)</f>
        <v>2</v>
      </c>
      <c r="AO761" s="16">
        <f>SUMIF(RawData[Customer_ID],AL761,RawData[Quantity])</f>
        <v>6</v>
      </c>
      <c r="AP761" s="21">
        <f>SUMIF(RawData[Customer_ID],AL761,RawData[Revenue])</f>
        <v>142099.18</v>
      </c>
      <c r="AQ761" s="21">
        <f>SUMIF(RawData[Customer_ID],AL761,RawData[Profit])</f>
        <v>18749.150000000009</v>
      </c>
      <c r="AR761" s="16">
        <f t="shared" si="48"/>
        <v>71049.59</v>
      </c>
      <c r="AS761" s="16" t="str">
        <f t="shared" si="49"/>
        <v>Occasional</v>
      </c>
    </row>
    <row r="762" spans="38:45" x14ac:dyDescent="0.25">
      <c r="AL762" s="16" t="s">
        <v>2597</v>
      </c>
      <c r="AM762" s="16" t="s">
        <v>435</v>
      </c>
      <c r="AN762" s="16">
        <f>COUNTIF(RawData[Customer_ID],AL762)</f>
        <v>3</v>
      </c>
      <c r="AO762" s="16">
        <f>SUMIF(RawData[Customer_ID],AL762,RawData[Quantity])</f>
        <v>11</v>
      </c>
      <c r="AP762" s="21">
        <f>SUMIF(RawData[Customer_ID],AL762,RawData[Revenue])</f>
        <v>238514.56</v>
      </c>
      <c r="AQ762" s="21">
        <f>SUMIF(RawData[Customer_ID],AL762,RawData[Profit])</f>
        <v>32274.259999999987</v>
      </c>
      <c r="AR762" s="16">
        <f t="shared" si="48"/>
        <v>79504.853333333333</v>
      </c>
      <c r="AS762" s="16" t="str">
        <f t="shared" si="49"/>
        <v>Occasional</v>
      </c>
    </row>
    <row r="763" spans="38:45" x14ac:dyDescent="0.25">
      <c r="AL763" s="16" t="s">
        <v>2173</v>
      </c>
      <c r="AM763" s="16" t="s">
        <v>1076</v>
      </c>
      <c r="AN763" s="16">
        <f>COUNTIF(RawData[Customer_ID],AL763)</f>
        <v>5</v>
      </c>
      <c r="AO763" s="16">
        <f>SUMIF(RawData[Customer_ID],AL763,RawData[Quantity])</f>
        <v>10</v>
      </c>
      <c r="AP763" s="21">
        <f>SUMIF(RawData[Customer_ID],AL763,RawData[Revenue])</f>
        <v>131719.9</v>
      </c>
      <c r="AQ763" s="21">
        <f>SUMIF(RawData[Customer_ID],AL763,RawData[Profit])</f>
        <v>16153.519999999993</v>
      </c>
      <c r="AR763" s="16">
        <f t="shared" si="48"/>
        <v>26343.98</v>
      </c>
      <c r="AS763" s="16" t="str">
        <f t="shared" si="49"/>
        <v>Loyal</v>
      </c>
    </row>
    <row r="764" spans="38:45" x14ac:dyDescent="0.25">
      <c r="AL764" s="16" t="s">
        <v>2036</v>
      </c>
      <c r="AM764" s="16" t="s">
        <v>1077</v>
      </c>
      <c r="AN764" s="16">
        <f>COUNTIF(RawData[Customer_ID],AL764)</f>
        <v>8</v>
      </c>
      <c r="AO764" s="16">
        <f>SUMIF(RawData[Customer_ID],AL764,RawData[Quantity])</f>
        <v>24</v>
      </c>
      <c r="AP764" s="21">
        <f>SUMIF(RawData[Customer_ID],AL764,RawData[Revenue])</f>
        <v>439273.96</v>
      </c>
      <c r="AQ764" s="21">
        <f>SUMIF(RawData[Customer_ID],AL764,RawData[Profit])</f>
        <v>42054.090000000004</v>
      </c>
      <c r="AR764" s="16">
        <f t="shared" si="48"/>
        <v>54909.245000000003</v>
      </c>
      <c r="AS764" s="16" t="str">
        <f t="shared" si="49"/>
        <v>Loyal</v>
      </c>
    </row>
    <row r="765" spans="38:45" x14ac:dyDescent="0.25">
      <c r="AL765" s="16" t="s">
        <v>1646</v>
      </c>
      <c r="AM765" s="16" t="s">
        <v>1078</v>
      </c>
      <c r="AN765" s="16">
        <f>COUNTIF(RawData[Customer_ID],AL765)</f>
        <v>7</v>
      </c>
      <c r="AO765" s="16">
        <f>SUMIF(RawData[Customer_ID],AL765,RawData[Quantity])</f>
        <v>22</v>
      </c>
      <c r="AP765" s="21">
        <f>SUMIF(RawData[Customer_ID],AL765,RawData[Revenue])</f>
        <v>273652.82999999996</v>
      </c>
      <c r="AQ765" s="21">
        <f>SUMIF(RawData[Customer_ID],AL765,RawData[Profit])</f>
        <v>40009.299999999996</v>
      </c>
      <c r="AR765" s="16">
        <f t="shared" si="48"/>
        <v>39093.261428571423</v>
      </c>
      <c r="AS765" s="16" t="str">
        <f t="shared" si="49"/>
        <v>Loyal</v>
      </c>
    </row>
    <row r="766" spans="38:45" x14ac:dyDescent="0.25">
      <c r="AL766" s="16" t="s">
        <v>4569</v>
      </c>
      <c r="AM766" s="16" t="s">
        <v>1079</v>
      </c>
      <c r="AN766" s="16">
        <f>COUNTIF(RawData[Customer_ID],AL766)</f>
        <v>5</v>
      </c>
      <c r="AO766" s="16">
        <f>SUMIF(RawData[Customer_ID],AL766,RawData[Quantity])</f>
        <v>14</v>
      </c>
      <c r="AP766" s="21">
        <f>SUMIF(RawData[Customer_ID],AL766,RawData[Revenue])</f>
        <v>127930.95000000001</v>
      </c>
      <c r="AQ766" s="21">
        <f>SUMIF(RawData[Customer_ID],AL766,RawData[Profit])</f>
        <v>20574.449999999997</v>
      </c>
      <c r="AR766" s="16">
        <f t="shared" si="48"/>
        <v>25586.190000000002</v>
      </c>
      <c r="AS766" s="16" t="str">
        <f t="shared" si="49"/>
        <v>Loyal</v>
      </c>
    </row>
    <row r="767" spans="38:45" x14ac:dyDescent="0.25">
      <c r="AL767" s="16" t="s">
        <v>2282</v>
      </c>
      <c r="AM767" s="16" t="s">
        <v>1038</v>
      </c>
      <c r="AN767" s="16">
        <f>COUNTIF(RawData[Customer_ID],AL767)</f>
        <v>1</v>
      </c>
      <c r="AO767" s="16">
        <f>SUMIF(RawData[Customer_ID],AL767,RawData[Quantity])</f>
        <v>3</v>
      </c>
      <c r="AP767" s="21">
        <f>SUMIF(RawData[Customer_ID],AL767,RawData[Revenue])</f>
        <v>46527.18</v>
      </c>
      <c r="AQ767" s="21">
        <f>SUMIF(RawData[Customer_ID],AL767,RawData[Profit])</f>
        <v>2969.8199999999997</v>
      </c>
      <c r="AR767" s="16">
        <f t="shared" si="48"/>
        <v>46527.18</v>
      </c>
      <c r="AS767" s="16" t="str">
        <f t="shared" si="49"/>
        <v>One-time</v>
      </c>
    </row>
    <row r="768" spans="38:45" x14ac:dyDescent="0.25">
      <c r="AL768" s="16" t="s">
        <v>4223</v>
      </c>
      <c r="AM768" s="16" t="s">
        <v>1080</v>
      </c>
      <c r="AN768" s="16">
        <f>COUNTIF(RawData[Customer_ID],AL768)</f>
        <v>3</v>
      </c>
      <c r="AO768" s="16">
        <f>SUMIF(RawData[Customer_ID],AL768,RawData[Quantity])</f>
        <v>4</v>
      </c>
      <c r="AP768" s="21">
        <f>SUMIF(RawData[Customer_ID],AL768,RawData[Revenue])</f>
        <v>107365.68999999999</v>
      </c>
      <c r="AQ768" s="21">
        <f>SUMIF(RawData[Customer_ID],AL768,RawData[Profit])</f>
        <v>16445.099999999991</v>
      </c>
      <c r="AR768" s="16">
        <f t="shared" si="48"/>
        <v>35788.563333333332</v>
      </c>
      <c r="AS768" s="16" t="str">
        <f t="shared" si="49"/>
        <v>Occasional</v>
      </c>
    </row>
    <row r="769" spans="38:45" x14ac:dyDescent="0.25">
      <c r="AL769" s="16" t="s">
        <v>3632</v>
      </c>
      <c r="AM769" s="16" t="s">
        <v>1081</v>
      </c>
      <c r="AN769" s="16">
        <f>COUNTIF(RawData[Customer_ID],AL769)</f>
        <v>6</v>
      </c>
      <c r="AO769" s="16">
        <f>SUMIF(RawData[Customer_ID],AL769,RawData[Quantity])</f>
        <v>25</v>
      </c>
      <c r="AP769" s="21">
        <f>SUMIF(RawData[Customer_ID],AL769,RawData[Revenue])</f>
        <v>76307.58</v>
      </c>
      <c r="AQ769" s="21">
        <f>SUMIF(RawData[Customer_ID],AL769,RawData[Profit])</f>
        <v>19118.960000000003</v>
      </c>
      <c r="AR769" s="16">
        <f t="shared" si="48"/>
        <v>12717.93</v>
      </c>
      <c r="AS769" s="16" t="str">
        <f t="shared" si="49"/>
        <v>Loyal</v>
      </c>
    </row>
    <row r="770" spans="38:45" x14ac:dyDescent="0.25">
      <c r="AL770" s="16" t="s">
        <v>4028</v>
      </c>
      <c r="AM770" s="16" t="s">
        <v>1082</v>
      </c>
      <c r="AN770" s="16">
        <f>COUNTIF(RawData[Customer_ID],AL770)</f>
        <v>4</v>
      </c>
      <c r="AO770" s="16">
        <f>SUMIF(RawData[Customer_ID],AL770,RawData[Quantity])</f>
        <v>8</v>
      </c>
      <c r="AP770" s="21">
        <f>SUMIF(RawData[Customer_ID],AL770,RawData[Revenue])</f>
        <v>16205.349999999999</v>
      </c>
      <c r="AQ770" s="21">
        <f>SUMIF(RawData[Customer_ID],AL770,RawData[Profit])</f>
        <v>3658.8999999999992</v>
      </c>
      <c r="AR770" s="16">
        <f t="shared" si="48"/>
        <v>4051.3374999999996</v>
      </c>
      <c r="AS770" s="16" t="str">
        <f t="shared" si="49"/>
        <v>Occasional</v>
      </c>
    </row>
    <row r="771" spans="38:45" x14ac:dyDescent="0.25">
      <c r="AL771" s="16" t="s">
        <v>2993</v>
      </c>
      <c r="AM771" s="16" t="s">
        <v>1083</v>
      </c>
      <c r="AN771" s="16">
        <f>COUNTIF(RawData[Customer_ID],AL771)</f>
        <v>3</v>
      </c>
      <c r="AO771" s="16">
        <f>SUMIF(RawData[Customer_ID],AL771,RawData[Quantity])</f>
        <v>9</v>
      </c>
      <c r="AP771" s="21">
        <f>SUMIF(RawData[Customer_ID],AL771,RawData[Revenue])</f>
        <v>109969.70999999999</v>
      </c>
      <c r="AQ771" s="21">
        <f>SUMIF(RawData[Customer_ID],AL771,RawData[Profit])</f>
        <v>11114.759999999995</v>
      </c>
      <c r="AR771" s="16">
        <f t="shared" ref="AR771:AR834" si="50">IF(AN771=0,0,AP771/AN771)</f>
        <v>36656.57</v>
      </c>
      <c r="AS771" s="16" t="str">
        <f t="shared" ref="AS771:AS834" si="51">IF(AN771=1,"One-time",IF(AN771&lt;=4,"Occasional",IF(AN771&lt;=8,"Loyal","Review")))</f>
        <v>Occasional</v>
      </c>
    </row>
    <row r="772" spans="38:45" x14ac:dyDescent="0.25">
      <c r="AL772" s="16" t="s">
        <v>1257</v>
      </c>
      <c r="AM772" s="16" t="s">
        <v>998</v>
      </c>
      <c r="AN772" s="16">
        <f>COUNTIF(RawData[Customer_ID],AL772)</f>
        <v>4</v>
      </c>
      <c r="AO772" s="16">
        <f>SUMIF(RawData[Customer_ID],AL772,RawData[Quantity])</f>
        <v>10</v>
      </c>
      <c r="AP772" s="21">
        <f>SUMIF(RawData[Customer_ID],AL772,RawData[Revenue])</f>
        <v>64815.199999999997</v>
      </c>
      <c r="AQ772" s="21">
        <f>SUMIF(RawData[Customer_ID],AL772,RawData[Profit])</f>
        <v>7191.7</v>
      </c>
      <c r="AR772" s="16">
        <f t="shared" si="50"/>
        <v>16203.8</v>
      </c>
      <c r="AS772" s="16" t="str">
        <f t="shared" si="51"/>
        <v>Occasional</v>
      </c>
    </row>
    <row r="773" spans="38:45" x14ac:dyDescent="0.25">
      <c r="AL773" s="16" t="s">
        <v>3246</v>
      </c>
      <c r="AM773" s="16" t="s">
        <v>1084</v>
      </c>
      <c r="AN773" s="16">
        <f>COUNTIF(RawData[Customer_ID],AL773)</f>
        <v>1</v>
      </c>
      <c r="AO773" s="16">
        <f>SUMIF(RawData[Customer_ID],AL773,RawData[Quantity])</f>
        <v>3</v>
      </c>
      <c r="AP773" s="21">
        <f>SUMIF(RawData[Customer_ID],AL773,RawData[Revenue])</f>
        <v>19044</v>
      </c>
      <c r="AQ773" s="21">
        <f>SUMIF(RawData[Customer_ID],AL773,RawData[Profit])</f>
        <v>1863</v>
      </c>
      <c r="AR773" s="16">
        <f t="shared" si="50"/>
        <v>19044</v>
      </c>
      <c r="AS773" s="16" t="str">
        <f t="shared" si="51"/>
        <v>One-time</v>
      </c>
    </row>
    <row r="774" spans="38:45" x14ac:dyDescent="0.25">
      <c r="AL774" s="16" t="s">
        <v>1599</v>
      </c>
      <c r="AM774" s="16" t="s">
        <v>591</v>
      </c>
      <c r="AN774" s="16">
        <f>COUNTIF(RawData[Customer_ID],AL774)</f>
        <v>1</v>
      </c>
      <c r="AO774" s="16">
        <f>SUMIF(RawData[Customer_ID],AL774,RawData[Quantity])</f>
        <v>2</v>
      </c>
      <c r="AP774" s="21">
        <f>SUMIF(RawData[Customer_ID],AL774,RawData[Revenue])</f>
        <v>235.2</v>
      </c>
      <c r="AQ774" s="21">
        <f>SUMIF(RawData[Customer_ID],AL774,RawData[Profit])</f>
        <v>72</v>
      </c>
      <c r="AR774" s="16">
        <f t="shared" si="50"/>
        <v>235.2</v>
      </c>
      <c r="AS774" s="16" t="str">
        <f t="shared" si="51"/>
        <v>One-time</v>
      </c>
    </row>
    <row r="775" spans="38:45" x14ac:dyDescent="0.25">
      <c r="AL775" s="16" t="s">
        <v>1479</v>
      </c>
      <c r="AM775" s="16" t="s">
        <v>1085</v>
      </c>
      <c r="AN775" s="16">
        <f>COUNTIF(RawData[Customer_ID],AL775)</f>
        <v>3</v>
      </c>
      <c r="AO775" s="16">
        <f>SUMIF(RawData[Customer_ID],AL775,RawData[Quantity])</f>
        <v>9</v>
      </c>
      <c r="AP775" s="21">
        <f>SUMIF(RawData[Customer_ID],AL775,RawData[Revenue])</f>
        <v>113218.40000000001</v>
      </c>
      <c r="AQ775" s="21">
        <f>SUMIF(RawData[Customer_ID],AL775,RawData[Profit])</f>
        <v>4274.3499999999913</v>
      </c>
      <c r="AR775" s="16">
        <f t="shared" si="50"/>
        <v>37739.466666666667</v>
      </c>
      <c r="AS775" s="16" t="str">
        <f t="shared" si="51"/>
        <v>Occasional</v>
      </c>
    </row>
    <row r="776" spans="38:45" x14ac:dyDescent="0.25">
      <c r="AL776" s="16" t="s">
        <v>1621</v>
      </c>
      <c r="AM776" s="16" t="s">
        <v>1086</v>
      </c>
      <c r="AN776" s="16">
        <f>COUNTIF(RawData[Customer_ID],AL776)</f>
        <v>5</v>
      </c>
      <c r="AO776" s="16">
        <f>SUMIF(RawData[Customer_ID],AL776,RawData[Quantity])</f>
        <v>15</v>
      </c>
      <c r="AP776" s="21">
        <f>SUMIF(RawData[Customer_ID],AL776,RawData[Revenue])</f>
        <v>88316.4</v>
      </c>
      <c r="AQ776" s="21">
        <f>SUMIF(RawData[Customer_ID],AL776,RawData[Profit])</f>
        <v>18898.850000000006</v>
      </c>
      <c r="AR776" s="16">
        <f t="shared" si="50"/>
        <v>17663.28</v>
      </c>
      <c r="AS776" s="16" t="str">
        <f t="shared" si="51"/>
        <v>Loyal</v>
      </c>
    </row>
    <row r="777" spans="38:45" x14ac:dyDescent="0.25">
      <c r="AL777" s="16" t="s">
        <v>1500</v>
      </c>
      <c r="AM777" s="16" t="s">
        <v>636</v>
      </c>
      <c r="AN777" s="16">
        <f>COUNTIF(RawData[Customer_ID],AL777)</f>
        <v>3</v>
      </c>
      <c r="AO777" s="16">
        <f>SUMIF(RawData[Customer_ID],AL777,RawData[Quantity])</f>
        <v>8</v>
      </c>
      <c r="AP777" s="21">
        <f>SUMIF(RawData[Customer_ID],AL777,RawData[Revenue])</f>
        <v>17407.439999999999</v>
      </c>
      <c r="AQ777" s="21">
        <f>SUMIF(RawData[Customer_ID],AL777,RawData[Profit])</f>
        <v>3988.38</v>
      </c>
      <c r="AR777" s="16">
        <f t="shared" si="50"/>
        <v>5802.48</v>
      </c>
      <c r="AS777" s="16" t="str">
        <f t="shared" si="51"/>
        <v>Occasional</v>
      </c>
    </row>
    <row r="778" spans="38:45" x14ac:dyDescent="0.25">
      <c r="AL778" s="16" t="s">
        <v>2417</v>
      </c>
      <c r="AM778" s="16" t="s">
        <v>1087</v>
      </c>
      <c r="AN778" s="16">
        <f>COUNTIF(RawData[Customer_ID],AL778)</f>
        <v>3</v>
      </c>
      <c r="AO778" s="16">
        <f>SUMIF(RawData[Customer_ID],AL778,RawData[Quantity])</f>
        <v>5</v>
      </c>
      <c r="AP778" s="21">
        <f>SUMIF(RawData[Customer_ID],AL778,RawData[Revenue])</f>
        <v>53214.450000000004</v>
      </c>
      <c r="AQ778" s="21">
        <f>SUMIF(RawData[Customer_ID],AL778,RawData[Profit])</f>
        <v>3091.7499999999991</v>
      </c>
      <c r="AR778" s="16">
        <f t="shared" si="50"/>
        <v>17738.150000000001</v>
      </c>
      <c r="AS778" s="16" t="str">
        <f t="shared" si="51"/>
        <v>Occasional</v>
      </c>
    </row>
    <row r="779" spans="38:45" x14ac:dyDescent="0.25">
      <c r="AL779" s="16" t="s">
        <v>3385</v>
      </c>
      <c r="AM779" s="16" t="s">
        <v>1088</v>
      </c>
      <c r="AN779" s="16">
        <f>COUNTIF(RawData[Customer_ID],AL779)</f>
        <v>1</v>
      </c>
      <c r="AO779" s="16">
        <f>SUMIF(RawData[Customer_ID],AL779,RawData[Quantity])</f>
        <v>4</v>
      </c>
      <c r="AP779" s="21">
        <f>SUMIF(RawData[Customer_ID],AL779,RawData[Revenue])</f>
        <v>470.4</v>
      </c>
      <c r="AQ779" s="21">
        <f>SUMIF(RawData[Customer_ID],AL779,RawData[Profit])</f>
        <v>144</v>
      </c>
      <c r="AR779" s="16">
        <f t="shared" si="50"/>
        <v>470.4</v>
      </c>
      <c r="AS779" s="16" t="str">
        <f t="shared" si="51"/>
        <v>One-time</v>
      </c>
    </row>
    <row r="780" spans="38:45" x14ac:dyDescent="0.25">
      <c r="AL780" s="16" t="s">
        <v>2003</v>
      </c>
      <c r="AM780" s="16" t="s">
        <v>1089</v>
      </c>
      <c r="AN780" s="16">
        <f>COUNTIF(RawData[Customer_ID],AL780)</f>
        <v>7</v>
      </c>
      <c r="AO780" s="16">
        <f>SUMIF(RawData[Customer_ID],AL780,RawData[Quantity])</f>
        <v>17</v>
      </c>
      <c r="AP780" s="21">
        <f>SUMIF(RawData[Customer_ID],AL780,RawData[Revenue])</f>
        <v>44376.14</v>
      </c>
      <c r="AQ780" s="21">
        <f>SUMIF(RawData[Customer_ID],AL780,RawData[Profit])</f>
        <v>4408.9400000000014</v>
      </c>
      <c r="AR780" s="16">
        <f t="shared" si="50"/>
        <v>6339.4485714285711</v>
      </c>
      <c r="AS780" s="16" t="str">
        <f t="shared" si="51"/>
        <v>Loyal</v>
      </c>
    </row>
    <row r="781" spans="38:45" x14ac:dyDescent="0.25">
      <c r="AL781" s="16" t="s">
        <v>2190</v>
      </c>
      <c r="AM781" s="16" t="s">
        <v>1090</v>
      </c>
      <c r="AN781" s="16">
        <f>COUNTIF(RawData[Customer_ID],AL781)</f>
        <v>3</v>
      </c>
      <c r="AO781" s="16">
        <f>SUMIF(RawData[Customer_ID],AL781,RawData[Quantity])</f>
        <v>10</v>
      </c>
      <c r="AP781" s="21">
        <f>SUMIF(RawData[Customer_ID],AL781,RawData[Revenue])</f>
        <v>121583.84</v>
      </c>
      <c r="AQ781" s="21">
        <f>SUMIF(RawData[Customer_ID],AL781,RawData[Profit])</f>
        <v>17755.28</v>
      </c>
      <c r="AR781" s="16">
        <f t="shared" si="50"/>
        <v>40527.946666666663</v>
      </c>
      <c r="AS781" s="16" t="str">
        <f t="shared" si="51"/>
        <v>Occasional</v>
      </c>
    </row>
    <row r="782" spans="38:45" x14ac:dyDescent="0.25">
      <c r="AL782" s="16" t="s">
        <v>1703</v>
      </c>
      <c r="AM782" s="16" t="s">
        <v>1091</v>
      </c>
      <c r="AN782" s="16">
        <f>COUNTIF(RawData[Customer_ID],AL782)</f>
        <v>5</v>
      </c>
      <c r="AO782" s="16">
        <f>SUMIF(RawData[Customer_ID],AL782,RawData[Quantity])</f>
        <v>10</v>
      </c>
      <c r="AP782" s="21">
        <f>SUMIF(RawData[Customer_ID],AL782,RawData[Revenue])</f>
        <v>88526.53</v>
      </c>
      <c r="AQ782" s="21">
        <f>SUMIF(RawData[Customer_ID],AL782,RawData[Profit])</f>
        <v>16448.930000000004</v>
      </c>
      <c r="AR782" s="16">
        <f t="shared" si="50"/>
        <v>17705.306</v>
      </c>
      <c r="AS782" s="16" t="str">
        <f t="shared" si="51"/>
        <v>Loyal</v>
      </c>
    </row>
    <row r="783" spans="38:45" x14ac:dyDescent="0.25">
      <c r="AL783" s="16" t="s">
        <v>2058</v>
      </c>
      <c r="AM783" s="16" t="s">
        <v>1092</v>
      </c>
      <c r="AN783" s="16">
        <f>COUNTIF(RawData[Customer_ID],AL783)</f>
        <v>2</v>
      </c>
      <c r="AO783" s="16">
        <f>SUMIF(RawData[Customer_ID],AL783,RawData[Quantity])</f>
        <v>8</v>
      </c>
      <c r="AP783" s="21">
        <f>SUMIF(RawData[Customer_ID],AL783,RawData[Revenue])</f>
        <v>131017.84</v>
      </c>
      <c r="AQ783" s="21">
        <f>SUMIF(RawData[Customer_ID],AL783,RawData[Profit])</f>
        <v>15899.14</v>
      </c>
      <c r="AR783" s="16">
        <f t="shared" si="50"/>
        <v>65508.92</v>
      </c>
      <c r="AS783" s="16" t="str">
        <f t="shared" si="51"/>
        <v>Occasional</v>
      </c>
    </row>
    <row r="784" spans="38:45" x14ac:dyDescent="0.25">
      <c r="AL784" s="16" t="s">
        <v>2476</v>
      </c>
      <c r="AM784" s="16" t="s">
        <v>1093</v>
      </c>
      <c r="AN784" s="16">
        <f>COUNTIF(RawData[Customer_ID],AL784)</f>
        <v>3</v>
      </c>
      <c r="AO784" s="16">
        <f>SUMIF(RawData[Customer_ID],AL784,RawData[Quantity])</f>
        <v>7</v>
      </c>
      <c r="AP784" s="21">
        <f>SUMIF(RawData[Customer_ID],AL784,RawData[Revenue])</f>
        <v>36990.880000000005</v>
      </c>
      <c r="AQ784" s="21">
        <f>SUMIF(RawData[Customer_ID],AL784,RawData[Profit])</f>
        <v>4829.2800000000025</v>
      </c>
      <c r="AR784" s="16">
        <f t="shared" si="50"/>
        <v>12330.293333333335</v>
      </c>
      <c r="AS784" s="16" t="str">
        <f t="shared" si="51"/>
        <v>Occasional</v>
      </c>
    </row>
    <row r="785" spans="38:45" x14ac:dyDescent="0.25">
      <c r="AL785" s="16" t="s">
        <v>3187</v>
      </c>
      <c r="AM785" s="16" t="s">
        <v>1094</v>
      </c>
      <c r="AN785" s="16">
        <f>COUNTIF(RawData[Customer_ID],AL785)</f>
        <v>2</v>
      </c>
      <c r="AO785" s="16">
        <f>SUMIF(RawData[Customer_ID],AL785,RawData[Quantity])</f>
        <v>5</v>
      </c>
      <c r="AP785" s="21">
        <f>SUMIF(RawData[Customer_ID],AL785,RawData[Revenue])</f>
        <v>28142.799999999999</v>
      </c>
      <c r="AQ785" s="21">
        <f>SUMIF(RawData[Customer_ID],AL785,RawData[Profit])</f>
        <v>2901.3</v>
      </c>
      <c r="AR785" s="16">
        <f t="shared" si="50"/>
        <v>14071.4</v>
      </c>
      <c r="AS785" s="16" t="str">
        <f t="shared" si="51"/>
        <v>Occasional</v>
      </c>
    </row>
    <row r="786" spans="38:45" x14ac:dyDescent="0.25">
      <c r="AL786" s="16" t="s">
        <v>2890</v>
      </c>
      <c r="AM786" s="16" t="s">
        <v>1095</v>
      </c>
      <c r="AN786" s="16">
        <f>COUNTIF(RawData[Customer_ID],AL786)</f>
        <v>3</v>
      </c>
      <c r="AO786" s="16">
        <f>SUMIF(RawData[Customer_ID],AL786,RawData[Quantity])</f>
        <v>11</v>
      </c>
      <c r="AP786" s="21">
        <f>SUMIF(RawData[Customer_ID],AL786,RawData[Revenue])</f>
        <v>303011.55</v>
      </c>
      <c r="AQ786" s="21">
        <f>SUMIF(RawData[Customer_ID],AL786,RawData[Profit])</f>
        <v>45329.009999999995</v>
      </c>
      <c r="AR786" s="16">
        <f t="shared" si="50"/>
        <v>101003.84999999999</v>
      </c>
      <c r="AS786" s="16" t="str">
        <f t="shared" si="51"/>
        <v>Occasional</v>
      </c>
    </row>
    <row r="787" spans="38:45" x14ac:dyDescent="0.25">
      <c r="AL787" s="16" t="s">
        <v>2240</v>
      </c>
      <c r="AM787" s="16" t="s">
        <v>1096</v>
      </c>
      <c r="AN787" s="16">
        <f>COUNTIF(RawData[Customer_ID],AL787)</f>
        <v>5</v>
      </c>
      <c r="AO787" s="16">
        <f>SUMIF(RawData[Customer_ID],AL787,RawData[Quantity])</f>
        <v>13</v>
      </c>
      <c r="AP787" s="21">
        <f>SUMIF(RawData[Customer_ID],AL787,RawData[Revenue])</f>
        <v>146904.91</v>
      </c>
      <c r="AQ787" s="21">
        <f>SUMIF(RawData[Customer_ID],AL787,RawData[Profit])</f>
        <v>22086.899999999983</v>
      </c>
      <c r="AR787" s="16">
        <f t="shared" si="50"/>
        <v>29380.982</v>
      </c>
      <c r="AS787" s="16" t="str">
        <f t="shared" si="51"/>
        <v>Loyal</v>
      </c>
    </row>
    <row r="788" spans="38:45" x14ac:dyDescent="0.25">
      <c r="AL788" s="16" t="s">
        <v>1823</v>
      </c>
      <c r="AM788" s="16" t="s">
        <v>1097</v>
      </c>
      <c r="AN788" s="16">
        <f>COUNTIF(RawData[Customer_ID],AL788)</f>
        <v>3</v>
      </c>
      <c r="AO788" s="16">
        <f>SUMIF(RawData[Customer_ID],AL788,RawData[Quantity])</f>
        <v>6</v>
      </c>
      <c r="AP788" s="21">
        <f>SUMIF(RawData[Customer_ID],AL788,RawData[Revenue])</f>
        <v>110250.22</v>
      </c>
      <c r="AQ788" s="21">
        <f>SUMIF(RawData[Customer_ID],AL788,RawData[Profit])</f>
        <v>18013.259999999995</v>
      </c>
      <c r="AR788" s="16">
        <f t="shared" si="50"/>
        <v>36750.073333333334</v>
      </c>
      <c r="AS788" s="16" t="str">
        <f t="shared" si="51"/>
        <v>Occasional</v>
      </c>
    </row>
    <row r="789" spans="38:45" x14ac:dyDescent="0.25">
      <c r="AL789" s="16" t="s">
        <v>1413</v>
      </c>
      <c r="AM789" s="16" t="s">
        <v>1098</v>
      </c>
      <c r="AN789" s="16">
        <f>COUNTIF(RawData[Customer_ID],AL789)</f>
        <v>4</v>
      </c>
      <c r="AO789" s="16">
        <f>SUMIF(RawData[Customer_ID],AL789,RawData[Quantity])</f>
        <v>9</v>
      </c>
      <c r="AP789" s="21">
        <f>SUMIF(RawData[Customer_ID],AL789,RawData[Revenue])</f>
        <v>218651.34</v>
      </c>
      <c r="AQ789" s="21">
        <f>SUMIF(RawData[Customer_ID],AL789,RawData[Profit])</f>
        <v>29745.319999999992</v>
      </c>
      <c r="AR789" s="16">
        <f t="shared" si="50"/>
        <v>54662.834999999999</v>
      </c>
      <c r="AS789" s="16" t="str">
        <f t="shared" si="51"/>
        <v>Occasional</v>
      </c>
    </row>
    <row r="790" spans="38:45" x14ac:dyDescent="0.25">
      <c r="AL790" s="16" t="s">
        <v>4702</v>
      </c>
      <c r="AM790" s="16" t="s">
        <v>1099</v>
      </c>
      <c r="AN790" s="16">
        <f>COUNTIF(RawData[Customer_ID],AL790)</f>
        <v>2</v>
      </c>
      <c r="AO790" s="16">
        <f>SUMIF(RawData[Customer_ID],AL790,RawData[Quantity])</f>
        <v>5</v>
      </c>
      <c r="AP790" s="21">
        <f>SUMIF(RawData[Customer_ID],AL790,RawData[Revenue])</f>
        <v>156195.28</v>
      </c>
      <c r="AQ790" s="21">
        <f>SUMIF(RawData[Customer_ID],AL790,RawData[Profit])</f>
        <v>17599.5</v>
      </c>
      <c r="AR790" s="16">
        <f t="shared" si="50"/>
        <v>78097.64</v>
      </c>
      <c r="AS790" s="16" t="str">
        <f t="shared" si="51"/>
        <v>Occasional</v>
      </c>
    </row>
    <row r="791" spans="38:45" x14ac:dyDescent="0.25">
      <c r="AL791" s="16" t="s">
        <v>3983</v>
      </c>
      <c r="AM791" s="16" t="s">
        <v>1100</v>
      </c>
      <c r="AN791" s="16">
        <f>COUNTIF(RawData[Customer_ID],AL791)</f>
        <v>4</v>
      </c>
      <c r="AO791" s="16">
        <f>SUMIF(RawData[Customer_ID],AL791,RawData[Quantity])</f>
        <v>14</v>
      </c>
      <c r="AP791" s="21">
        <f>SUMIF(RawData[Customer_ID],AL791,RawData[Revenue])</f>
        <v>252692.02999999997</v>
      </c>
      <c r="AQ791" s="21">
        <f>SUMIF(RawData[Customer_ID],AL791,RawData[Profit])</f>
        <v>35072.849999999977</v>
      </c>
      <c r="AR791" s="16">
        <f t="shared" si="50"/>
        <v>63173.007499999992</v>
      </c>
      <c r="AS791" s="16" t="str">
        <f t="shared" si="51"/>
        <v>Occasional</v>
      </c>
    </row>
    <row r="792" spans="38:45" x14ac:dyDescent="0.25">
      <c r="AL792" s="16" t="s">
        <v>2799</v>
      </c>
      <c r="AM792" s="16" t="s">
        <v>1101</v>
      </c>
      <c r="AN792" s="16">
        <f>COUNTIF(RawData[Customer_ID],AL792)</f>
        <v>2</v>
      </c>
      <c r="AO792" s="16">
        <f>SUMIF(RawData[Customer_ID],AL792,RawData[Quantity])</f>
        <v>3</v>
      </c>
      <c r="AP792" s="21">
        <f>SUMIF(RawData[Customer_ID],AL792,RawData[Revenue])</f>
        <v>12249.63</v>
      </c>
      <c r="AQ792" s="21">
        <f>SUMIF(RawData[Customer_ID],AL792,RawData[Profit])</f>
        <v>1055.4299999999985</v>
      </c>
      <c r="AR792" s="16">
        <f t="shared" si="50"/>
        <v>6124.8149999999996</v>
      </c>
      <c r="AS792" s="16" t="str">
        <f t="shared" si="51"/>
        <v>Occasional</v>
      </c>
    </row>
    <row r="793" spans="38:45" x14ac:dyDescent="0.25">
      <c r="AL793" s="16" t="s">
        <v>2650</v>
      </c>
      <c r="AM793" s="16" t="s">
        <v>1102</v>
      </c>
      <c r="AN793" s="16">
        <f>COUNTIF(RawData[Customer_ID],AL793)</f>
        <v>1</v>
      </c>
      <c r="AO793" s="16">
        <f>SUMIF(RawData[Customer_ID],AL793,RawData[Quantity])</f>
        <v>5</v>
      </c>
      <c r="AP793" s="21">
        <f>SUMIF(RawData[Customer_ID],AL793,RawData[Revenue])</f>
        <v>58795.1</v>
      </c>
      <c r="AQ793" s="21">
        <f>SUMIF(RawData[Customer_ID],AL793,RawData[Profit])</f>
        <v>13798.849999999999</v>
      </c>
      <c r="AR793" s="16">
        <f t="shared" si="50"/>
        <v>58795.1</v>
      </c>
      <c r="AS793" s="16" t="str">
        <f t="shared" si="51"/>
        <v>One-time</v>
      </c>
    </row>
    <row r="794" spans="38:45" x14ac:dyDescent="0.25">
      <c r="AL794" s="16" t="s">
        <v>1415</v>
      </c>
      <c r="AM794" s="16" t="s">
        <v>1103</v>
      </c>
      <c r="AN794" s="16">
        <f>COUNTIF(RawData[Customer_ID],AL794)</f>
        <v>5</v>
      </c>
      <c r="AO794" s="16">
        <f>SUMIF(RawData[Customer_ID],AL794,RawData[Quantity])</f>
        <v>17</v>
      </c>
      <c r="AP794" s="21">
        <f>SUMIF(RawData[Customer_ID],AL794,RawData[Revenue])</f>
        <v>283534.39999999997</v>
      </c>
      <c r="AQ794" s="21">
        <f>SUMIF(RawData[Customer_ID],AL794,RawData[Profit])</f>
        <v>40286.439999999988</v>
      </c>
      <c r="AR794" s="16">
        <f t="shared" si="50"/>
        <v>56706.87999999999</v>
      </c>
      <c r="AS794" s="16" t="str">
        <f t="shared" si="51"/>
        <v>Loyal</v>
      </c>
    </row>
    <row r="795" spans="38:45" x14ac:dyDescent="0.25">
      <c r="AL795" s="16" t="s">
        <v>5044</v>
      </c>
      <c r="AM795" s="16" t="s">
        <v>1104</v>
      </c>
      <c r="AN795" s="16">
        <f>COUNTIF(RawData[Customer_ID],AL795)</f>
        <v>6</v>
      </c>
      <c r="AO795" s="16">
        <f>SUMIF(RawData[Customer_ID],AL795,RawData[Quantity])</f>
        <v>19</v>
      </c>
      <c r="AP795" s="21">
        <f>SUMIF(RawData[Customer_ID],AL795,RawData[Revenue])</f>
        <v>569033.94999999995</v>
      </c>
      <c r="AQ795" s="21">
        <f>SUMIF(RawData[Customer_ID],AL795,RawData[Profit])</f>
        <v>83347.989999999962</v>
      </c>
      <c r="AR795" s="16">
        <f t="shared" si="50"/>
        <v>94838.991666666654</v>
      </c>
      <c r="AS795" s="16" t="str">
        <f t="shared" si="51"/>
        <v>Loyal</v>
      </c>
    </row>
    <row r="796" spans="38:45" x14ac:dyDescent="0.25">
      <c r="AL796" s="16" t="s">
        <v>1774</v>
      </c>
      <c r="AM796" s="16" t="s">
        <v>1105</v>
      </c>
      <c r="AN796" s="16">
        <f>COUNTIF(RawData[Customer_ID],AL796)</f>
        <v>2</v>
      </c>
      <c r="AO796" s="16">
        <f>SUMIF(RawData[Customer_ID],AL796,RawData[Quantity])</f>
        <v>8</v>
      </c>
      <c r="AP796" s="21">
        <f>SUMIF(RawData[Customer_ID],AL796,RawData[Revenue])</f>
        <v>140878</v>
      </c>
      <c r="AQ796" s="21">
        <f>SUMIF(RawData[Customer_ID],AL796,RawData[Profit])</f>
        <v>22358</v>
      </c>
      <c r="AR796" s="16">
        <f t="shared" si="50"/>
        <v>70439</v>
      </c>
      <c r="AS796" s="16" t="str">
        <f t="shared" si="51"/>
        <v>Occasional</v>
      </c>
    </row>
    <row r="797" spans="38:45" x14ac:dyDescent="0.25">
      <c r="AL797" s="16" t="s">
        <v>3895</v>
      </c>
      <c r="AM797" s="16" t="s">
        <v>1106</v>
      </c>
      <c r="AN797" s="16">
        <f>COUNTIF(RawData[Customer_ID],AL797)</f>
        <v>3</v>
      </c>
      <c r="AO797" s="16">
        <f>SUMIF(RawData[Customer_ID],AL797,RawData[Quantity])</f>
        <v>9</v>
      </c>
      <c r="AP797" s="21">
        <f>SUMIF(RawData[Customer_ID],AL797,RawData[Revenue])</f>
        <v>250428.68</v>
      </c>
      <c r="AQ797" s="21">
        <f>SUMIF(RawData[Customer_ID],AL797,RawData[Profit])</f>
        <v>25895.280000000013</v>
      </c>
      <c r="AR797" s="16">
        <f t="shared" si="50"/>
        <v>83476.226666666669</v>
      </c>
      <c r="AS797" s="16" t="str">
        <f t="shared" si="51"/>
        <v>Occasional</v>
      </c>
    </row>
    <row r="798" spans="38:45" x14ac:dyDescent="0.25">
      <c r="AL798" s="16" t="s">
        <v>1640</v>
      </c>
      <c r="AM798" s="16" t="s">
        <v>1107</v>
      </c>
      <c r="AN798" s="16">
        <f>COUNTIF(RawData[Customer_ID],AL798)</f>
        <v>6</v>
      </c>
      <c r="AO798" s="16">
        <f>SUMIF(RawData[Customer_ID],AL798,RawData[Quantity])</f>
        <v>17</v>
      </c>
      <c r="AP798" s="21">
        <f>SUMIF(RawData[Customer_ID],AL798,RawData[Revenue])</f>
        <v>39492.300000000003</v>
      </c>
      <c r="AQ798" s="21">
        <f>SUMIF(RawData[Customer_ID],AL798,RawData[Profit])</f>
        <v>5537.850000000004</v>
      </c>
      <c r="AR798" s="16">
        <f t="shared" si="50"/>
        <v>6582.05</v>
      </c>
      <c r="AS798" s="16" t="str">
        <f t="shared" si="51"/>
        <v>Loyal</v>
      </c>
    </row>
    <row r="799" spans="38:45" x14ac:dyDescent="0.25">
      <c r="AL799" s="16" t="s">
        <v>4698</v>
      </c>
      <c r="AM799" s="16" t="s">
        <v>1108</v>
      </c>
      <c r="AN799" s="16">
        <f>COUNTIF(RawData[Customer_ID],AL799)</f>
        <v>3</v>
      </c>
      <c r="AO799" s="16">
        <f>SUMIF(RawData[Customer_ID],AL799,RawData[Quantity])</f>
        <v>7</v>
      </c>
      <c r="AP799" s="21">
        <f>SUMIF(RawData[Customer_ID],AL799,RawData[Revenue])</f>
        <v>31972.799999999999</v>
      </c>
      <c r="AQ799" s="21">
        <f>SUMIF(RawData[Customer_ID],AL799,RawData[Profit])</f>
        <v>4242.8</v>
      </c>
      <c r="AR799" s="16">
        <f t="shared" si="50"/>
        <v>10657.6</v>
      </c>
      <c r="AS799" s="16" t="str">
        <f t="shared" si="51"/>
        <v>Occasional</v>
      </c>
    </row>
    <row r="800" spans="38:45" x14ac:dyDescent="0.25">
      <c r="AL800" s="16" t="s">
        <v>5097</v>
      </c>
      <c r="AM800" s="16" t="s">
        <v>1109</v>
      </c>
      <c r="AN800" s="16">
        <f>COUNTIF(RawData[Customer_ID],AL800)</f>
        <v>4</v>
      </c>
      <c r="AO800" s="16">
        <f>SUMIF(RawData[Customer_ID],AL800,RawData[Quantity])</f>
        <v>17</v>
      </c>
      <c r="AP800" s="21">
        <f>SUMIF(RawData[Customer_ID],AL800,RawData[Revenue])</f>
        <v>348278.97</v>
      </c>
      <c r="AQ800" s="21">
        <f>SUMIF(RawData[Customer_ID],AL800,RawData[Profit])</f>
        <v>40324.12000000001</v>
      </c>
      <c r="AR800" s="16">
        <f t="shared" si="50"/>
        <v>87069.742499999993</v>
      </c>
      <c r="AS800" s="16" t="str">
        <f t="shared" si="51"/>
        <v>Occasional</v>
      </c>
    </row>
    <row r="801" spans="38:45" x14ac:dyDescent="0.25">
      <c r="AL801" s="16" t="s">
        <v>1349</v>
      </c>
      <c r="AM801" s="16" t="s">
        <v>1110</v>
      </c>
      <c r="AN801" s="16">
        <f>COUNTIF(RawData[Customer_ID],AL801)</f>
        <v>3</v>
      </c>
      <c r="AO801" s="16">
        <f>SUMIF(RawData[Customer_ID],AL801,RawData[Quantity])</f>
        <v>8</v>
      </c>
      <c r="AP801" s="21">
        <f>SUMIF(RawData[Customer_ID],AL801,RawData[Revenue])</f>
        <v>143666.14000000001</v>
      </c>
      <c r="AQ801" s="21">
        <f>SUMIF(RawData[Customer_ID],AL801,RawData[Profit])</f>
        <v>28370.809999999987</v>
      </c>
      <c r="AR801" s="16">
        <f t="shared" si="50"/>
        <v>47888.71333333334</v>
      </c>
      <c r="AS801" s="16" t="str">
        <f t="shared" si="51"/>
        <v>Occasional</v>
      </c>
    </row>
    <row r="802" spans="38:45" x14ac:dyDescent="0.25">
      <c r="AL802" s="16" t="s">
        <v>2186</v>
      </c>
      <c r="AM802" s="16" t="s">
        <v>1111</v>
      </c>
      <c r="AN802" s="16">
        <f>COUNTIF(RawData[Customer_ID],AL802)</f>
        <v>4</v>
      </c>
      <c r="AO802" s="16">
        <f>SUMIF(RawData[Customer_ID],AL802,RawData[Quantity])</f>
        <v>12</v>
      </c>
      <c r="AP802" s="21">
        <f>SUMIF(RawData[Customer_ID],AL802,RawData[Revenue])</f>
        <v>39213.19</v>
      </c>
      <c r="AQ802" s="21">
        <f>SUMIF(RawData[Customer_ID],AL802,RawData[Profit])</f>
        <v>5818.0699999999979</v>
      </c>
      <c r="AR802" s="16">
        <f t="shared" si="50"/>
        <v>9803.2975000000006</v>
      </c>
      <c r="AS802" s="16" t="str">
        <f t="shared" si="51"/>
        <v>Occasional</v>
      </c>
    </row>
    <row r="803" spans="38:45" x14ac:dyDescent="0.25">
      <c r="AL803" s="16" t="s">
        <v>2121</v>
      </c>
      <c r="AM803" s="16" t="s">
        <v>1112</v>
      </c>
      <c r="AN803" s="16">
        <f>COUNTIF(RawData[Customer_ID],AL803)</f>
        <v>6</v>
      </c>
      <c r="AO803" s="16">
        <f>SUMIF(RawData[Customer_ID],AL803,RawData[Quantity])</f>
        <v>16</v>
      </c>
      <c r="AP803" s="21">
        <f>SUMIF(RawData[Customer_ID],AL803,RawData[Revenue])</f>
        <v>88394.4</v>
      </c>
      <c r="AQ803" s="21">
        <f>SUMIF(RawData[Customer_ID],AL803,RawData[Profit])</f>
        <v>1323.7999999999913</v>
      </c>
      <c r="AR803" s="16">
        <f t="shared" si="50"/>
        <v>14732.4</v>
      </c>
      <c r="AS803" s="16" t="str">
        <f t="shared" si="51"/>
        <v>Loyal</v>
      </c>
    </row>
    <row r="804" spans="38:45" x14ac:dyDescent="0.25">
      <c r="AL804" s="16" t="s">
        <v>1293</v>
      </c>
      <c r="AM804" s="16" t="s">
        <v>1113</v>
      </c>
      <c r="AN804" s="16">
        <f>COUNTIF(RawData[Customer_ID],AL804)</f>
        <v>5</v>
      </c>
      <c r="AO804" s="16">
        <f>SUMIF(RawData[Customer_ID],AL804,RawData[Quantity])</f>
        <v>9</v>
      </c>
      <c r="AP804" s="21">
        <f>SUMIF(RawData[Customer_ID],AL804,RawData[Revenue])</f>
        <v>49440.350000000006</v>
      </c>
      <c r="AQ804" s="21">
        <f>SUMIF(RawData[Customer_ID],AL804,RawData[Profit])</f>
        <v>6835.48</v>
      </c>
      <c r="AR804" s="16">
        <f t="shared" si="50"/>
        <v>9888.0700000000015</v>
      </c>
      <c r="AS804" s="16" t="str">
        <f t="shared" si="51"/>
        <v>Loyal</v>
      </c>
    </row>
    <row r="805" spans="38:45" x14ac:dyDescent="0.25">
      <c r="AL805" s="16" t="s">
        <v>3228</v>
      </c>
      <c r="AM805" s="16" t="s">
        <v>1114</v>
      </c>
      <c r="AN805" s="16">
        <f>COUNTIF(RawData[Customer_ID],AL805)</f>
        <v>6</v>
      </c>
      <c r="AO805" s="16">
        <f>SUMIF(RawData[Customer_ID],AL805,RawData[Quantity])</f>
        <v>18</v>
      </c>
      <c r="AP805" s="21">
        <f>SUMIF(RawData[Customer_ID],AL805,RawData[Revenue])</f>
        <v>146382.39999999999</v>
      </c>
      <c r="AQ805" s="21">
        <f>SUMIF(RawData[Customer_ID],AL805,RawData[Profit])</f>
        <v>22303.359999999993</v>
      </c>
      <c r="AR805" s="16">
        <f t="shared" si="50"/>
        <v>24397.066666666666</v>
      </c>
      <c r="AS805" s="16" t="str">
        <f t="shared" si="51"/>
        <v>Loyal</v>
      </c>
    </row>
    <row r="806" spans="38:45" x14ac:dyDescent="0.25">
      <c r="AL806" s="16" t="s">
        <v>5175</v>
      </c>
      <c r="AM806" s="16" t="s">
        <v>1115</v>
      </c>
      <c r="AN806" s="16">
        <f>COUNTIF(RawData[Customer_ID],AL806)</f>
        <v>0</v>
      </c>
      <c r="AO806" s="16">
        <f>SUMIF(RawData[Customer_ID],AL806,RawData[Quantity])</f>
        <v>0</v>
      </c>
      <c r="AP806" s="21">
        <f>SUMIF(RawData[Customer_ID],AL806,RawData[Revenue])</f>
        <v>0</v>
      </c>
      <c r="AQ806" s="21">
        <f>SUMIF(RawData[Customer_ID],AL806,RawData[Profit])</f>
        <v>0</v>
      </c>
      <c r="AR806" s="16">
        <f t="shared" si="50"/>
        <v>0</v>
      </c>
      <c r="AS806" s="16" t="str">
        <f t="shared" si="51"/>
        <v>Occasional</v>
      </c>
    </row>
    <row r="807" spans="38:45" x14ac:dyDescent="0.25">
      <c r="AL807" s="16" t="s">
        <v>2419</v>
      </c>
      <c r="AM807" s="16" t="s">
        <v>491</v>
      </c>
      <c r="AN807" s="16">
        <f>COUNTIF(RawData[Customer_ID],AL807)</f>
        <v>5</v>
      </c>
      <c r="AO807" s="16">
        <f>SUMIF(RawData[Customer_ID],AL807,RawData[Quantity])</f>
        <v>14</v>
      </c>
      <c r="AP807" s="21">
        <f>SUMIF(RawData[Customer_ID],AL807,RawData[Revenue])</f>
        <v>306488.40000000002</v>
      </c>
      <c r="AQ807" s="21">
        <f>SUMIF(RawData[Customer_ID],AL807,RawData[Profit])</f>
        <v>47206.66</v>
      </c>
      <c r="AR807" s="16">
        <f t="shared" si="50"/>
        <v>61297.680000000008</v>
      </c>
      <c r="AS807" s="16" t="str">
        <f t="shared" si="51"/>
        <v>Loyal</v>
      </c>
    </row>
    <row r="808" spans="38:45" x14ac:dyDescent="0.25">
      <c r="AL808" s="16" t="s">
        <v>1289</v>
      </c>
      <c r="AM808" s="16" t="s">
        <v>1116</v>
      </c>
      <c r="AN808" s="16">
        <f>COUNTIF(RawData[Customer_ID],AL808)</f>
        <v>3</v>
      </c>
      <c r="AO808" s="16">
        <f>SUMIF(RawData[Customer_ID],AL808,RawData[Quantity])</f>
        <v>10</v>
      </c>
      <c r="AP808" s="21">
        <f>SUMIF(RawData[Customer_ID],AL808,RawData[Revenue])</f>
        <v>63066.75</v>
      </c>
      <c r="AQ808" s="21">
        <f>SUMIF(RawData[Customer_ID],AL808,RawData[Profit])</f>
        <v>15966.350000000002</v>
      </c>
      <c r="AR808" s="16">
        <f t="shared" si="50"/>
        <v>21022.25</v>
      </c>
      <c r="AS808" s="16" t="str">
        <f t="shared" si="51"/>
        <v>Occasional</v>
      </c>
    </row>
    <row r="809" spans="38:45" x14ac:dyDescent="0.25">
      <c r="AL809" s="16" t="s">
        <v>1331</v>
      </c>
      <c r="AM809" s="16" t="s">
        <v>931</v>
      </c>
      <c r="AN809" s="16">
        <f>COUNTIF(RawData[Customer_ID],AL809)</f>
        <v>2</v>
      </c>
      <c r="AO809" s="16">
        <f>SUMIF(RawData[Customer_ID],AL809,RawData[Quantity])</f>
        <v>4</v>
      </c>
      <c r="AP809" s="21">
        <f>SUMIF(RawData[Customer_ID],AL809,RawData[Revenue])</f>
        <v>80249.59</v>
      </c>
      <c r="AQ809" s="21">
        <f>SUMIF(RawData[Customer_ID],AL809,RawData[Profit])</f>
        <v>9972.14</v>
      </c>
      <c r="AR809" s="16">
        <f t="shared" si="50"/>
        <v>40124.794999999998</v>
      </c>
      <c r="AS809" s="16" t="str">
        <f t="shared" si="51"/>
        <v>Occasional</v>
      </c>
    </row>
    <row r="810" spans="38:45" x14ac:dyDescent="0.25">
      <c r="AL810" s="16" t="s">
        <v>1363</v>
      </c>
      <c r="AM810" s="16" t="s">
        <v>1117</v>
      </c>
      <c r="AN810" s="16">
        <f>COUNTIF(RawData[Customer_ID],AL810)</f>
        <v>6</v>
      </c>
      <c r="AO810" s="16">
        <f>SUMIF(RawData[Customer_ID],AL810,RawData[Quantity])</f>
        <v>22</v>
      </c>
      <c r="AP810" s="21">
        <f>SUMIF(RawData[Customer_ID],AL810,RawData[Revenue])</f>
        <v>125005.45</v>
      </c>
      <c r="AQ810" s="21">
        <f>SUMIF(RawData[Customer_ID],AL810,RawData[Profit])</f>
        <v>24297.600000000006</v>
      </c>
      <c r="AR810" s="16">
        <f t="shared" si="50"/>
        <v>20834.241666666665</v>
      </c>
      <c r="AS810" s="16" t="str">
        <f t="shared" si="51"/>
        <v>Loyal</v>
      </c>
    </row>
    <row r="811" spans="38:45" x14ac:dyDescent="0.25">
      <c r="AL811" s="16" t="s">
        <v>5176</v>
      </c>
      <c r="AM811" s="16" t="s">
        <v>1118</v>
      </c>
      <c r="AN811" s="16">
        <f>COUNTIF(RawData[Customer_ID],AL811)</f>
        <v>0</v>
      </c>
      <c r="AO811" s="16">
        <f>SUMIF(RawData[Customer_ID],AL811,RawData[Quantity])</f>
        <v>0</v>
      </c>
      <c r="AP811" s="21">
        <f>SUMIF(RawData[Customer_ID],AL811,RawData[Revenue])</f>
        <v>0</v>
      </c>
      <c r="AQ811" s="21">
        <f>SUMIF(RawData[Customer_ID],AL811,RawData[Profit])</f>
        <v>0</v>
      </c>
      <c r="AR811" s="16">
        <f t="shared" si="50"/>
        <v>0</v>
      </c>
      <c r="AS811" s="16" t="str">
        <f t="shared" si="51"/>
        <v>Occasional</v>
      </c>
    </row>
    <row r="812" spans="38:45" x14ac:dyDescent="0.25">
      <c r="AL812" s="16" t="s">
        <v>3724</v>
      </c>
      <c r="AM812" s="16" t="s">
        <v>1119</v>
      </c>
      <c r="AN812" s="16">
        <f>COUNTIF(RawData[Customer_ID],AL812)</f>
        <v>6</v>
      </c>
      <c r="AO812" s="16">
        <f>SUMIF(RawData[Customer_ID],AL812,RawData[Quantity])</f>
        <v>21</v>
      </c>
      <c r="AP812" s="21">
        <f>SUMIF(RawData[Customer_ID],AL812,RawData[Revenue])</f>
        <v>122744.40999999999</v>
      </c>
      <c r="AQ812" s="21">
        <f>SUMIF(RawData[Customer_ID],AL812,RawData[Profit])</f>
        <v>21321.35</v>
      </c>
      <c r="AR812" s="16">
        <f t="shared" si="50"/>
        <v>20457.401666666665</v>
      </c>
      <c r="AS812" s="16" t="str">
        <f t="shared" si="51"/>
        <v>Loyal</v>
      </c>
    </row>
    <row r="813" spans="38:45" x14ac:dyDescent="0.25">
      <c r="AL813" s="16" t="s">
        <v>4367</v>
      </c>
      <c r="AM813" s="16" t="s">
        <v>430</v>
      </c>
      <c r="AN813" s="16">
        <f>COUNTIF(RawData[Customer_ID],AL813)</f>
        <v>1</v>
      </c>
      <c r="AO813" s="16">
        <f>SUMIF(RawData[Customer_ID],AL813,RawData[Quantity])</f>
        <v>3</v>
      </c>
      <c r="AP813" s="21">
        <f>SUMIF(RawData[Customer_ID],AL813,RawData[Revenue])</f>
        <v>47022.149999999994</v>
      </c>
      <c r="AQ813" s="21">
        <f>SUMIF(RawData[Customer_ID],AL813,RawData[Profit])</f>
        <v>3464.7899999999936</v>
      </c>
      <c r="AR813" s="16">
        <f t="shared" si="50"/>
        <v>47022.149999999994</v>
      </c>
      <c r="AS813" s="16" t="str">
        <f t="shared" si="51"/>
        <v>One-time</v>
      </c>
    </row>
    <row r="814" spans="38:45" x14ac:dyDescent="0.25">
      <c r="AL814" s="16" t="s">
        <v>1596</v>
      </c>
      <c r="AM814" s="16" t="s">
        <v>1120</v>
      </c>
      <c r="AN814" s="16">
        <f>COUNTIF(RawData[Customer_ID],AL814)</f>
        <v>6</v>
      </c>
      <c r="AO814" s="16">
        <f>SUMIF(RawData[Customer_ID],AL814,RawData[Quantity])</f>
        <v>20</v>
      </c>
      <c r="AP814" s="21">
        <f>SUMIF(RawData[Customer_ID],AL814,RawData[Revenue])</f>
        <v>141011.39000000001</v>
      </c>
      <c r="AQ814" s="21">
        <f>SUMIF(RawData[Customer_ID],AL814,RawData[Profit])</f>
        <v>20470.09</v>
      </c>
      <c r="AR814" s="16">
        <f t="shared" si="50"/>
        <v>23501.898333333334</v>
      </c>
      <c r="AS814" s="16" t="str">
        <f t="shared" si="51"/>
        <v>Loyal</v>
      </c>
    </row>
    <row r="815" spans="38:45" x14ac:dyDescent="0.25">
      <c r="AL815" s="16" t="s">
        <v>3242</v>
      </c>
      <c r="AM815" s="16" t="s">
        <v>1121</v>
      </c>
      <c r="AN815" s="16">
        <f>COUNTIF(RawData[Customer_ID],AL815)</f>
        <v>3</v>
      </c>
      <c r="AO815" s="16">
        <f>SUMIF(RawData[Customer_ID],AL815,RawData[Quantity])</f>
        <v>11</v>
      </c>
      <c r="AP815" s="21">
        <f>SUMIF(RawData[Customer_ID],AL815,RawData[Revenue])</f>
        <v>118907.31999999999</v>
      </c>
      <c r="AQ815" s="21">
        <f>SUMIF(RawData[Customer_ID],AL815,RawData[Profit])</f>
        <v>18188.87999999999</v>
      </c>
      <c r="AR815" s="16">
        <f t="shared" si="50"/>
        <v>39635.773333333331</v>
      </c>
      <c r="AS815" s="16" t="str">
        <f t="shared" si="51"/>
        <v>Occasional</v>
      </c>
    </row>
    <row r="816" spans="38:45" x14ac:dyDescent="0.25">
      <c r="AL816" s="16" t="s">
        <v>4562</v>
      </c>
      <c r="AM816" s="16" t="s">
        <v>1122</v>
      </c>
      <c r="AN816" s="16">
        <f>COUNTIF(RawData[Customer_ID],AL816)</f>
        <v>3</v>
      </c>
      <c r="AO816" s="16">
        <f>SUMIF(RawData[Customer_ID],AL816,RawData[Quantity])</f>
        <v>11</v>
      </c>
      <c r="AP816" s="21">
        <f>SUMIF(RawData[Customer_ID],AL816,RawData[Revenue])</f>
        <v>112534.87</v>
      </c>
      <c r="AQ816" s="21">
        <f>SUMIF(RawData[Customer_ID],AL816,RawData[Profit])</f>
        <v>17143.27</v>
      </c>
      <c r="AR816" s="16">
        <f t="shared" si="50"/>
        <v>37511.623333333329</v>
      </c>
      <c r="AS816" s="16" t="str">
        <f t="shared" si="51"/>
        <v>Occasional</v>
      </c>
    </row>
    <row r="817" spans="38:45" x14ac:dyDescent="0.25">
      <c r="AL817" s="16" t="s">
        <v>2809</v>
      </c>
      <c r="AM817" s="16" t="s">
        <v>1123</v>
      </c>
      <c r="AN817" s="16">
        <f>COUNTIF(RawData[Customer_ID],AL817)</f>
        <v>2</v>
      </c>
      <c r="AO817" s="16">
        <f>SUMIF(RawData[Customer_ID],AL817,RawData[Quantity])</f>
        <v>6</v>
      </c>
      <c r="AP817" s="21">
        <f>SUMIF(RawData[Customer_ID],AL817,RawData[Revenue])</f>
        <v>34834.990000000005</v>
      </c>
      <c r="AQ817" s="21">
        <f>SUMIF(RawData[Customer_ID],AL817,RawData[Profit])</f>
        <v>5609.2100000000055</v>
      </c>
      <c r="AR817" s="16">
        <f t="shared" si="50"/>
        <v>17417.495000000003</v>
      </c>
      <c r="AS817" s="16" t="str">
        <f t="shared" si="51"/>
        <v>Occasional</v>
      </c>
    </row>
    <row r="818" spans="38:45" x14ac:dyDescent="0.25">
      <c r="AL818" s="16" t="s">
        <v>3103</v>
      </c>
      <c r="AM818" s="16" t="s">
        <v>1124</v>
      </c>
      <c r="AN818" s="16">
        <f>COUNTIF(RawData[Customer_ID],AL818)</f>
        <v>4</v>
      </c>
      <c r="AO818" s="16">
        <f>SUMIF(RawData[Customer_ID],AL818,RawData[Quantity])</f>
        <v>9</v>
      </c>
      <c r="AP818" s="21">
        <f>SUMIF(RawData[Customer_ID],AL818,RawData[Revenue])</f>
        <v>67708.12</v>
      </c>
      <c r="AQ818" s="21">
        <f>SUMIF(RawData[Customer_ID],AL818,RawData[Profit])</f>
        <v>10100.869999999995</v>
      </c>
      <c r="AR818" s="16">
        <f t="shared" si="50"/>
        <v>16927.03</v>
      </c>
      <c r="AS818" s="16" t="str">
        <f t="shared" si="51"/>
        <v>Occasional</v>
      </c>
    </row>
    <row r="819" spans="38:45" x14ac:dyDescent="0.25">
      <c r="AL819" s="16" t="s">
        <v>2229</v>
      </c>
      <c r="AM819" s="16" t="s">
        <v>1125</v>
      </c>
      <c r="AN819" s="16">
        <f>COUNTIF(RawData[Customer_ID],AL819)</f>
        <v>3</v>
      </c>
      <c r="AO819" s="16">
        <f>SUMIF(RawData[Customer_ID],AL819,RawData[Quantity])</f>
        <v>9</v>
      </c>
      <c r="AP819" s="21">
        <f>SUMIF(RawData[Customer_ID],AL819,RawData[Revenue])</f>
        <v>168320.68</v>
      </c>
      <c r="AQ819" s="21">
        <f>SUMIF(RawData[Customer_ID],AL819,RawData[Profit])</f>
        <v>20266.960000000017</v>
      </c>
      <c r="AR819" s="16">
        <f t="shared" si="50"/>
        <v>56106.893333333333</v>
      </c>
      <c r="AS819" s="16" t="str">
        <f t="shared" si="51"/>
        <v>Occasional</v>
      </c>
    </row>
    <row r="820" spans="38:45" x14ac:dyDescent="0.25">
      <c r="AL820" s="16" t="s">
        <v>2881</v>
      </c>
      <c r="AM820" s="16" t="s">
        <v>1126</v>
      </c>
      <c r="AN820" s="16">
        <f>COUNTIF(RawData[Customer_ID],AL820)</f>
        <v>2</v>
      </c>
      <c r="AO820" s="16">
        <f>SUMIF(RawData[Customer_ID],AL820,RawData[Quantity])</f>
        <v>8</v>
      </c>
      <c r="AP820" s="21">
        <f>SUMIF(RawData[Customer_ID],AL820,RawData[Revenue])</f>
        <v>5666.2</v>
      </c>
      <c r="AQ820" s="21">
        <f>SUMIF(RawData[Customer_ID],AL820,RawData[Profit])</f>
        <v>1846.4</v>
      </c>
      <c r="AR820" s="16">
        <f t="shared" si="50"/>
        <v>2833.1</v>
      </c>
      <c r="AS820" s="16" t="str">
        <f t="shared" si="51"/>
        <v>Occasional</v>
      </c>
    </row>
    <row r="821" spans="38:45" x14ac:dyDescent="0.25">
      <c r="AL821" s="16" t="s">
        <v>5177</v>
      </c>
      <c r="AM821" s="16" t="s">
        <v>1127</v>
      </c>
      <c r="AN821" s="16">
        <f>COUNTIF(RawData[Customer_ID],AL821)</f>
        <v>0</v>
      </c>
      <c r="AO821" s="16">
        <f>SUMIF(RawData[Customer_ID],AL821,RawData[Quantity])</f>
        <v>0</v>
      </c>
      <c r="AP821" s="21">
        <f>SUMIF(RawData[Customer_ID],AL821,RawData[Revenue])</f>
        <v>0</v>
      </c>
      <c r="AQ821" s="21">
        <f>SUMIF(RawData[Customer_ID],AL821,RawData[Profit])</f>
        <v>0</v>
      </c>
      <c r="AR821" s="16">
        <f t="shared" si="50"/>
        <v>0</v>
      </c>
      <c r="AS821" s="16" t="str">
        <f t="shared" si="51"/>
        <v>Occasional</v>
      </c>
    </row>
    <row r="822" spans="38:45" x14ac:dyDescent="0.25">
      <c r="AL822" s="16" t="s">
        <v>2472</v>
      </c>
      <c r="AM822" s="16" t="s">
        <v>1128</v>
      </c>
      <c r="AN822" s="16">
        <f>COUNTIF(RawData[Customer_ID],AL822)</f>
        <v>5</v>
      </c>
      <c r="AO822" s="16">
        <f>SUMIF(RawData[Customer_ID],AL822,RawData[Quantity])</f>
        <v>21</v>
      </c>
      <c r="AP822" s="21">
        <f>SUMIF(RawData[Customer_ID],AL822,RawData[Revenue])</f>
        <v>290817.2</v>
      </c>
      <c r="AQ822" s="21">
        <f>SUMIF(RawData[Customer_ID],AL822,RawData[Profit])</f>
        <v>41555.899999999972</v>
      </c>
      <c r="AR822" s="16">
        <f t="shared" si="50"/>
        <v>58163.44</v>
      </c>
      <c r="AS822" s="16" t="str">
        <f t="shared" si="51"/>
        <v>Loyal</v>
      </c>
    </row>
    <row r="823" spans="38:45" x14ac:dyDescent="0.25">
      <c r="AL823" s="16" t="s">
        <v>1642</v>
      </c>
      <c r="AM823" s="16" t="s">
        <v>1129</v>
      </c>
      <c r="AN823" s="16">
        <f>COUNTIF(RawData[Customer_ID],AL823)</f>
        <v>4</v>
      </c>
      <c r="AO823" s="16">
        <f>SUMIF(RawData[Customer_ID],AL823,RawData[Quantity])</f>
        <v>10</v>
      </c>
      <c r="AP823" s="21">
        <f>SUMIF(RawData[Customer_ID],AL823,RawData[Revenue])</f>
        <v>45623.5</v>
      </c>
      <c r="AQ823" s="21">
        <f>SUMIF(RawData[Customer_ID],AL823,RawData[Profit])</f>
        <v>10450.5</v>
      </c>
      <c r="AR823" s="16">
        <f t="shared" si="50"/>
        <v>11405.875</v>
      </c>
      <c r="AS823" s="16" t="str">
        <f t="shared" si="51"/>
        <v>Occasional</v>
      </c>
    </row>
    <row r="824" spans="38:45" x14ac:dyDescent="0.25">
      <c r="AL824" s="16" t="s">
        <v>2625</v>
      </c>
      <c r="AM824" s="16" t="s">
        <v>798</v>
      </c>
      <c r="AN824" s="16">
        <f>COUNTIF(RawData[Customer_ID],AL824)</f>
        <v>2</v>
      </c>
      <c r="AO824" s="16">
        <f>SUMIF(RawData[Customer_ID],AL824,RawData[Quantity])</f>
        <v>7</v>
      </c>
      <c r="AP824" s="21">
        <f>SUMIF(RawData[Customer_ID],AL824,RawData[Revenue])</f>
        <v>234103.40999999997</v>
      </c>
      <c r="AQ824" s="21">
        <f>SUMIF(RawData[Customer_ID],AL824,RawData[Profit])</f>
        <v>34268.849999999977</v>
      </c>
      <c r="AR824" s="16">
        <f t="shared" si="50"/>
        <v>117051.70499999999</v>
      </c>
      <c r="AS824" s="16" t="str">
        <f t="shared" si="51"/>
        <v>Occasional</v>
      </c>
    </row>
    <row r="825" spans="38:45" x14ac:dyDescent="0.25">
      <c r="AL825" s="16" t="s">
        <v>2324</v>
      </c>
      <c r="AM825" s="16" t="s">
        <v>1130</v>
      </c>
      <c r="AN825" s="16">
        <f>COUNTIF(RawData[Customer_ID],AL825)</f>
        <v>6</v>
      </c>
      <c r="AO825" s="16">
        <f>SUMIF(RawData[Customer_ID],AL825,RawData[Quantity])</f>
        <v>22</v>
      </c>
      <c r="AP825" s="21">
        <f>SUMIF(RawData[Customer_ID],AL825,RawData[Revenue])</f>
        <v>136656.34</v>
      </c>
      <c r="AQ825" s="21">
        <f>SUMIF(RawData[Customer_ID],AL825,RawData[Profit])</f>
        <v>16150.530000000002</v>
      </c>
      <c r="AR825" s="16">
        <f t="shared" si="50"/>
        <v>22776.056666666667</v>
      </c>
      <c r="AS825" s="16" t="str">
        <f t="shared" si="51"/>
        <v>Loyal</v>
      </c>
    </row>
    <row r="826" spans="38:45" x14ac:dyDescent="0.25">
      <c r="AL826" s="16" t="s">
        <v>2021</v>
      </c>
      <c r="AM826" s="16" t="s">
        <v>1131</v>
      </c>
      <c r="AN826" s="16">
        <f>COUNTIF(RawData[Customer_ID],AL826)</f>
        <v>3</v>
      </c>
      <c r="AO826" s="16">
        <f>SUMIF(RawData[Customer_ID],AL826,RawData[Quantity])</f>
        <v>11</v>
      </c>
      <c r="AP826" s="21">
        <f>SUMIF(RawData[Customer_ID],AL826,RawData[Revenue])</f>
        <v>69089.75</v>
      </c>
      <c r="AQ826" s="21">
        <f>SUMIF(RawData[Customer_ID],AL826,RawData[Profit])</f>
        <v>13890.850000000008</v>
      </c>
      <c r="AR826" s="16">
        <f t="shared" si="50"/>
        <v>23029.916666666668</v>
      </c>
      <c r="AS826" s="16" t="str">
        <f t="shared" si="51"/>
        <v>Occasional</v>
      </c>
    </row>
    <row r="827" spans="38:45" x14ac:dyDescent="0.25">
      <c r="AL827" s="16" t="s">
        <v>1906</v>
      </c>
      <c r="AM827" s="16" t="s">
        <v>629</v>
      </c>
      <c r="AN827" s="16">
        <f>COUNTIF(RawData[Customer_ID],AL827)</f>
        <v>6</v>
      </c>
      <c r="AO827" s="16">
        <f>SUMIF(RawData[Customer_ID],AL827,RawData[Quantity])</f>
        <v>14</v>
      </c>
      <c r="AP827" s="21">
        <f>SUMIF(RawData[Customer_ID],AL827,RawData[Revenue])</f>
        <v>121757.04</v>
      </c>
      <c r="AQ827" s="21">
        <f>SUMIF(RawData[Customer_ID],AL827,RawData[Profit])</f>
        <v>20028.339999999997</v>
      </c>
      <c r="AR827" s="16">
        <f t="shared" si="50"/>
        <v>20292.84</v>
      </c>
      <c r="AS827" s="16" t="str">
        <f t="shared" si="51"/>
        <v>Loyal</v>
      </c>
    </row>
    <row r="828" spans="38:45" x14ac:dyDescent="0.25">
      <c r="AL828" s="16" t="s">
        <v>2617</v>
      </c>
      <c r="AM828" s="16" t="s">
        <v>770</v>
      </c>
      <c r="AN828" s="16">
        <f>COUNTIF(RawData[Customer_ID],AL828)</f>
        <v>2</v>
      </c>
      <c r="AO828" s="16">
        <f>SUMIF(RawData[Customer_ID],AL828,RawData[Quantity])</f>
        <v>6</v>
      </c>
      <c r="AP828" s="21">
        <f>SUMIF(RawData[Customer_ID],AL828,RawData[Revenue])</f>
        <v>255975.24000000002</v>
      </c>
      <c r="AQ828" s="21">
        <f>SUMIF(RawData[Customer_ID],AL828,RawData[Profit])</f>
        <v>34757.700000000012</v>
      </c>
      <c r="AR828" s="16">
        <f t="shared" si="50"/>
        <v>127987.62000000001</v>
      </c>
      <c r="AS828" s="16" t="str">
        <f t="shared" si="51"/>
        <v>Occasional</v>
      </c>
    </row>
    <row r="829" spans="38:45" x14ac:dyDescent="0.25">
      <c r="AL829" s="16" t="s">
        <v>5178</v>
      </c>
      <c r="AM829" s="16" t="s">
        <v>1132</v>
      </c>
      <c r="AN829" s="16">
        <f>COUNTIF(RawData[Customer_ID],AL829)</f>
        <v>0</v>
      </c>
      <c r="AO829" s="16">
        <f>SUMIF(RawData[Customer_ID],AL829,RawData[Quantity])</f>
        <v>0</v>
      </c>
      <c r="AP829" s="21">
        <f>SUMIF(RawData[Customer_ID],AL829,RawData[Revenue])</f>
        <v>0</v>
      </c>
      <c r="AQ829" s="21">
        <f>SUMIF(RawData[Customer_ID],AL829,RawData[Profit])</f>
        <v>0</v>
      </c>
      <c r="AR829" s="16">
        <f t="shared" si="50"/>
        <v>0</v>
      </c>
      <c r="AS829" s="16" t="str">
        <f t="shared" si="51"/>
        <v>Occasional</v>
      </c>
    </row>
    <row r="830" spans="38:45" x14ac:dyDescent="0.25">
      <c r="AL830" s="16" t="s">
        <v>2807</v>
      </c>
      <c r="AM830" s="16" t="s">
        <v>475</v>
      </c>
      <c r="AN830" s="16">
        <f>COUNTIF(RawData[Customer_ID],AL830)</f>
        <v>4</v>
      </c>
      <c r="AO830" s="16">
        <f>SUMIF(RawData[Customer_ID],AL830,RawData[Quantity])</f>
        <v>18</v>
      </c>
      <c r="AP830" s="21">
        <f>SUMIF(RawData[Customer_ID],AL830,RawData[Revenue])</f>
        <v>105512.44</v>
      </c>
      <c r="AQ830" s="21">
        <f>SUMIF(RawData[Customer_ID],AL830,RawData[Profit])</f>
        <v>19603.639999999992</v>
      </c>
      <c r="AR830" s="16">
        <f t="shared" si="50"/>
        <v>26378.11</v>
      </c>
      <c r="AS830" s="16" t="str">
        <f t="shared" si="51"/>
        <v>Occasional</v>
      </c>
    </row>
    <row r="831" spans="38:45" x14ac:dyDescent="0.25">
      <c r="AL831" s="16" t="s">
        <v>5179</v>
      </c>
      <c r="AM831" s="16" t="s">
        <v>1133</v>
      </c>
      <c r="AN831" s="16">
        <f>COUNTIF(RawData[Customer_ID],AL831)</f>
        <v>0</v>
      </c>
      <c r="AO831" s="16">
        <f>SUMIF(RawData[Customer_ID],AL831,RawData[Quantity])</f>
        <v>0</v>
      </c>
      <c r="AP831" s="21">
        <f>SUMIF(RawData[Customer_ID],AL831,RawData[Revenue])</f>
        <v>0</v>
      </c>
      <c r="AQ831" s="21">
        <f>SUMIF(RawData[Customer_ID],AL831,RawData[Profit])</f>
        <v>0</v>
      </c>
      <c r="AR831" s="16">
        <f t="shared" si="50"/>
        <v>0</v>
      </c>
      <c r="AS831" s="16" t="str">
        <f t="shared" si="51"/>
        <v>Occasional</v>
      </c>
    </row>
    <row r="832" spans="38:45" x14ac:dyDescent="0.25">
      <c r="AL832" s="16" t="s">
        <v>2102</v>
      </c>
      <c r="AM832" s="16" t="s">
        <v>1134</v>
      </c>
      <c r="AN832" s="16">
        <f>COUNTIF(RawData[Customer_ID],AL832)</f>
        <v>2</v>
      </c>
      <c r="AO832" s="16">
        <f>SUMIF(RawData[Customer_ID],AL832,RawData[Quantity])</f>
        <v>8</v>
      </c>
      <c r="AP832" s="21">
        <f>SUMIF(RawData[Customer_ID],AL832,RawData[Revenue])</f>
        <v>203080.34999999998</v>
      </c>
      <c r="AQ832" s="21">
        <f>SUMIF(RawData[Customer_ID],AL832,RawData[Profit])</f>
        <v>33239.249999999971</v>
      </c>
      <c r="AR832" s="16">
        <f t="shared" si="50"/>
        <v>101540.17499999999</v>
      </c>
      <c r="AS832" s="16" t="str">
        <f t="shared" si="51"/>
        <v>Occasional</v>
      </c>
    </row>
    <row r="833" spans="38:45" x14ac:dyDescent="0.25">
      <c r="AL833" s="16" t="s">
        <v>5098</v>
      </c>
      <c r="AM833" s="16" t="s">
        <v>1135</v>
      </c>
      <c r="AN833" s="16">
        <f>COUNTIF(RawData[Customer_ID],AL833)</f>
        <v>1</v>
      </c>
      <c r="AO833" s="16">
        <f>SUMIF(RawData[Customer_ID],AL833,RawData[Quantity])</f>
        <v>3</v>
      </c>
      <c r="AP833" s="21">
        <f>SUMIF(RawData[Customer_ID],AL833,RawData[Revenue])</f>
        <v>441</v>
      </c>
      <c r="AQ833" s="21">
        <f>SUMIF(RawData[Customer_ID],AL833,RawData[Profit])</f>
        <v>148.5</v>
      </c>
      <c r="AR833" s="16">
        <f t="shared" si="50"/>
        <v>441</v>
      </c>
      <c r="AS833" s="16" t="str">
        <f t="shared" si="51"/>
        <v>One-time</v>
      </c>
    </row>
    <row r="834" spans="38:45" x14ac:dyDescent="0.25">
      <c r="AL834" s="16" t="s">
        <v>5079</v>
      </c>
      <c r="AM834" s="16" t="s">
        <v>1136</v>
      </c>
      <c r="AN834" s="16">
        <f>COUNTIF(RawData[Customer_ID],AL834)</f>
        <v>3</v>
      </c>
      <c r="AO834" s="16">
        <f>SUMIF(RawData[Customer_ID],AL834,RawData[Quantity])</f>
        <v>10</v>
      </c>
      <c r="AP834" s="21">
        <f>SUMIF(RawData[Customer_ID],AL834,RawData[Revenue])</f>
        <v>174897.9</v>
      </c>
      <c r="AQ834" s="21">
        <f>SUMIF(RawData[Customer_ID],AL834,RawData[Profit])</f>
        <v>23267.51999999999</v>
      </c>
      <c r="AR834" s="16">
        <f t="shared" si="50"/>
        <v>58299.299999999996</v>
      </c>
      <c r="AS834" s="16" t="str">
        <f t="shared" si="51"/>
        <v>Occasional</v>
      </c>
    </row>
    <row r="835" spans="38:45" x14ac:dyDescent="0.25">
      <c r="AL835" s="16" t="s">
        <v>1981</v>
      </c>
      <c r="AM835" s="16" t="s">
        <v>1137</v>
      </c>
      <c r="AN835" s="16">
        <f>COUNTIF(RawData[Customer_ID],AL835)</f>
        <v>6</v>
      </c>
      <c r="AO835" s="16">
        <f>SUMIF(RawData[Customer_ID],AL835,RawData[Quantity])</f>
        <v>23</v>
      </c>
      <c r="AP835" s="21">
        <f>SUMIF(RawData[Customer_ID],AL835,RawData[Revenue])</f>
        <v>476531.68</v>
      </c>
      <c r="AQ835" s="21">
        <f>SUMIF(RawData[Customer_ID],AL835,RawData[Profit])</f>
        <v>70147.100000000006</v>
      </c>
      <c r="AR835" s="16">
        <f t="shared" ref="AR835:AR902" si="52">IF(AN835=0,0,AP835/AN835)</f>
        <v>79421.94666666667</v>
      </c>
      <c r="AS835" s="16" t="str">
        <f t="shared" ref="AS835:AS902" si="53">IF(AN835=1,"One-time",IF(AN835&lt;=4,"Occasional",IF(AN835&lt;=8,"Loyal","Review")))</f>
        <v>Loyal</v>
      </c>
    </row>
    <row r="836" spans="38:45" x14ac:dyDescent="0.25">
      <c r="AL836" s="16" t="s">
        <v>3606</v>
      </c>
      <c r="AM836" s="16" t="s">
        <v>1138</v>
      </c>
      <c r="AN836" s="16">
        <f>COUNTIF(RawData[Customer_ID],AL836)</f>
        <v>2</v>
      </c>
      <c r="AO836" s="16">
        <f>SUMIF(RawData[Customer_ID],AL836,RawData[Quantity])</f>
        <v>2</v>
      </c>
      <c r="AP836" s="21">
        <f>SUMIF(RawData[Customer_ID],AL836,RawData[Revenue])</f>
        <v>17038.14</v>
      </c>
      <c r="AQ836" s="21">
        <f>SUMIF(RawData[Customer_ID],AL836,RawData[Profit])</f>
        <v>3489.5900000000011</v>
      </c>
      <c r="AR836" s="16">
        <f t="shared" si="52"/>
        <v>8519.07</v>
      </c>
      <c r="AS836" s="16" t="str">
        <f t="shared" si="53"/>
        <v>Occasional</v>
      </c>
    </row>
    <row r="837" spans="38:45" x14ac:dyDescent="0.25">
      <c r="AL837" s="16" t="s">
        <v>2658</v>
      </c>
      <c r="AM837" s="16" t="s">
        <v>1139</v>
      </c>
      <c r="AN837" s="16">
        <f>COUNTIF(RawData[Customer_ID],AL837)</f>
        <v>3</v>
      </c>
      <c r="AO837" s="16">
        <f>SUMIF(RawData[Customer_ID],AL837,RawData[Quantity])</f>
        <v>12</v>
      </c>
      <c r="AP837" s="21">
        <f>SUMIF(RawData[Customer_ID],AL837,RawData[Revenue])</f>
        <v>88933.139999999985</v>
      </c>
      <c r="AQ837" s="21">
        <f>SUMIF(RawData[Customer_ID],AL837,RawData[Profit])</f>
        <v>22765.519999999997</v>
      </c>
      <c r="AR837" s="16">
        <f t="shared" si="52"/>
        <v>29644.379999999994</v>
      </c>
      <c r="AS837" s="16" t="str">
        <f t="shared" si="53"/>
        <v>Occasional</v>
      </c>
    </row>
    <row r="838" spans="38:45" x14ac:dyDescent="0.25">
      <c r="AL838" s="16" t="s">
        <v>1841</v>
      </c>
      <c r="AM838" s="16" t="s">
        <v>1140</v>
      </c>
      <c r="AN838" s="16">
        <f>COUNTIF(RawData[Customer_ID],AL838)</f>
        <v>4</v>
      </c>
      <c r="AO838" s="16">
        <f>SUMIF(RawData[Customer_ID],AL838,RawData[Quantity])</f>
        <v>6</v>
      </c>
      <c r="AP838" s="21">
        <f>SUMIF(RawData[Customer_ID],AL838,RawData[Revenue])</f>
        <v>63471.319999999992</v>
      </c>
      <c r="AQ838" s="21">
        <f>SUMIF(RawData[Customer_ID],AL838,RawData[Profit])</f>
        <v>9441.1799999999967</v>
      </c>
      <c r="AR838" s="16">
        <f t="shared" si="52"/>
        <v>15867.829999999998</v>
      </c>
      <c r="AS838" s="16" t="str">
        <f t="shared" si="53"/>
        <v>Occasional</v>
      </c>
    </row>
    <row r="839" spans="38:45" x14ac:dyDescent="0.25">
      <c r="AL839" s="16" t="s">
        <v>1361</v>
      </c>
      <c r="AM839" s="16" t="s">
        <v>1141</v>
      </c>
      <c r="AN839" s="16">
        <f>COUNTIF(RawData[Customer_ID],AL839)</f>
        <v>4</v>
      </c>
      <c r="AO839" s="16">
        <f>SUMIF(RawData[Customer_ID],AL839,RawData[Quantity])</f>
        <v>12</v>
      </c>
      <c r="AP839" s="21">
        <f>SUMIF(RawData[Customer_ID],AL839,RawData[Revenue])</f>
        <v>214054.28999999998</v>
      </c>
      <c r="AQ839" s="21">
        <f>SUMIF(RawData[Customer_ID],AL839,RawData[Profit])</f>
        <v>29550.929999999986</v>
      </c>
      <c r="AR839" s="16">
        <f t="shared" si="52"/>
        <v>53513.572499999995</v>
      </c>
      <c r="AS839" s="16" t="str">
        <f t="shared" si="53"/>
        <v>Occasional</v>
      </c>
    </row>
    <row r="840" spans="38:45" x14ac:dyDescent="0.25">
      <c r="AL840" s="16" t="s">
        <v>1868</v>
      </c>
      <c r="AM840" s="16" t="s">
        <v>1123</v>
      </c>
      <c r="AN840" s="16">
        <f>COUNTIF(RawData[Customer_ID],AL840)</f>
        <v>3</v>
      </c>
      <c r="AO840" s="16">
        <f>SUMIF(RawData[Customer_ID],AL840,RawData[Quantity])</f>
        <v>10</v>
      </c>
      <c r="AP840" s="21">
        <f>SUMIF(RawData[Customer_ID],AL840,RawData[Revenue])</f>
        <v>94781.5</v>
      </c>
      <c r="AQ840" s="21">
        <f>SUMIF(RawData[Customer_ID],AL840,RawData[Profit])</f>
        <v>18233.299999999992</v>
      </c>
      <c r="AR840" s="16">
        <f t="shared" si="52"/>
        <v>31593.833333333332</v>
      </c>
      <c r="AS840" s="16" t="str">
        <f t="shared" si="53"/>
        <v>Occasional</v>
      </c>
    </row>
    <row r="841" spans="38:45" x14ac:dyDescent="0.25">
      <c r="AL841" s="16" t="s">
        <v>5109</v>
      </c>
      <c r="AM841" s="16" t="s">
        <v>1142</v>
      </c>
      <c r="AN841" s="16">
        <f>COUNTIF(RawData[Customer_ID],AL841)</f>
        <v>1</v>
      </c>
      <c r="AO841" s="16">
        <f>SUMIF(RawData[Customer_ID],AL841,RawData[Quantity])</f>
        <v>2</v>
      </c>
      <c r="AP841" s="21">
        <f>SUMIF(RawData[Customer_ID],AL841,RawData[Revenue])</f>
        <v>21118.240000000002</v>
      </c>
      <c r="AQ841" s="21">
        <f>SUMIF(RawData[Customer_ID],AL841,RawData[Profit])</f>
        <v>3119.7400000000016</v>
      </c>
      <c r="AR841" s="16">
        <f t="shared" si="52"/>
        <v>21118.240000000002</v>
      </c>
      <c r="AS841" s="16" t="str">
        <f t="shared" si="53"/>
        <v>One-time</v>
      </c>
    </row>
    <row r="842" spans="38:45" x14ac:dyDescent="0.25">
      <c r="AL842" s="16" t="s">
        <v>1776</v>
      </c>
      <c r="AM842" s="16" t="s">
        <v>550</v>
      </c>
      <c r="AN842" s="16">
        <f>COUNTIF(RawData[Customer_ID],AL842)</f>
        <v>4</v>
      </c>
      <c r="AO842" s="16">
        <f>SUMIF(RawData[Customer_ID],AL842,RawData[Quantity])</f>
        <v>8</v>
      </c>
      <c r="AP842" s="21">
        <f>SUMIF(RawData[Customer_ID],AL842,RawData[Revenue])</f>
        <v>91159.3</v>
      </c>
      <c r="AQ842" s="21">
        <f>SUMIF(RawData[Customer_ID],AL842,RawData[Profit])</f>
        <v>6301.550000000002</v>
      </c>
      <c r="AR842" s="16">
        <f t="shared" si="52"/>
        <v>22789.825000000001</v>
      </c>
      <c r="AS842" s="16" t="str">
        <f t="shared" si="53"/>
        <v>Occasional</v>
      </c>
    </row>
    <row r="843" spans="38:45" x14ac:dyDescent="0.25">
      <c r="AL843" s="16" t="s">
        <v>1890</v>
      </c>
      <c r="AM843" s="16" t="s">
        <v>926</v>
      </c>
      <c r="AN843" s="16">
        <f>COUNTIF(RawData[Customer_ID],AL843)</f>
        <v>2</v>
      </c>
      <c r="AO843" s="16">
        <f>SUMIF(RawData[Customer_ID],AL843,RawData[Quantity])</f>
        <v>5</v>
      </c>
      <c r="AP843" s="21">
        <f>SUMIF(RawData[Customer_ID],AL843,RawData[Revenue])</f>
        <v>185757.07</v>
      </c>
      <c r="AQ843" s="21">
        <f>SUMIF(RawData[Customer_ID],AL843,RawData[Profit])</f>
        <v>26097.89</v>
      </c>
      <c r="AR843" s="16">
        <f t="shared" si="52"/>
        <v>92878.535000000003</v>
      </c>
      <c r="AS843" s="16" t="str">
        <f t="shared" si="53"/>
        <v>Occasional</v>
      </c>
    </row>
    <row r="844" spans="38:45" x14ac:dyDescent="0.25">
      <c r="AL844" s="16" t="s">
        <v>2029</v>
      </c>
      <c r="AM844" s="16" t="s">
        <v>1143</v>
      </c>
      <c r="AN844" s="16">
        <f>COUNTIF(RawData[Customer_ID],AL844)</f>
        <v>2</v>
      </c>
      <c r="AO844" s="16">
        <f>SUMIF(RawData[Customer_ID],AL844,RawData[Quantity])</f>
        <v>7</v>
      </c>
      <c r="AP844" s="21">
        <f>SUMIF(RawData[Customer_ID],AL844,RawData[Revenue])</f>
        <v>103633.35999999999</v>
      </c>
      <c r="AQ844" s="21">
        <f>SUMIF(RawData[Customer_ID],AL844,RawData[Profit])</f>
        <v>15313.71</v>
      </c>
      <c r="AR844" s="16">
        <f t="shared" si="52"/>
        <v>51816.679999999993</v>
      </c>
      <c r="AS844" s="16" t="str">
        <f t="shared" si="53"/>
        <v>Occasional</v>
      </c>
    </row>
    <row r="845" spans="38:45" x14ac:dyDescent="0.25">
      <c r="AL845" s="16" t="s">
        <v>3162</v>
      </c>
      <c r="AM845" s="16" t="s">
        <v>1144</v>
      </c>
      <c r="AN845" s="16">
        <f>COUNTIF(RawData[Customer_ID],AL845)</f>
        <v>3</v>
      </c>
      <c r="AO845" s="16">
        <f>SUMIF(RawData[Customer_ID],AL845,RawData[Quantity])</f>
        <v>11</v>
      </c>
      <c r="AP845" s="21">
        <f>SUMIF(RawData[Customer_ID],AL845,RawData[Revenue])</f>
        <v>318110.7</v>
      </c>
      <c r="AQ845" s="21">
        <f>SUMIF(RawData[Customer_ID],AL845,RawData[Profit])</f>
        <v>47536.950000000019</v>
      </c>
      <c r="AR845" s="16">
        <f t="shared" si="52"/>
        <v>106036.90000000001</v>
      </c>
      <c r="AS845" s="16" t="str">
        <f t="shared" si="53"/>
        <v>Occasional</v>
      </c>
    </row>
    <row r="846" spans="38:45" x14ac:dyDescent="0.25">
      <c r="AL846" s="16" t="s">
        <v>5180</v>
      </c>
      <c r="AM846" s="16" t="s">
        <v>1145</v>
      </c>
      <c r="AN846" s="16">
        <f>COUNTIF(RawData[Customer_ID],AL846)</f>
        <v>0</v>
      </c>
      <c r="AO846" s="16">
        <f>SUMIF(RawData[Customer_ID],AL846,RawData[Quantity])</f>
        <v>0</v>
      </c>
      <c r="AP846" s="21">
        <f>SUMIF(RawData[Customer_ID],AL846,RawData[Revenue])</f>
        <v>0</v>
      </c>
      <c r="AQ846" s="21">
        <f>SUMIF(RawData[Customer_ID],AL846,RawData[Profit])</f>
        <v>0</v>
      </c>
      <c r="AR846" s="16">
        <f t="shared" si="52"/>
        <v>0</v>
      </c>
      <c r="AS846" s="16" t="str">
        <f t="shared" si="53"/>
        <v>Occasional</v>
      </c>
    </row>
    <row r="847" spans="38:45" x14ac:dyDescent="0.25">
      <c r="AL847" s="16" t="s">
        <v>2407</v>
      </c>
      <c r="AM847" s="16" t="s">
        <v>1146</v>
      </c>
      <c r="AN847" s="16">
        <f>COUNTIF(RawData[Customer_ID],AL847)</f>
        <v>3</v>
      </c>
      <c r="AO847" s="16">
        <f>SUMIF(RawData[Customer_ID],AL847,RawData[Quantity])</f>
        <v>7</v>
      </c>
      <c r="AP847" s="21">
        <f>SUMIF(RawData[Customer_ID],AL847,RawData[Revenue])</f>
        <v>265143.45</v>
      </c>
      <c r="AQ847" s="21">
        <f>SUMIF(RawData[Customer_ID],AL847,RawData[Profit])</f>
        <v>42438.969999999972</v>
      </c>
      <c r="AR847" s="16">
        <f t="shared" si="52"/>
        <v>88381.150000000009</v>
      </c>
      <c r="AS847" s="16" t="str">
        <f t="shared" si="53"/>
        <v>Occasional</v>
      </c>
    </row>
    <row r="848" spans="38:45" x14ac:dyDescent="0.25">
      <c r="AL848" s="16" t="s">
        <v>4601</v>
      </c>
      <c r="AM848" s="16" t="s">
        <v>1147</v>
      </c>
      <c r="AN848" s="16">
        <f>COUNTIF(RawData[Customer_ID],AL848)</f>
        <v>7</v>
      </c>
      <c r="AO848" s="16">
        <f>SUMIF(RawData[Customer_ID],AL848,RawData[Quantity])</f>
        <v>23</v>
      </c>
      <c r="AP848" s="21">
        <f>SUMIF(RawData[Customer_ID],AL848,RawData[Revenue])</f>
        <v>586628.80000000005</v>
      </c>
      <c r="AQ848" s="21">
        <f>SUMIF(RawData[Customer_ID],AL848,RawData[Profit])</f>
        <v>89714.140000000014</v>
      </c>
      <c r="AR848" s="16">
        <f t="shared" si="52"/>
        <v>83804.114285714299</v>
      </c>
      <c r="AS848" s="16" t="str">
        <f t="shared" si="53"/>
        <v>Loyal</v>
      </c>
    </row>
    <row r="849" spans="38:45" x14ac:dyDescent="0.25">
      <c r="AL849" s="16" t="s">
        <v>1436</v>
      </c>
      <c r="AM849" s="16" t="s">
        <v>1148</v>
      </c>
      <c r="AN849" s="16">
        <f>COUNTIF(RawData[Customer_ID],AL849)</f>
        <v>5</v>
      </c>
      <c r="AO849" s="16">
        <f>SUMIF(RawData[Customer_ID],AL849,RawData[Quantity])</f>
        <v>20</v>
      </c>
      <c r="AP849" s="21">
        <f>SUMIF(RawData[Customer_ID],AL849,RawData[Revenue])</f>
        <v>59165.4</v>
      </c>
      <c r="AQ849" s="21">
        <f>SUMIF(RawData[Customer_ID],AL849,RawData[Profit])</f>
        <v>16813.399999999998</v>
      </c>
      <c r="AR849" s="16">
        <f t="shared" si="52"/>
        <v>11833.08</v>
      </c>
      <c r="AS849" s="16" t="str">
        <f t="shared" si="53"/>
        <v>Loyal</v>
      </c>
    </row>
    <row r="850" spans="38:45" x14ac:dyDescent="0.25">
      <c r="AL850" s="16" t="s">
        <v>1661</v>
      </c>
      <c r="AM850" s="16" t="s">
        <v>1149</v>
      </c>
      <c r="AN850" s="16">
        <f>COUNTIF(RawData[Customer_ID],AL850)</f>
        <v>2</v>
      </c>
      <c r="AO850" s="16">
        <f>SUMIF(RawData[Customer_ID],AL850,RawData[Quantity])</f>
        <v>6</v>
      </c>
      <c r="AP850" s="21">
        <f>SUMIF(RawData[Customer_ID],AL850,RawData[Revenue])</f>
        <v>65454.36</v>
      </c>
      <c r="AQ850" s="21">
        <f>SUMIF(RawData[Customer_ID],AL850,RawData[Profit])</f>
        <v>8249.0999999999985</v>
      </c>
      <c r="AR850" s="16">
        <f t="shared" si="52"/>
        <v>32727.18</v>
      </c>
      <c r="AS850" s="16" t="str">
        <f t="shared" si="53"/>
        <v>Occasional</v>
      </c>
    </row>
    <row r="851" spans="38:45" x14ac:dyDescent="0.25">
      <c r="AL851" s="16" t="s">
        <v>2279</v>
      </c>
      <c r="AM851" s="16" t="s">
        <v>1150</v>
      </c>
      <c r="AN851" s="16">
        <f>COUNTIF(RawData[Customer_ID],AL851)</f>
        <v>8</v>
      </c>
      <c r="AO851" s="16">
        <f>SUMIF(RawData[Customer_ID],AL851,RawData[Quantity])</f>
        <v>16</v>
      </c>
      <c r="AP851" s="21">
        <f>SUMIF(RawData[Customer_ID],AL851,RawData[Revenue])</f>
        <v>138544.62</v>
      </c>
      <c r="AQ851" s="21">
        <f>SUMIF(RawData[Customer_ID],AL851,RawData[Profit])</f>
        <v>14729.049999999994</v>
      </c>
      <c r="AR851" s="16">
        <f t="shared" si="52"/>
        <v>17318.077499999999</v>
      </c>
      <c r="AS851" s="16" t="str">
        <f t="shared" si="53"/>
        <v>Loyal</v>
      </c>
    </row>
    <row r="852" spans="38:45" x14ac:dyDescent="0.25">
      <c r="AL852" s="16" t="s">
        <v>2322</v>
      </c>
      <c r="AM852" s="16" t="s">
        <v>1151</v>
      </c>
      <c r="AN852" s="16">
        <f>COUNTIF(RawData[Customer_ID],AL852)</f>
        <v>2</v>
      </c>
      <c r="AO852" s="16">
        <f>SUMIF(RawData[Customer_ID],AL852,RawData[Quantity])</f>
        <v>5</v>
      </c>
      <c r="AP852" s="21">
        <f>SUMIF(RawData[Customer_ID],AL852,RawData[Revenue])</f>
        <v>129450.26999999999</v>
      </c>
      <c r="AQ852" s="21">
        <f>SUMIF(RawData[Customer_ID],AL852,RawData[Profit])</f>
        <v>18814.469999999994</v>
      </c>
      <c r="AR852" s="16">
        <f t="shared" si="52"/>
        <v>64725.134999999995</v>
      </c>
      <c r="AS852" s="16" t="str">
        <f t="shared" si="53"/>
        <v>Occasional</v>
      </c>
    </row>
    <row r="853" spans="38:45" x14ac:dyDescent="0.25">
      <c r="AL853" s="16" t="s">
        <v>1304</v>
      </c>
      <c r="AM853" s="16" t="s">
        <v>1152</v>
      </c>
      <c r="AN853" s="16">
        <f>COUNTIF(RawData[Customer_ID],AL853)</f>
        <v>3</v>
      </c>
      <c r="AO853" s="16">
        <f>SUMIF(RawData[Customer_ID],AL853,RawData[Quantity])</f>
        <v>8</v>
      </c>
      <c r="AP853" s="21">
        <f>SUMIF(RawData[Customer_ID],AL853,RawData[Revenue])</f>
        <v>35679.5</v>
      </c>
      <c r="AQ853" s="21">
        <f>SUMIF(RawData[Customer_ID],AL853,RawData[Profit])</f>
        <v>2222.5</v>
      </c>
      <c r="AR853" s="16">
        <f t="shared" si="52"/>
        <v>11893.166666666666</v>
      </c>
      <c r="AS853" s="16" t="str">
        <f t="shared" si="53"/>
        <v>Occasional</v>
      </c>
    </row>
    <row r="854" spans="38:45" x14ac:dyDescent="0.25">
      <c r="AL854" s="16" t="s">
        <v>1396</v>
      </c>
      <c r="AM854" s="16" t="s">
        <v>1153</v>
      </c>
      <c r="AN854" s="16">
        <f>COUNTIF(RawData[Customer_ID],AL854)</f>
        <v>6</v>
      </c>
      <c r="AO854" s="16">
        <f>SUMIF(RawData[Customer_ID],AL854,RawData[Quantity])</f>
        <v>24</v>
      </c>
      <c r="AP854" s="21">
        <f>SUMIF(RawData[Customer_ID],AL854,RawData[Revenue])</f>
        <v>377121.64</v>
      </c>
      <c r="AQ854" s="21">
        <f>SUMIF(RawData[Customer_ID],AL854,RawData[Profit])</f>
        <v>36060.380000000005</v>
      </c>
      <c r="AR854" s="16">
        <f t="shared" si="52"/>
        <v>62853.606666666667</v>
      </c>
      <c r="AS854" s="16" t="str">
        <f t="shared" si="53"/>
        <v>Loyal</v>
      </c>
    </row>
    <row r="855" spans="38:45" x14ac:dyDescent="0.25">
      <c r="AL855" s="16" t="s">
        <v>1310</v>
      </c>
      <c r="AM855" s="16" t="s">
        <v>1154</v>
      </c>
      <c r="AN855" s="16">
        <f>COUNTIF(RawData[Customer_ID],AL855)</f>
        <v>4</v>
      </c>
      <c r="AO855" s="16">
        <f>SUMIF(RawData[Customer_ID],AL855,RawData[Quantity])</f>
        <v>11</v>
      </c>
      <c r="AP855" s="21">
        <f>SUMIF(RawData[Customer_ID],AL855,RawData[Revenue])</f>
        <v>44764.87</v>
      </c>
      <c r="AQ855" s="21">
        <f>SUMIF(RawData[Customer_ID],AL855,RawData[Profit])</f>
        <v>7864.970000000003</v>
      </c>
      <c r="AR855" s="16">
        <f t="shared" si="52"/>
        <v>11191.217500000001</v>
      </c>
      <c r="AS855" s="16" t="str">
        <f t="shared" si="53"/>
        <v>Occasional</v>
      </c>
    </row>
    <row r="856" spans="38:45" x14ac:dyDescent="0.25">
      <c r="AL856" s="16" t="s">
        <v>3442</v>
      </c>
      <c r="AM856" s="16" t="s">
        <v>1155</v>
      </c>
      <c r="AN856" s="16">
        <f>COUNTIF(RawData[Customer_ID],AL856)</f>
        <v>5</v>
      </c>
      <c r="AO856" s="16">
        <f>SUMIF(RawData[Customer_ID],AL856,RawData[Quantity])</f>
        <v>17</v>
      </c>
      <c r="AP856" s="21">
        <f>SUMIF(RawData[Customer_ID],AL856,RawData[Revenue])</f>
        <v>317789.59000000003</v>
      </c>
      <c r="AQ856" s="21">
        <f>SUMIF(RawData[Customer_ID],AL856,RawData[Profit])</f>
        <v>42411.190000000031</v>
      </c>
      <c r="AR856" s="16">
        <f t="shared" si="52"/>
        <v>63557.918000000005</v>
      </c>
      <c r="AS856" s="16" t="str">
        <f t="shared" si="53"/>
        <v>Loyal</v>
      </c>
    </row>
    <row r="857" spans="38:45" x14ac:dyDescent="0.25">
      <c r="AL857" s="16" t="s">
        <v>1753</v>
      </c>
      <c r="AM857" s="16" t="s">
        <v>962</v>
      </c>
      <c r="AN857" s="16">
        <f>COUNTIF(RawData[Customer_ID],AL857)</f>
        <v>3</v>
      </c>
      <c r="AO857" s="16">
        <f>SUMIF(RawData[Customer_ID],AL857,RawData[Quantity])</f>
        <v>11</v>
      </c>
      <c r="AP857" s="21">
        <f>SUMIF(RawData[Customer_ID],AL857,RawData[Revenue])</f>
        <v>94171.5</v>
      </c>
      <c r="AQ857" s="21">
        <f>SUMIF(RawData[Customer_ID],AL857,RawData[Profit])</f>
        <v>20614</v>
      </c>
      <c r="AR857" s="16">
        <f t="shared" si="52"/>
        <v>31390.5</v>
      </c>
      <c r="AS857" s="16" t="str">
        <f t="shared" si="53"/>
        <v>Occasional</v>
      </c>
    </row>
    <row r="858" spans="38:45" x14ac:dyDescent="0.25">
      <c r="AL858" s="16" t="s">
        <v>1259</v>
      </c>
      <c r="AM858" s="16" t="s">
        <v>1156</v>
      </c>
      <c r="AN858" s="16">
        <f>COUNTIF(RawData[Customer_ID],AL858)</f>
        <v>6</v>
      </c>
      <c r="AO858" s="16">
        <f>SUMIF(RawData[Customer_ID],AL858,RawData[Quantity])</f>
        <v>14</v>
      </c>
      <c r="AP858" s="21">
        <f>SUMIF(RawData[Customer_ID],AL858,RawData[Revenue])</f>
        <v>250561.35</v>
      </c>
      <c r="AQ858" s="21">
        <f>SUMIF(RawData[Customer_ID],AL858,RawData[Profit])</f>
        <v>33609.689999999981</v>
      </c>
      <c r="AR858" s="16">
        <f t="shared" si="52"/>
        <v>41760.224999999999</v>
      </c>
      <c r="AS858" s="16" t="str">
        <f t="shared" si="53"/>
        <v>Loyal</v>
      </c>
    </row>
    <row r="859" spans="38:45" x14ac:dyDescent="0.25">
      <c r="AL859" s="16" t="s">
        <v>1862</v>
      </c>
      <c r="AM859" s="16" t="s">
        <v>1157</v>
      </c>
      <c r="AN859" s="16">
        <f>COUNTIF(RawData[Customer_ID],AL859)</f>
        <v>4</v>
      </c>
      <c r="AO859" s="16">
        <f>SUMIF(RawData[Customer_ID],AL859,RawData[Quantity])</f>
        <v>12</v>
      </c>
      <c r="AP859" s="21">
        <f>SUMIF(RawData[Customer_ID],AL859,RawData[Revenue])</f>
        <v>204611.5</v>
      </c>
      <c r="AQ859" s="21">
        <f>SUMIF(RawData[Customer_ID],AL859,RawData[Profit])</f>
        <v>37199.189999999973</v>
      </c>
      <c r="AR859" s="16">
        <f t="shared" si="52"/>
        <v>51152.875</v>
      </c>
      <c r="AS859" s="16" t="str">
        <f t="shared" si="53"/>
        <v>Occasional</v>
      </c>
    </row>
    <row r="860" spans="38:45" x14ac:dyDescent="0.25">
      <c r="AL860" s="16" t="s">
        <v>1374</v>
      </c>
      <c r="AM860" s="16" t="s">
        <v>1158</v>
      </c>
      <c r="AN860" s="16">
        <f>COUNTIF(RawData[Customer_ID],AL860)</f>
        <v>2</v>
      </c>
      <c r="AO860" s="16">
        <f>SUMIF(RawData[Customer_ID],AL860,RawData[Quantity])</f>
        <v>5</v>
      </c>
      <c r="AP860" s="21">
        <f>SUMIF(RawData[Customer_ID],AL860,RawData[Revenue])</f>
        <v>141360.07</v>
      </c>
      <c r="AQ860" s="21">
        <f>SUMIF(RawData[Customer_ID],AL860,RawData[Profit])</f>
        <v>12280.949999999999</v>
      </c>
      <c r="AR860" s="16">
        <f t="shared" si="52"/>
        <v>70680.035000000003</v>
      </c>
      <c r="AS860" s="16" t="str">
        <f t="shared" si="53"/>
        <v>Occasional</v>
      </c>
    </row>
    <row r="861" spans="38:45" x14ac:dyDescent="0.25">
      <c r="AL861" s="16" t="s">
        <v>3312</v>
      </c>
      <c r="AM861" s="16" t="s">
        <v>1131</v>
      </c>
      <c r="AN861" s="16">
        <f>COUNTIF(RawData[Customer_ID],AL861)</f>
        <v>3</v>
      </c>
      <c r="AO861" s="16">
        <f>SUMIF(RawData[Customer_ID],AL861,RawData[Quantity])</f>
        <v>10</v>
      </c>
      <c r="AP861" s="21">
        <f>SUMIF(RawData[Customer_ID],AL861,RawData[Revenue])</f>
        <v>20869.09</v>
      </c>
      <c r="AQ861" s="21">
        <f>SUMIF(RawData[Customer_ID],AL861,RawData[Profit])</f>
        <v>4299.8899999999994</v>
      </c>
      <c r="AR861" s="16">
        <f t="shared" si="52"/>
        <v>6956.3633333333337</v>
      </c>
      <c r="AS861" s="16" t="str">
        <f t="shared" si="53"/>
        <v>Occasional</v>
      </c>
    </row>
    <row r="862" spans="38:45" x14ac:dyDescent="0.25">
      <c r="AL862" s="16" t="s">
        <v>5085</v>
      </c>
      <c r="AM862" s="16" t="s">
        <v>1159</v>
      </c>
      <c r="AN862" s="16">
        <f>COUNTIF(RawData[Customer_ID],AL862)</f>
        <v>5</v>
      </c>
      <c r="AO862" s="16">
        <f>SUMIF(RawData[Customer_ID],AL862,RawData[Quantity])</f>
        <v>15</v>
      </c>
      <c r="AP862" s="21">
        <f>SUMIF(RawData[Customer_ID],AL862,RawData[Revenue])</f>
        <v>258403.37</v>
      </c>
      <c r="AQ862" s="21">
        <f>SUMIF(RawData[Customer_ID],AL862,RawData[Profit])</f>
        <v>28536.720000000005</v>
      </c>
      <c r="AR862" s="16">
        <f t="shared" si="52"/>
        <v>51680.673999999999</v>
      </c>
      <c r="AS862" s="16" t="str">
        <f t="shared" si="53"/>
        <v>Loyal</v>
      </c>
    </row>
    <row r="863" spans="38:45" x14ac:dyDescent="0.25">
      <c r="AL863" s="16" t="s">
        <v>2219</v>
      </c>
      <c r="AM863" s="16" t="s">
        <v>1160</v>
      </c>
      <c r="AN863" s="16">
        <f>COUNTIF(RawData[Customer_ID],AL863)</f>
        <v>7</v>
      </c>
      <c r="AO863" s="16">
        <f>SUMIF(RawData[Customer_ID],AL863,RawData[Quantity])</f>
        <v>17</v>
      </c>
      <c r="AP863" s="21">
        <f>SUMIF(RawData[Customer_ID],AL863,RawData[Revenue])</f>
        <v>81194.73</v>
      </c>
      <c r="AQ863" s="21">
        <f>SUMIF(RawData[Customer_ID],AL863,RawData[Profit])</f>
        <v>15320.830000000005</v>
      </c>
      <c r="AR863" s="16">
        <f t="shared" si="52"/>
        <v>11599.247142857143</v>
      </c>
      <c r="AS863" s="16" t="str">
        <f t="shared" si="53"/>
        <v>Loyal</v>
      </c>
    </row>
    <row r="864" spans="38:45" x14ac:dyDescent="0.25">
      <c r="AL864" s="16" t="s">
        <v>2199</v>
      </c>
      <c r="AM864" s="16" t="s">
        <v>1161</v>
      </c>
      <c r="AN864" s="16">
        <f>COUNTIF(RawData[Customer_ID],AL864)</f>
        <v>4</v>
      </c>
      <c r="AO864" s="16">
        <f>SUMIF(RawData[Customer_ID],AL864,RawData[Quantity])</f>
        <v>6</v>
      </c>
      <c r="AP864" s="21">
        <f>SUMIF(RawData[Customer_ID],AL864,RawData[Revenue])</f>
        <v>50102.280000000006</v>
      </c>
      <c r="AQ864" s="21">
        <f>SUMIF(RawData[Customer_ID],AL864,RawData[Profit])</f>
        <v>5834.3800000000065</v>
      </c>
      <c r="AR864" s="16">
        <f t="shared" si="52"/>
        <v>12525.570000000002</v>
      </c>
      <c r="AS864" s="16" t="str">
        <f t="shared" si="53"/>
        <v>Occasional</v>
      </c>
    </row>
    <row r="865" spans="38:45" x14ac:dyDescent="0.25">
      <c r="AL865" s="16" t="s">
        <v>2383</v>
      </c>
      <c r="AM865" s="16" t="s">
        <v>1162</v>
      </c>
      <c r="AN865" s="16">
        <f>COUNTIF(RawData[Customer_ID],AL865)</f>
        <v>3</v>
      </c>
      <c r="AO865" s="16">
        <f>SUMIF(RawData[Customer_ID],AL865,RawData[Quantity])</f>
        <v>8</v>
      </c>
      <c r="AP865" s="21">
        <f>SUMIF(RawData[Customer_ID],AL865,RawData[Revenue])</f>
        <v>159836.04</v>
      </c>
      <c r="AQ865" s="21">
        <f>SUMIF(RawData[Customer_ID],AL865,RawData[Profit])</f>
        <v>19079.819999999996</v>
      </c>
      <c r="AR865" s="16">
        <f t="shared" si="52"/>
        <v>53278.68</v>
      </c>
      <c r="AS865" s="16" t="str">
        <f t="shared" si="53"/>
        <v>Occasional</v>
      </c>
    </row>
    <row r="866" spans="38:45" x14ac:dyDescent="0.25">
      <c r="AL866" s="16" t="s">
        <v>2733</v>
      </c>
      <c r="AM866" s="16" t="s">
        <v>1163</v>
      </c>
      <c r="AN866" s="16">
        <f>COUNTIF(RawData[Customer_ID],AL866)</f>
        <v>3</v>
      </c>
      <c r="AO866" s="16">
        <f>SUMIF(RawData[Customer_ID],AL866,RawData[Quantity])</f>
        <v>7</v>
      </c>
      <c r="AP866" s="21">
        <f>SUMIF(RawData[Customer_ID],AL866,RawData[Revenue])</f>
        <v>52603.08</v>
      </c>
      <c r="AQ866" s="21">
        <f>SUMIF(RawData[Customer_ID],AL866,RawData[Profit])</f>
        <v>12405.8</v>
      </c>
      <c r="AR866" s="16">
        <f t="shared" si="52"/>
        <v>17534.36</v>
      </c>
      <c r="AS866" s="16" t="str">
        <f t="shared" si="53"/>
        <v>Occasional</v>
      </c>
    </row>
    <row r="867" spans="38:45" x14ac:dyDescent="0.25">
      <c r="AL867" s="16" t="s">
        <v>1644</v>
      </c>
      <c r="AM867" s="16" t="s">
        <v>1164</v>
      </c>
      <c r="AN867" s="16">
        <f>COUNTIF(RawData[Customer_ID],AL867)</f>
        <v>3</v>
      </c>
      <c r="AO867" s="16">
        <f>SUMIF(RawData[Customer_ID],AL867,RawData[Quantity])</f>
        <v>10</v>
      </c>
      <c r="AP867" s="21">
        <f>SUMIF(RawData[Customer_ID],AL867,RawData[Revenue])</f>
        <v>176795.31999999998</v>
      </c>
      <c r="AQ867" s="21">
        <f>SUMIF(RawData[Customer_ID],AL867,RawData[Profit])</f>
        <v>29198.28</v>
      </c>
      <c r="AR867" s="16">
        <f t="shared" si="52"/>
        <v>58931.773333333324</v>
      </c>
      <c r="AS867" s="16" t="str">
        <f t="shared" si="53"/>
        <v>Occasional</v>
      </c>
    </row>
    <row r="868" spans="38:45" x14ac:dyDescent="0.25">
      <c r="AL868" s="16" t="s">
        <v>2294</v>
      </c>
      <c r="AM868" s="16" t="s">
        <v>1165</v>
      </c>
      <c r="AN868" s="16">
        <f>COUNTIF(RawData[Customer_ID],AL868)</f>
        <v>3</v>
      </c>
      <c r="AO868" s="16">
        <f>SUMIF(RawData[Customer_ID],AL868,RawData[Quantity])</f>
        <v>9</v>
      </c>
      <c r="AP868" s="21">
        <f>SUMIF(RawData[Customer_ID],AL868,RawData[Revenue])</f>
        <v>97118.499999999985</v>
      </c>
      <c r="AQ868" s="21">
        <f>SUMIF(RawData[Customer_ID],AL868,RawData[Profit])</f>
        <v>7260.2999999999829</v>
      </c>
      <c r="AR868" s="16">
        <f t="shared" si="52"/>
        <v>32372.833333333328</v>
      </c>
      <c r="AS868" s="16" t="str">
        <f t="shared" si="53"/>
        <v>Occasional</v>
      </c>
    </row>
    <row r="869" spans="38:45" x14ac:dyDescent="0.25">
      <c r="AL869" s="16" t="s">
        <v>3025</v>
      </c>
      <c r="AM869" s="16" t="s">
        <v>1166</v>
      </c>
      <c r="AN869" s="16">
        <f>COUNTIF(RawData[Customer_ID],AL869)</f>
        <v>3</v>
      </c>
      <c r="AO869" s="16">
        <f>SUMIF(RawData[Customer_ID],AL869,RawData[Quantity])</f>
        <v>9</v>
      </c>
      <c r="AP869" s="21">
        <f>SUMIF(RawData[Customer_ID],AL869,RawData[Revenue])</f>
        <v>103921.89</v>
      </c>
      <c r="AQ869" s="21">
        <f>SUMIF(RawData[Customer_ID],AL869,RawData[Profit])</f>
        <v>17976.689999999988</v>
      </c>
      <c r="AR869" s="16">
        <f t="shared" si="52"/>
        <v>34640.629999999997</v>
      </c>
      <c r="AS869" s="16" t="str">
        <f t="shared" si="53"/>
        <v>Occasional</v>
      </c>
    </row>
    <row r="870" spans="38:45" x14ac:dyDescent="0.25">
      <c r="AL870" s="16" t="s">
        <v>3961</v>
      </c>
      <c r="AM870" s="16" t="s">
        <v>1086</v>
      </c>
      <c r="AN870" s="16">
        <f>COUNTIF(RawData[Customer_ID],AL870)</f>
        <v>4</v>
      </c>
      <c r="AO870" s="16">
        <f>SUMIF(RawData[Customer_ID],AL870,RawData[Quantity])</f>
        <v>9</v>
      </c>
      <c r="AP870" s="21">
        <f>SUMIF(RawData[Customer_ID],AL870,RawData[Revenue])</f>
        <v>61079.77</v>
      </c>
      <c r="AQ870" s="21">
        <f>SUMIF(RawData[Customer_ID],AL870,RawData[Profit])</f>
        <v>6979.6900000000032</v>
      </c>
      <c r="AR870" s="16">
        <f t="shared" si="52"/>
        <v>15269.942499999999</v>
      </c>
      <c r="AS870" s="16" t="str">
        <f t="shared" si="53"/>
        <v>Occasional</v>
      </c>
    </row>
    <row r="871" spans="38:45" x14ac:dyDescent="0.25">
      <c r="AL871" s="16" t="s">
        <v>1903</v>
      </c>
      <c r="AM871" s="16" t="s">
        <v>1167</v>
      </c>
      <c r="AN871" s="16">
        <f>COUNTIF(RawData[Customer_ID],AL871)</f>
        <v>7</v>
      </c>
      <c r="AO871" s="16">
        <f>SUMIF(RawData[Customer_ID],AL871,RawData[Quantity])</f>
        <v>18</v>
      </c>
      <c r="AP871" s="21">
        <f>SUMIF(RawData[Customer_ID],AL871,RawData[Revenue])</f>
        <v>223756.61</v>
      </c>
      <c r="AQ871" s="21">
        <f>SUMIF(RawData[Customer_ID],AL871,RawData[Profit])</f>
        <v>34518.859999999993</v>
      </c>
      <c r="AR871" s="16">
        <f t="shared" si="52"/>
        <v>31965.23</v>
      </c>
      <c r="AS871" s="16" t="str">
        <f t="shared" si="53"/>
        <v>Loyal</v>
      </c>
    </row>
    <row r="872" spans="38:45" x14ac:dyDescent="0.25">
      <c r="AL872" s="16" t="s">
        <v>1511</v>
      </c>
      <c r="AM872" s="16" t="s">
        <v>1168</v>
      </c>
      <c r="AN872" s="16">
        <f>COUNTIF(RawData[Customer_ID],AL872)</f>
        <v>2</v>
      </c>
      <c r="AO872" s="16">
        <f>SUMIF(RawData[Customer_ID],AL872,RawData[Quantity])</f>
        <v>5</v>
      </c>
      <c r="AP872" s="21">
        <f>SUMIF(RawData[Customer_ID],AL872,RawData[Revenue])</f>
        <v>5808.7</v>
      </c>
      <c r="AQ872" s="21">
        <f>SUMIF(RawData[Customer_ID],AL872,RawData[Profit])</f>
        <v>1603.1999999999998</v>
      </c>
      <c r="AR872" s="16">
        <f t="shared" si="52"/>
        <v>2904.35</v>
      </c>
      <c r="AS872" s="16" t="str">
        <f t="shared" si="53"/>
        <v>Occasional</v>
      </c>
    </row>
    <row r="873" spans="38:45" x14ac:dyDescent="0.25">
      <c r="AL873" s="16" t="s">
        <v>5181</v>
      </c>
      <c r="AM873" s="16" t="s">
        <v>1169</v>
      </c>
      <c r="AN873" s="16">
        <f>COUNTIF(RawData[Customer_ID],AL873)</f>
        <v>0</v>
      </c>
      <c r="AO873" s="16">
        <f>SUMIF(RawData[Customer_ID],AL873,RawData[Quantity])</f>
        <v>0</v>
      </c>
      <c r="AP873" s="21">
        <f>SUMIF(RawData[Customer_ID],AL873,RawData[Revenue])</f>
        <v>0</v>
      </c>
      <c r="AQ873" s="21">
        <f>SUMIF(RawData[Customer_ID],AL873,RawData[Profit])</f>
        <v>0</v>
      </c>
      <c r="AR873" s="16">
        <f t="shared" si="52"/>
        <v>0</v>
      </c>
      <c r="AS873" s="16" t="str">
        <f t="shared" si="53"/>
        <v>Occasional</v>
      </c>
    </row>
    <row r="874" spans="38:45" x14ac:dyDescent="0.25">
      <c r="AL874" s="16" t="s">
        <v>2347</v>
      </c>
      <c r="AM874" s="16" t="s">
        <v>1170</v>
      </c>
      <c r="AN874" s="16">
        <f>COUNTIF(RawData[Customer_ID],AL874)</f>
        <v>1</v>
      </c>
      <c r="AO874" s="16">
        <f>SUMIF(RawData[Customer_ID],AL874,RawData[Quantity])</f>
        <v>2</v>
      </c>
      <c r="AP874" s="21">
        <f>SUMIF(RawData[Customer_ID],AL874,RawData[Revenue])</f>
        <v>1248</v>
      </c>
      <c r="AQ874" s="21">
        <f>SUMIF(RawData[Customer_ID],AL874,RawData[Profit])</f>
        <v>312</v>
      </c>
      <c r="AR874" s="16">
        <f t="shared" si="52"/>
        <v>1248</v>
      </c>
      <c r="AS874" s="16" t="str">
        <f t="shared" si="53"/>
        <v>One-time</v>
      </c>
    </row>
    <row r="875" spans="38:45" x14ac:dyDescent="0.25">
      <c r="AL875" s="16" t="s">
        <v>3226</v>
      </c>
      <c r="AM875" s="16" t="s">
        <v>1171</v>
      </c>
      <c r="AN875" s="16">
        <f>COUNTIF(RawData[Customer_ID],AL875)</f>
        <v>4</v>
      </c>
      <c r="AO875" s="16">
        <f>SUMIF(RawData[Customer_ID],AL875,RawData[Quantity])</f>
        <v>16</v>
      </c>
      <c r="AP875" s="21">
        <f>SUMIF(RawData[Customer_ID],AL875,RawData[Revenue])</f>
        <v>46568.29</v>
      </c>
      <c r="AQ875" s="21">
        <f>SUMIF(RawData[Customer_ID],AL875,RawData[Profit])</f>
        <v>12443.190000000004</v>
      </c>
      <c r="AR875" s="16">
        <f t="shared" si="52"/>
        <v>11642.0725</v>
      </c>
      <c r="AS875" s="16" t="str">
        <f t="shared" si="53"/>
        <v>Occasional</v>
      </c>
    </row>
    <row r="876" spans="38:45" x14ac:dyDescent="0.25">
      <c r="AL876" s="16" t="s">
        <v>1345</v>
      </c>
      <c r="AM876" s="16" t="s">
        <v>1172</v>
      </c>
      <c r="AN876" s="16">
        <f>COUNTIF(RawData[Customer_ID],AL876)</f>
        <v>2</v>
      </c>
      <c r="AO876" s="16">
        <f>SUMIF(RawData[Customer_ID],AL876,RawData[Quantity])</f>
        <v>6</v>
      </c>
      <c r="AP876" s="21">
        <f>SUMIF(RawData[Customer_ID],AL876,RawData[Revenue])</f>
        <v>211025.3</v>
      </c>
      <c r="AQ876" s="21">
        <f>SUMIF(RawData[Customer_ID],AL876,RawData[Profit])</f>
        <v>36679.199999999983</v>
      </c>
      <c r="AR876" s="16">
        <f t="shared" si="52"/>
        <v>105512.65</v>
      </c>
      <c r="AS876" s="16" t="str">
        <f t="shared" si="53"/>
        <v>Occasional</v>
      </c>
    </row>
    <row r="877" spans="38:45" x14ac:dyDescent="0.25">
      <c r="AL877" s="16" t="s">
        <v>4666</v>
      </c>
      <c r="AM877" s="16" t="s">
        <v>1173</v>
      </c>
      <c r="AN877" s="16">
        <f>COUNTIF(RawData[Customer_ID],AL877)</f>
        <v>6</v>
      </c>
      <c r="AO877" s="16">
        <f>SUMIF(RawData[Customer_ID],AL877,RawData[Quantity])</f>
        <v>23</v>
      </c>
      <c r="AP877" s="21">
        <f>SUMIF(RawData[Customer_ID],AL877,RawData[Revenue])</f>
        <v>113878.06999999999</v>
      </c>
      <c r="AQ877" s="21">
        <f>SUMIF(RawData[Customer_ID],AL877,RawData[Profit])</f>
        <v>21519.969999999998</v>
      </c>
      <c r="AR877" s="16">
        <f t="shared" si="52"/>
        <v>18979.678333333333</v>
      </c>
      <c r="AS877" s="16" t="str">
        <f t="shared" si="53"/>
        <v>Loyal</v>
      </c>
    </row>
    <row r="878" spans="38:45" x14ac:dyDescent="0.25">
      <c r="AL878" s="16" t="s">
        <v>5182</v>
      </c>
      <c r="AM878" s="16" t="s">
        <v>1174</v>
      </c>
      <c r="AN878" s="16">
        <f>COUNTIF(RawData[Customer_ID],AL878)</f>
        <v>0</v>
      </c>
      <c r="AO878" s="16">
        <f>SUMIF(RawData[Customer_ID],AL878,RawData[Quantity])</f>
        <v>0</v>
      </c>
      <c r="AP878" s="21">
        <f>SUMIF(RawData[Customer_ID],AL878,RawData[Revenue])</f>
        <v>0</v>
      </c>
      <c r="AQ878" s="21">
        <f>SUMIF(RawData[Customer_ID],AL878,RawData[Profit])</f>
        <v>0</v>
      </c>
      <c r="AR878" s="16">
        <f t="shared" si="52"/>
        <v>0</v>
      </c>
      <c r="AS878" s="16" t="str">
        <f t="shared" si="53"/>
        <v>Occasional</v>
      </c>
    </row>
    <row r="879" spans="38:45" x14ac:dyDescent="0.25">
      <c r="AL879" s="16" t="s">
        <v>2055</v>
      </c>
      <c r="AM879" s="16" t="s">
        <v>690</v>
      </c>
      <c r="AN879" s="16">
        <f>COUNTIF(RawData[Customer_ID],AL879)</f>
        <v>3</v>
      </c>
      <c r="AO879" s="16">
        <f>SUMIF(RawData[Customer_ID],AL879,RawData[Quantity])</f>
        <v>6</v>
      </c>
      <c r="AP879" s="21">
        <f>SUMIF(RawData[Customer_ID],AL879,RawData[Revenue])</f>
        <v>6934.2</v>
      </c>
      <c r="AQ879" s="21">
        <f>SUMIF(RawData[Customer_ID],AL879,RawData[Profit])</f>
        <v>2375.9</v>
      </c>
      <c r="AR879" s="16">
        <f t="shared" si="52"/>
        <v>2311.4</v>
      </c>
      <c r="AS879" s="16" t="str">
        <f t="shared" si="53"/>
        <v>Occasional</v>
      </c>
    </row>
    <row r="880" spans="38:45" x14ac:dyDescent="0.25">
      <c r="AL880" s="16" t="s">
        <v>2084</v>
      </c>
      <c r="AM880" s="16" t="s">
        <v>1175</v>
      </c>
      <c r="AN880" s="16">
        <f>COUNTIF(RawData[Customer_ID],AL880)</f>
        <v>6</v>
      </c>
      <c r="AO880" s="16">
        <f>SUMIF(RawData[Customer_ID],AL880,RawData[Quantity])</f>
        <v>23</v>
      </c>
      <c r="AP880" s="21">
        <f>SUMIF(RawData[Customer_ID],AL880,RawData[Revenue])</f>
        <v>295745.34999999998</v>
      </c>
      <c r="AQ880" s="21">
        <f>SUMIF(RawData[Customer_ID],AL880,RawData[Profit])</f>
        <v>45735.75</v>
      </c>
      <c r="AR880" s="16">
        <f t="shared" si="52"/>
        <v>49290.891666666663</v>
      </c>
      <c r="AS880" s="16" t="str">
        <f t="shared" si="53"/>
        <v>Loyal</v>
      </c>
    </row>
    <row r="881" spans="38:45" x14ac:dyDescent="0.25">
      <c r="AL881" s="16" t="s">
        <v>2038</v>
      </c>
      <c r="AM881" s="16" t="s">
        <v>1176</v>
      </c>
      <c r="AN881" s="16">
        <f>COUNTIF(RawData[Customer_ID],AL881)</f>
        <v>1</v>
      </c>
      <c r="AO881" s="16">
        <f>SUMIF(RawData[Customer_ID],AL881,RawData[Quantity])</f>
        <v>5</v>
      </c>
      <c r="AP881" s="21">
        <f>SUMIF(RawData[Customer_ID],AL881,RawData[Revenue])</f>
        <v>78370.25</v>
      </c>
      <c r="AQ881" s="21">
        <f>SUMIF(RawData[Customer_ID],AL881,RawData[Profit])</f>
        <v>5774.6499999999942</v>
      </c>
      <c r="AR881" s="16">
        <f t="shared" si="52"/>
        <v>78370.25</v>
      </c>
      <c r="AS881" s="16" t="str">
        <f t="shared" si="53"/>
        <v>One-time</v>
      </c>
    </row>
    <row r="882" spans="38:45" x14ac:dyDescent="0.25">
      <c r="AL882" s="16" t="s">
        <v>3698</v>
      </c>
      <c r="AM882" s="16" t="s">
        <v>1177</v>
      </c>
      <c r="AN882" s="16">
        <f>COUNTIF(RawData[Customer_ID],AL882)</f>
        <v>5</v>
      </c>
      <c r="AO882" s="16">
        <f>SUMIF(RawData[Customer_ID],AL882,RawData[Quantity])</f>
        <v>21</v>
      </c>
      <c r="AP882" s="21">
        <f>SUMIF(RawData[Customer_ID],AL882,RawData[Revenue])</f>
        <v>269654.5</v>
      </c>
      <c r="AQ882" s="21">
        <f>SUMIF(RawData[Customer_ID],AL882,RawData[Profit])</f>
        <v>37438.850000000006</v>
      </c>
      <c r="AR882" s="16">
        <f t="shared" si="52"/>
        <v>53930.9</v>
      </c>
      <c r="AS882" s="16" t="str">
        <f t="shared" si="53"/>
        <v>Loyal</v>
      </c>
    </row>
    <row r="883" spans="38:45" x14ac:dyDescent="0.25">
      <c r="AL883" s="16" t="s">
        <v>2520</v>
      </c>
      <c r="AM883" s="16" t="s">
        <v>1178</v>
      </c>
      <c r="AN883" s="16">
        <f>COUNTIF(RawData[Customer_ID],AL883)</f>
        <v>1</v>
      </c>
      <c r="AO883" s="16">
        <f>SUMIF(RawData[Customer_ID],AL883,RawData[Quantity])</f>
        <v>4</v>
      </c>
      <c r="AP883" s="21">
        <f>SUMIF(RawData[Customer_ID],AL883,RawData[Revenue])</f>
        <v>588</v>
      </c>
      <c r="AQ883" s="21">
        <f>SUMIF(RawData[Customer_ID],AL883,RawData[Profit])</f>
        <v>198</v>
      </c>
      <c r="AR883" s="16">
        <f t="shared" si="52"/>
        <v>588</v>
      </c>
      <c r="AS883" s="16" t="str">
        <f t="shared" si="53"/>
        <v>One-time</v>
      </c>
    </row>
    <row r="884" spans="38:45" x14ac:dyDescent="0.25">
      <c r="AL884" s="16" t="s">
        <v>3290</v>
      </c>
      <c r="AM884" s="16" t="s">
        <v>1179</v>
      </c>
      <c r="AN884" s="16">
        <f>COUNTIF(RawData[Customer_ID],AL884)</f>
        <v>3</v>
      </c>
      <c r="AO884" s="16">
        <f>SUMIF(RawData[Customer_ID],AL884,RawData[Quantity])</f>
        <v>10</v>
      </c>
      <c r="AP884" s="21">
        <f>SUMIF(RawData[Customer_ID],AL884,RawData[Revenue])</f>
        <v>317240.84999999998</v>
      </c>
      <c r="AQ884" s="21">
        <f>SUMIF(RawData[Customer_ID],AL884,RawData[Profit])</f>
        <v>27189.190000000002</v>
      </c>
      <c r="AR884" s="16">
        <f t="shared" si="52"/>
        <v>105746.95</v>
      </c>
      <c r="AS884" s="16" t="str">
        <f t="shared" si="53"/>
        <v>Occasional</v>
      </c>
    </row>
    <row r="885" spans="38:45" x14ac:dyDescent="0.25">
      <c r="AL885" s="16" t="s">
        <v>1819</v>
      </c>
      <c r="AM885" s="16" t="s">
        <v>1180</v>
      </c>
      <c r="AN885" s="16">
        <f>COUNTIF(RawData[Customer_ID],AL885)</f>
        <v>3</v>
      </c>
      <c r="AO885" s="16">
        <f>SUMIF(RawData[Customer_ID],AL885,RawData[Quantity])</f>
        <v>9</v>
      </c>
      <c r="AP885" s="21">
        <f>SUMIF(RawData[Customer_ID],AL885,RawData[Revenue])</f>
        <v>320691.78000000003</v>
      </c>
      <c r="AQ885" s="21">
        <f>SUMIF(RawData[Customer_ID],AL885,RawData[Profit])</f>
        <v>34459.219999999994</v>
      </c>
      <c r="AR885" s="16">
        <f t="shared" si="52"/>
        <v>106897.26000000001</v>
      </c>
      <c r="AS885" s="16" t="str">
        <f t="shared" si="53"/>
        <v>Occasional</v>
      </c>
    </row>
    <row r="886" spans="38:45" x14ac:dyDescent="0.25">
      <c r="AL886" s="16" t="s">
        <v>1372</v>
      </c>
      <c r="AM886" s="16" t="s">
        <v>1181</v>
      </c>
      <c r="AN886" s="16">
        <f>COUNTIF(RawData[Customer_ID],AL886)</f>
        <v>5</v>
      </c>
      <c r="AO886" s="16">
        <f>SUMIF(RawData[Customer_ID],AL886,RawData[Quantity])</f>
        <v>11</v>
      </c>
      <c r="AP886" s="21">
        <f>SUMIF(RawData[Customer_ID],AL886,RawData[Revenue])</f>
        <v>70226.290000000008</v>
      </c>
      <c r="AQ886" s="21">
        <f>SUMIF(RawData[Customer_ID],AL886,RawData[Profit])</f>
        <v>10755.3</v>
      </c>
      <c r="AR886" s="16">
        <f t="shared" si="52"/>
        <v>14045.258000000002</v>
      </c>
      <c r="AS886" s="16" t="str">
        <f t="shared" si="53"/>
        <v>Loyal</v>
      </c>
    </row>
    <row r="887" spans="38:45" x14ac:dyDescent="0.25">
      <c r="AL887" s="16" t="s">
        <v>4935</v>
      </c>
      <c r="AM887" s="16" t="s">
        <v>1182</v>
      </c>
      <c r="AN887" s="16">
        <f>COUNTIF(RawData[Customer_ID],AL887)</f>
        <v>7</v>
      </c>
      <c r="AO887" s="16">
        <f>SUMIF(RawData[Customer_ID],AL887,RawData[Quantity])</f>
        <v>22</v>
      </c>
      <c r="AP887" s="21">
        <f>SUMIF(RawData[Customer_ID],AL887,RawData[Revenue])</f>
        <v>271742.88</v>
      </c>
      <c r="AQ887" s="21">
        <f>SUMIF(RawData[Customer_ID],AL887,RawData[Profit])</f>
        <v>46036.68</v>
      </c>
      <c r="AR887" s="16">
        <f t="shared" si="52"/>
        <v>38820.411428571431</v>
      </c>
      <c r="AS887" s="16" t="str">
        <f t="shared" si="53"/>
        <v>Loyal</v>
      </c>
    </row>
    <row r="888" spans="38:45" x14ac:dyDescent="0.25">
      <c r="AL888" s="16" t="s">
        <v>2242</v>
      </c>
      <c r="AM888" s="16" t="s">
        <v>760</v>
      </c>
      <c r="AN888" s="16">
        <f>COUNTIF(RawData[Customer_ID],AL888)</f>
        <v>2</v>
      </c>
      <c r="AO888" s="16">
        <f>SUMIF(RawData[Customer_ID],AL888,RawData[Quantity])</f>
        <v>7</v>
      </c>
      <c r="AP888" s="21">
        <f>SUMIF(RawData[Customer_ID],AL888,RawData[Revenue])</f>
        <v>2415.6</v>
      </c>
      <c r="AQ888" s="21">
        <f>SUMIF(RawData[Customer_ID],AL888,RawData[Profit])</f>
        <v>685.2</v>
      </c>
      <c r="AR888" s="16">
        <f t="shared" si="52"/>
        <v>1207.8</v>
      </c>
      <c r="AS888" s="16" t="str">
        <f t="shared" si="53"/>
        <v>Occasional</v>
      </c>
    </row>
    <row r="889" spans="38:45" x14ac:dyDescent="0.25">
      <c r="AL889" s="16" t="s">
        <v>2579</v>
      </c>
      <c r="AM889" s="16" t="s">
        <v>418</v>
      </c>
      <c r="AN889" s="16">
        <f>COUNTIF(RawData[Customer_ID],AL889)</f>
        <v>5</v>
      </c>
      <c r="AO889" s="16">
        <f>SUMIF(RawData[Customer_ID],AL889,RawData[Quantity])</f>
        <v>13</v>
      </c>
      <c r="AP889" s="21">
        <f>SUMIF(RawData[Customer_ID],AL889,RawData[Revenue])</f>
        <v>14834.7</v>
      </c>
      <c r="AQ889" s="21">
        <f>SUMIF(RawData[Customer_ID],AL889,RawData[Profit])</f>
        <v>4772.7</v>
      </c>
      <c r="AR889" s="16">
        <f t="shared" si="52"/>
        <v>2966.94</v>
      </c>
      <c r="AS889" s="16" t="str">
        <f t="shared" si="53"/>
        <v>Loyal</v>
      </c>
    </row>
    <row r="890" spans="38:45" x14ac:dyDescent="0.25">
      <c r="AL890" s="16" t="s">
        <v>1337</v>
      </c>
      <c r="AM890" s="16" t="s">
        <v>1183</v>
      </c>
      <c r="AN890" s="16">
        <f>COUNTIF(RawData[Customer_ID],AL890)</f>
        <v>3</v>
      </c>
      <c r="AO890" s="16">
        <f>SUMIF(RawData[Customer_ID],AL890,RawData[Quantity])</f>
        <v>9</v>
      </c>
      <c r="AP890" s="21">
        <f>SUMIF(RawData[Customer_ID],AL890,RawData[Revenue])</f>
        <v>19585</v>
      </c>
      <c r="AQ890" s="21">
        <f>SUMIF(RawData[Customer_ID],AL890,RawData[Profit])</f>
        <v>1656</v>
      </c>
      <c r="AR890" s="16">
        <f t="shared" si="52"/>
        <v>6528.333333333333</v>
      </c>
      <c r="AS890" s="16" t="str">
        <f t="shared" si="53"/>
        <v>Occasional</v>
      </c>
    </row>
    <row r="891" spans="38:45" x14ac:dyDescent="0.25">
      <c r="AL891" s="16" t="s">
        <v>2914</v>
      </c>
      <c r="AM891" s="16" t="s">
        <v>1184</v>
      </c>
      <c r="AN891" s="16">
        <f>COUNTIF(RawData[Customer_ID],AL891)</f>
        <v>2</v>
      </c>
      <c r="AO891" s="16">
        <f>SUMIF(RawData[Customer_ID],AL891,RawData[Quantity])</f>
        <v>6</v>
      </c>
      <c r="AP891" s="21">
        <f>SUMIF(RawData[Customer_ID],AL891,RawData[Revenue])</f>
        <v>20175.8</v>
      </c>
      <c r="AQ891" s="21">
        <f>SUMIF(RawData[Customer_ID],AL891,RawData[Profit])</f>
        <v>6174.8</v>
      </c>
      <c r="AR891" s="16">
        <f t="shared" si="52"/>
        <v>10087.9</v>
      </c>
      <c r="AS891" s="16" t="str">
        <f t="shared" si="53"/>
        <v>Occasional</v>
      </c>
    </row>
    <row r="892" spans="38:45" x14ac:dyDescent="0.25">
      <c r="AL892" s="16" t="s">
        <v>3205</v>
      </c>
      <c r="AM892" s="16" t="s">
        <v>1185</v>
      </c>
      <c r="AN892" s="16">
        <f>COUNTIF(RawData[Customer_ID],AL892)</f>
        <v>4</v>
      </c>
      <c r="AO892" s="16">
        <f>SUMIF(RawData[Customer_ID],AL892,RawData[Quantity])</f>
        <v>8</v>
      </c>
      <c r="AP892" s="21">
        <f>SUMIF(RawData[Customer_ID],AL892,RawData[Revenue])</f>
        <v>164252.09</v>
      </c>
      <c r="AQ892" s="21">
        <f>SUMIF(RawData[Customer_ID],AL892,RawData[Profit])</f>
        <v>25873.549999999996</v>
      </c>
      <c r="AR892" s="16">
        <f t="shared" si="52"/>
        <v>41063.022499999999</v>
      </c>
      <c r="AS892" s="16" t="str">
        <f t="shared" si="53"/>
        <v>Occasional</v>
      </c>
    </row>
    <row r="893" spans="38:45" x14ac:dyDescent="0.25">
      <c r="AL893" s="16" t="s">
        <v>2933</v>
      </c>
      <c r="AM893" s="16" t="s">
        <v>1186</v>
      </c>
      <c r="AN893" s="16">
        <f>COUNTIF(RawData[Customer_ID],AL893)</f>
        <v>1</v>
      </c>
      <c r="AO893" s="16">
        <f>SUMIF(RawData[Customer_ID],AL893,RawData[Quantity])</f>
        <v>1</v>
      </c>
      <c r="AP893" s="21">
        <f>SUMIF(RawData[Customer_ID],AL893,RawData[Revenue])</f>
        <v>598</v>
      </c>
      <c r="AQ893" s="21">
        <f>SUMIF(RawData[Customer_ID],AL893,RawData[Profit])</f>
        <v>130</v>
      </c>
      <c r="AR893" s="16">
        <f t="shared" si="52"/>
        <v>598</v>
      </c>
      <c r="AS893" s="16" t="str">
        <f t="shared" si="53"/>
        <v>One-time</v>
      </c>
    </row>
    <row r="894" spans="38:45" x14ac:dyDescent="0.25">
      <c r="AL894" s="16" t="s">
        <v>1789</v>
      </c>
      <c r="AM894" s="16" t="s">
        <v>1187</v>
      </c>
      <c r="AN894" s="16">
        <f>COUNTIF(RawData[Customer_ID],AL894)</f>
        <v>2</v>
      </c>
      <c r="AO894" s="16">
        <f>SUMIF(RawData[Customer_ID],AL894,RawData[Quantity])</f>
        <v>6</v>
      </c>
      <c r="AP894" s="21">
        <f>SUMIF(RawData[Customer_ID],AL894,RawData[Revenue])</f>
        <v>1158.4000000000001</v>
      </c>
      <c r="AQ894" s="21">
        <f>SUMIF(RawData[Customer_ID],AL894,RawData[Profit])</f>
        <v>426.4</v>
      </c>
      <c r="AR894" s="16">
        <f t="shared" si="52"/>
        <v>579.20000000000005</v>
      </c>
      <c r="AS894" s="16" t="str">
        <f t="shared" si="53"/>
        <v>Occasional</v>
      </c>
    </row>
    <row r="895" spans="38:45" x14ac:dyDescent="0.25">
      <c r="AL895" s="16" t="s">
        <v>1859</v>
      </c>
      <c r="AM895" s="16" t="s">
        <v>1188</v>
      </c>
      <c r="AN895" s="16">
        <f>COUNTIF(RawData[Customer_ID],AL895)</f>
        <v>5</v>
      </c>
      <c r="AO895" s="16">
        <f>SUMIF(RawData[Customer_ID],AL895,RawData[Quantity])</f>
        <v>16</v>
      </c>
      <c r="AP895" s="21">
        <f>SUMIF(RawData[Customer_ID],AL895,RawData[Revenue])</f>
        <v>205601.12</v>
      </c>
      <c r="AQ895" s="21">
        <f>SUMIF(RawData[Customer_ID],AL895,RawData[Profit])</f>
        <v>22971.600000000006</v>
      </c>
      <c r="AR895" s="16">
        <f t="shared" si="52"/>
        <v>41120.224000000002</v>
      </c>
      <c r="AS895" s="16" t="str">
        <f t="shared" si="53"/>
        <v>Loyal</v>
      </c>
    </row>
    <row r="896" spans="38:45" x14ac:dyDescent="0.25">
      <c r="AL896" s="16" t="s">
        <v>1932</v>
      </c>
      <c r="AM896" s="16" t="s">
        <v>794</v>
      </c>
      <c r="AN896" s="16">
        <f>COUNTIF(RawData[Customer_ID],AL896)</f>
        <v>9</v>
      </c>
      <c r="AO896" s="16">
        <f>SUMIF(RawData[Customer_ID],AL896,RawData[Quantity])</f>
        <v>19</v>
      </c>
      <c r="AP896" s="21">
        <f>SUMIF(RawData[Customer_ID],AL896,RawData[Revenue])</f>
        <v>225602.56999999998</v>
      </c>
      <c r="AQ896" s="21">
        <f>SUMIF(RawData[Customer_ID],AL896,RawData[Profit])</f>
        <v>34764.369999999995</v>
      </c>
      <c r="AR896" s="16">
        <f t="shared" si="52"/>
        <v>25066.952222222219</v>
      </c>
      <c r="AS896" s="16" t="str">
        <f t="shared" si="53"/>
        <v>Review</v>
      </c>
    </row>
    <row r="897" spans="38:45" x14ac:dyDescent="0.25">
      <c r="AL897" s="16" t="s">
        <v>2005</v>
      </c>
      <c r="AM897" s="16" t="s">
        <v>804</v>
      </c>
      <c r="AN897" s="16">
        <f>COUNTIF(RawData[Customer_ID],AL897)</f>
        <v>4</v>
      </c>
      <c r="AO897" s="16">
        <f>SUMIF(RawData[Customer_ID],AL897,RawData[Quantity])</f>
        <v>9</v>
      </c>
      <c r="AP897" s="21">
        <f>SUMIF(RawData[Customer_ID],AL897,RawData[Revenue])</f>
        <v>121738.08</v>
      </c>
      <c r="AQ897" s="21">
        <f>SUMIF(RawData[Customer_ID],AL897,RawData[Profit])</f>
        <v>11554.419999999991</v>
      </c>
      <c r="AR897" s="16">
        <f t="shared" si="52"/>
        <v>30434.52</v>
      </c>
      <c r="AS897" s="16" t="str">
        <f t="shared" si="53"/>
        <v>Occasional</v>
      </c>
    </row>
    <row r="898" spans="38:45" x14ac:dyDescent="0.25">
      <c r="AL898" s="16" t="s">
        <v>1881</v>
      </c>
      <c r="AM898" s="16" t="s">
        <v>1189</v>
      </c>
      <c r="AN898" s="16">
        <f>COUNTIF(RawData[Customer_ID],AL898)</f>
        <v>4</v>
      </c>
      <c r="AO898" s="16">
        <f>SUMIF(RawData[Customer_ID],AL898,RawData[Quantity])</f>
        <v>12</v>
      </c>
      <c r="AP898" s="21">
        <f>SUMIF(RawData[Customer_ID],AL898,RawData[Revenue])</f>
        <v>83877.22</v>
      </c>
      <c r="AQ898" s="21">
        <f>SUMIF(RawData[Customer_ID],AL898,RawData[Profit])</f>
        <v>18439.46</v>
      </c>
      <c r="AR898" s="16">
        <f t="shared" si="52"/>
        <v>20969.305</v>
      </c>
      <c r="AS898" s="16" t="str">
        <f t="shared" si="53"/>
        <v>Occasional</v>
      </c>
    </row>
    <row r="899" spans="38:45" x14ac:dyDescent="0.25">
      <c r="AL899" s="16" t="s">
        <v>3224</v>
      </c>
      <c r="AM899" s="16" t="s">
        <v>1190</v>
      </c>
      <c r="AN899" s="16">
        <f>COUNTIF(RawData[Customer_ID],AL899)</f>
        <v>6</v>
      </c>
      <c r="AO899" s="16">
        <f>SUMIF(RawData[Customer_ID],AL899,RawData[Quantity])</f>
        <v>18</v>
      </c>
      <c r="AP899" s="21">
        <f>SUMIF(RawData[Customer_ID],AL899,RawData[Revenue])</f>
        <v>238576.00999999998</v>
      </c>
      <c r="AQ899" s="21">
        <f>SUMIF(RawData[Customer_ID],AL899,RawData[Profit])</f>
        <v>33612.669999999984</v>
      </c>
      <c r="AR899" s="16">
        <f t="shared" si="52"/>
        <v>39762.668333333328</v>
      </c>
      <c r="AS899" s="16" t="str">
        <f t="shared" si="53"/>
        <v>Loyal</v>
      </c>
    </row>
    <row r="900" spans="38:45" x14ac:dyDescent="0.25">
      <c r="AL900" s="16" t="s">
        <v>3044</v>
      </c>
      <c r="AM900" s="16" t="s">
        <v>1191</v>
      </c>
      <c r="AN900" s="16">
        <f>COUNTIF(RawData[Customer_ID],AL900)</f>
        <v>3</v>
      </c>
      <c r="AO900" s="16">
        <f>SUMIF(RawData[Customer_ID],AL900,RawData[Quantity])</f>
        <v>10</v>
      </c>
      <c r="AP900" s="21">
        <f>SUMIF(RawData[Customer_ID],AL900,RawData[Revenue])</f>
        <v>80490.06</v>
      </c>
      <c r="AQ900" s="21">
        <f>SUMIF(RawData[Customer_ID],AL900,RawData[Profit])</f>
        <v>14901.059999999994</v>
      </c>
      <c r="AR900" s="16">
        <f t="shared" si="52"/>
        <v>26830.02</v>
      </c>
      <c r="AS900" s="16" t="str">
        <f t="shared" si="53"/>
        <v>Occasional</v>
      </c>
    </row>
    <row r="901" spans="38:45" x14ac:dyDescent="0.25">
      <c r="AL901" s="16" t="s">
        <v>3993</v>
      </c>
      <c r="AM901" s="16" t="s">
        <v>1192</v>
      </c>
      <c r="AN901" s="16">
        <f>COUNTIF(RawData[Customer_ID],AL901)</f>
        <v>3</v>
      </c>
      <c r="AO901" s="16">
        <f>SUMIF(RawData[Customer_ID],AL901,RawData[Quantity])</f>
        <v>8</v>
      </c>
      <c r="AP901" s="21">
        <f>SUMIF(RawData[Customer_ID],AL901,RawData[Revenue])</f>
        <v>132853.24</v>
      </c>
      <c r="AQ901" s="21">
        <f>SUMIF(RawData[Customer_ID],AL901,RawData[Profit])</f>
        <v>19763.800000000003</v>
      </c>
      <c r="AR901" s="16">
        <f t="shared" si="52"/>
        <v>44284.41333333333</v>
      </c>
      <c r="AS901" s="16" t="str">
        <f t="shared" si="53"/>
        <v>Occasional</v>
      </c>
    </row>
    <row r="902" spans="38:45" x14ac:dyDescent="0.25">
      <c r="AL902" s="16" t="s">
        <v>3183</v>
      </c>
      <c r="AM902" s="16" t="s">
        <v>1193</v>
      </c>
      <c r="AN902" s="16">
        <f>COUNTIF(RawData[Customer_ID],AL902)</f>
        <v>1</v>
      </c>
      <c r="AO902" s="16">
        <f>SUMIF(RawData[Customer_ID],AL902,RawData[Quantity])</f>
        <v>4</v>
      </c>
      <c r="AP902" s="21">
        <f>SUMIF(RawData[Customer_ID],AL902,RawData[Revenue])</f>
        <v>202396.32</v>
      </c>
      <c r="AQ902" s="21">
        <f>SUMIF(RawData[Customer_ID],AL902,RawData[Profit])</f>
        <v>21999.600000000006</v>
      </c>
      <c r="AR902" s="16">
        <f t="shared" si="52"/>
        <v>202396.32</v>
      </c>
      <c r="AS902" s="16" t="str">
        <f t="shared" si="53"/>
        <v>One-time</v>
      </c>
    </row>
  </sheetData>
  <mergeCells count="17">
    <mergeCell ref="D1:J1"/>
    <mergeCell ref="L1:R1"/>
    <mergeCell ref="T1:Z1"/>
    <mergeCell ref="AD1:AJ1"/>
    <mergeCell ref="AL1:AS1"/>
    <mergeCell ref="DK1:DO1"/>
    <mergeCell ref="DQ1:DW1"/>
    <mergeCell ref="EG1:EL1"/>
    <mergeCell ref="AU1:BD1"/>
    <mergeCell ref="CU1:DA1"/>
    <mergeCell ref="DC1:DH1"/>
    <mergeCell ref="BG1:BL1"/>
    <mergeCell ref="BN1:BS1"/>
    <mergeCell ref="BU1:BZ1"/>
    <mergeCell ref="CC1:CH1"/>
    <mergeCell ref="CK1:CR1"/>
    <mergeCell ref="DY1:EE1"/>
  </mergeCells>
  <pageMargins left="0.7" right="0.7" top="0.75" bottom="0.75" header="0.3" footer="0.3"/>
  <pageSetup paperSize="9" orientation="portrait" verticalDpi="0" r:id="rId1"/>
  <tableParts count="18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opLeftCell="A13" workbookViewId="0">
      <selection activeCell="J14" sqref="J14:L23"/>
    </sheetView>
  </sheetViews>
  <sheetFormatPr defaultRowHeight="15" x14ac:dyDescent="0.25"/>
  <cols>
    <col min="1" max="1" width="16.28515625" customWidth="1"/>
    <col min="2" max="2" width="9.42578125" customWidth="1"/>
    <col min="5" max="5" width="12.85546875" customWidth="1"/>
    <col min="6" max="6" width="24.28515625" customWidth="1"/>
    <col min="7" max="7" width="23.5703125" customWidth="1"/>
    <col min="10" max="10" width="16.7109375" customWidth="1"/>
    <col min="11" max="11" width="20.140625" customWidth="1"/>
    <col min="12" max="12" width="15.7109375" customWidth="1"/>
    <col min="14" max="14" width="17.28515625" customWidth="1"/>
    <col min="16" max="16" width="16" customWidth="1"/>
  </cols>
  <sheetData>
    <row r="1" spans="1:16" x14ac:dyDescent="0.25">
      <c r="A1" s="1" t="s">
        <v>0</v>
      </c>
      <c r="B1" s="1" t="s">
        <v>1</v>
      </c>
      <c r="E1" s="1" t="s">
        <v>18</v>
      </c>
      <c r="F1" s="1" t="s">
        <v>19</v>
      </c>
      <c r="G1" s="1" t="s">
        <v>20</v>
      </c>
      <c r="J1" s="1" t="s">
        <v>84</v>
      </c>
      <c r="K1" s="1" t="s">
        <v>85</v>
      </c>
      <c r="N1" s="1" t="s">
        <v>106</v>
      </c>
      <c r="P1" s="1" t="s">
        <v>112</v>
      </c>
    </row>
    <row r="2" spans="1:16" x14ac:dyDescent="0.25">
      <c r="A2" s="2" t="s">
        <v>2</v>
      </c>
      <c r="B2" s="2" t="s">
        <v>3</v>
      </c>
      <c r="E2" s="2" t="s">
        <v>21</v>
      </c>
      <c r="F2" s="2" t="s">
        <v>22</v>
      </c>
      <c r="G2" s="2" t="s">
        <v>23</v>
      </c>
      <c r="J2" s="2" t="s">
        <v>86</v>
      </c>
      <c r="K2" s="2" t="s">
        <v>87</v>
      </c>
      <c r="N2" s="2" t="s">
        <v>107</v>
      </c>
      <c r="P2" s="2" t="s">
        <v>113</v>
      </c>
    </row>
    <row r="3" spans="1:16" x14ac:dyDescent="0.25">
      <c r="A3" s="2" t="s">
        <v>4</v>
      </c>
      <c r="B3" s="2" t="s">
        <v>3</v>
      </c>
      <c r="E3" s="2" t="s">
        <v>24</v>
      </c>
      <c r="F3" s="2" t="s">
        <v>22</v>
      </c>
      <c r="G3" s="2" t="s">
        <v>25</v>
      </c>
      <c r="J3" s="2" t="s">
        <v>88</v>
      </c>
      <c r="K3" s="2" t="s">
        <v>89</v>
      </c>
      <c r="N3" s="2" t="s">
        <v>108</v>
      </c>
      <c r="P3" s="2" t="s">
        <v>114</v>
      </c>
    </row>
    <row r="4" spans="1:16" x14ac:dyDescent="0.25">
      <c r="A4" s="2" t="s">
        <v>5</v>
      </c>
      <c r="B4" s="2" t="s">
        <v>3</v>
      </c>
      <c r="E4" s="2" t="s">
        <v>26</v>
      </c>
      <c r="F4" s="2" t="s">
        <v>22</v>
      </c>
      <c r="G4" s="2" t="s">
        <v>27</v>
      </c>
      <c r="J4" s="2" t="s">
        <v>90</v>
      </c>
      <c r="K4" s="2" t="s">
        <v>91</v>
      </c>
      <c r="N4" s="2" t="s">
        <v>109</v>
      </c>
    </row>
    <row r="5" spans="1:16" x14ac:dyDescent="0.25">
      <c r="A5" s="2" t="s">
        <v>6</v>
      </c>
      <c r="B5" s="2" t="s">
        <v>3</v>
      </c>
      <c r="E5" s="2" t="s">
        <v>28</v>
      </c>
      <c r="F5" s="2" t="s">
        <v>22</v>
      </c>
      <c r="G5" s="2" t="s">
        <v>29</v>
      </c>
      <c r="J5" s="2" t="s">
        <v>92</v>
      </c>
      <c r="K5" s="2" t="s">
        <v>93</v>
      </c>
      <c r="N5" s="2" t="s">
        <v>110</v>
      </c>
    </row>
    <row r="6" spans="1:16" x14ac:dyDescent="0.25">
      <c r="A6" s="2" t="s">
        <v>7</v>
      </c>
      <c r="B6" s="2" t="s">
        <v>8</v>
      </c>
      <c r="E6" s="2" t="s">
        <v>30</v>
      </c>
      <c r="F6" s="2" t="s">
        <v>22</v>
      </c>
      <c r="G6" s="2" t="s">
        <v>31</v>
      </c>
      <c r="J6" s="2" t="s">
        <v>94</v>
      </c>
      <c r="K6" s="2" t="s">
        <v>95</v>
      </c>
      <c r="N6" s="2" t="s">
        <v>111</v>
      </c>
    </row>
    <row r="7" spans="1:16" x14ac:dyDescent="0.25">
      <c r="A7" s="2" t="s">
        <v>9</v>
      </c>
      <c r="B7" s="2" t="s">
        <v>8</v>
      </c>
      <c r="E7" s="2" t="s">
        <v>32</v>
      </c>
      <c r="F7" s="2" t="s">
        <v>22</v>
      </c>
      <c r="G7" s="2" t="s">
        <v>33</v>
      </c>
      <c r="J7" s="2" t="s">
        <v>96</v>
      </c>
      <c r="K7" s="2" t="s">
        <v>97</v>
      </c>
    </row>
    <row r="8" spans="1:16" x14ac:dyDescent="0.25">
      <c r="A8" s="2" t="s">
        <v>10</v>
      </c>
      <c r="B8" s="2" t="s">
        <v>8</v>
      </c>
      <c r="E8" s="2" t="s">
        <v>34</v>
      </c>
      <c r="F8" s="2" t="s">
        <v>22</v>
      </c>
      <c r="G8" s="2" t="s">
        <v>35</v>
      </c>
      <c r="J8" s="2" t="s">
        <v>98</v>
      </c>
      <c r="K8" s="2" t="s">
        <v>99</v>
      </c>
    </row>
    <row r="9" spans="1:16" x14ac:dyDescent="0.25">
      <c r="A9" s="2" t="s">
        <v>11</v>
      </c>
      <c r="B9" s="2" t="s">
        <v>12</v>
      </c>
      <c r="E9" s="2" t="s">
        <v>36</v>
      </c>
      <c r="F9" s="2" t="s">
        <v>22</v>
      </c>
      <c r="G9" s="2" t="s">
        <v>37</v>
      </c>
      <c r="J9" s="2" t="s">
        <v>100</v>
      </c>
      <c r="K9" s="2" t="s">
        <v>101</v>
      </c>
    </row>
    <row r="10" spans="1:16" x14ac:dyDescent="0.25">
      <c r="A10" s="2" t="s">
        <v>13</v>
      </c>
      <c r="B10" s="2" t="s">
        <v>12</v>
      </c>
      <c r="E10" s="2" t="s">
        <v>38</v>
      </c>
      <c r="F10" s="2" t="s">
        <v>22</v>
      </c>
      <c r="G10" s="2" t="s">
        <v>39</v>
      </c>
      <c r="J10" s="2" t="s">
        <v>102</v>
      </c>
      <c r="K10" s="2" t="s">
        <v>103</v>
      </c>
    </row>
    <row r="11" spans="1:16" x14ac:dyDescent="0.25">
      <c r="A11" s="2" t="s">
        <v>14</v>
      </c>
      <c r="B11" s="2" t="s">
        <v>15</v>
      </c>
      <c r="E11" s="2" t="s">
        <v>40</v>
      </c>
      <c r="F11" s="2" t="s">
        <v>22</v>
      </c>
      <c r="G11" s="2" t="s">
        <v>41</v>
      </c>
      <c r="J11" s="2" t="s">
        <v>104</v>
      </c>
      <c r="K11" s="2" t="s">
        <v>105</v>
      </c>
    </row>
    <row r="12" spans="1:16" x14ac:dyDescent="0.25">
      <c r="A12" s="2" t="s">
        <v>16</v>
      </c>
      <c r="B12" s="2" t="s">
        <v>15</v>
      </c>
      <c r="E12" s="2" t="s">
        <v>42</v>
      </c>
      <c r="F12" s="2" t="s">
        <v>43</v>
      </c>
      <c r="G12" s="2" t="s">
        <v>44</v>
      </c>
    </row>
    <row r="13" spans="1:16" x14ac:dyDescent="0.25">
      <c r="A13" s="2" t="s">
        <v>17</v>
      </c>
      <c r="B13" s="2" t="s">
        <v>15</v>
      </c>
      <c r="E13" s="2" t="s">
        <v>45</v>
      </c>
      <c r="F13" s="2" t="s">
        <v>43</v>
      </c>
      <c r="G13" s="2" t="s">
        <v>46</v>
      </c>
    </row>
    <row r="14" spans="1:16" ht="30" x14ac:dyDescent="0.25">
      <c r="E14" s="2" t="s">
        <v>47</v>
      </c>
      <c r="F14" s="2" t="s">
        <v>43</v>
      </c>
      <c r="G14" s="2" t="s">
        <v>48</v>
      </c>
      <c r="J14" s="1" t="s">
        <v>1232</v>
      </c>
      <c r="K14" s="4" t="s">
        <v>1233</v>
      </c>
      <c r="L14" s="4" t="s">
        <v>1234</v>
      </c>
    </row>
    <row r="15" spans="1:16" ht="30" x14ac:dyDescent="0.25">
      <c r="A15" s="1" t="s">
        <v>169</v>
      </c>
      <c r="B15" s="1" t="s">
        <v>1228</v>
      </c>
      <c r="E15" s="2" t="s">
        <v>49</v>
      </c>
      <c r="F15" s="2" t="s">
        <v>43</v>
      </c>
      <c r="G15" s="2" t="s">
        <v>50</v>
      </c>
      <c r="J15" s="2" t="s">
        <v>1235</v>
      </c>
      <c r="K15" s="3">
        <v>3</v>
      </c>
      <c r="L15" s="3">
        <v>8</v>
      </c>
    </row>
    <row r="16" spans="1:16" ht="30" x14ac:dyDescent="0.25">
      <c r="A16" s="2">
        <v>1</v>
      </c>
      <c r="B16" s="2" t="s">
        <v>1229</v>
      </c>
      <c r="E16" s="2" t="s">
        <v>51</v>
      </c>
      <c r="F16" s="2" t="s">
        <v>43</v>
      </c>
      <c r="G16" s="2" t="s">
        <v>52</v>
      </c>
      <c r="J16" s="2" t="s">
        <v>1236</v>
      </c>
      <c r="K16" s="3">
        <v>5</v>
      </c>
      <c r="L16" s="3">
        <v>10</v>
      </c>
    </row>
    <row r="17" spans="1:12" ht="30" x14ac:dyDescent="0.25">
      <c r="A17" s="2">
        <v>2</v>
      </c>
      <c r="B17" s="2" t="s">
        <v>1230</v>
      </c>
      <c r="E17" s="2" t="s">
        <v>53</v>
      </c>
      <c r="F17" s="2" t="s">
        <v>43</v>
      </c>
      <c r="G17" s="2" t="s">
        <v>54</v>
      </c>
      <c r="J17" s="2" t="s">
        <v>1237</v>
      </c>
      <c r="K17" s="3">
        <v>0</v>
      </c>
      <c r="L17" s="3">
        <v>5</v>
      </c>
    </row>
    <row r="18" spans="1:12" ht="30" x14ac:dyDescent="0.25">
      <c r="A18" s="2">
        <v>3</v>
      </c>
      <c r="B18" s="2" t="s">
        <v>1230</v>
      </c>
      <c r="E18" s="2" t="s">
        <v>55</v>
      </c>
      <c r="F18" s="2" t="s">
        <v>43</v>
      </c>
      <c r="G18" s="2" t="s">
        <v>56</v>
      </c>
      <c r="J18" s="2" t="s">
        <v>1238</v>
      </c>
      <c r="K18" s="3">
        <v>10</v>
      </c>
      <c r="L18" s="3">
        <v>18</v>
      </c>
    </row>
    <row r="19" spans="1:12" ht="30" x14ac:dyDescent="0.25">
      <c r="A19" s="2">
        <v>4</v>
      </c>
      <c r="B19" s="2" t="s">
        <v>1230</v>
      </c>
      <c r="E19" s="2" t="s">
        <v>57</v>
      </c>
      <c r="F19" s="2" t="s">
        <v>43</v>
      </c>
      <c r="G19" s="2" t="s">
        <v>58</v>
      </c>
      <c r="J19" s="2" t="s">
        <v>1239</v>
      </c>
      <c r="K19" s="3">
        <v>12</v>
      </c>
      <c r="L19" s="3">
        <v>20</v>
      </c>
    </row>
    <row r="20" spans="1:12" ht="30" x14ac:dyDescent="0.25">
      <c r="A20" s="2">
        <v>5</v>
      </c>
      <c r="B20" s="2" t="s">
        <v>1229</v>
      </c>
      <c r="E20" s="2" t="s">
        <v>59</v>
      </c>
      <c r="F20" s="2" t="s">
        <v>43</v>
      </c>
      <c r="G20" s="2" t="s">
        <v>60</v>
      </c>
      <c r="J20" s="2" t="s">
        <v>1240</v>
      </c>
      <c r="K20" s="3">
        <v>3</v>
      </c>
      <c r="L20" s="3">
        <v>8</v>
      </c>
    </row>
    <row r="21" spans="1:12" ht="30" x14ac:dyDescent="0.25">
      <c r="A21" s="2">
        <v>6</v>
      </c>
      <c r="B21" s="2" t="s">
        <v>1229</v>
      </c>
      <c r="E21" s="2" t="s">
        <v>61</v>
      </c>
      <c r="F21" s="2" t="s">
        <v>43</v>
      </c>
      <c r="G21" s="2" t="s">
        <v>62</v>
      </c>
      <c r="J21" s="2" t="s">
        <v>1241</v>
      </c>
      <c r="K21" s="3">
        <v>5</v>
      </c>
      <c r="L21" s="3">
        <v>10</v>
      </c>
    </row>
    <row r="22" spans="1:12" ht="30" x14ac:dyDescent="0.25">
      <c r="A22" s="2">
        <v>7</v>
      </c>
      <c r="B22" s="2" t="s">
        <v>1230</v>
      </c>
      <c r="E22" s="2" t="s">
        <v>63</v>
      </c>
      <c r="F22" s="2" t="s">
        <v>64</v>
      </c>
      <c r="G22" s="2" t="s">
        <v>65</v>
      </c>
      <c r="J22" s="2" t="s">
        <v>1242</v>
      </c>
      <c r="K22" s="3">
        <v>2</v>
      </c>
      <c r="L22" s="3">
        <v>5</v>
      </c>
    </row>
    <row r="23" spans="1:12" ht="30" x14ac:dyDescent="0.25">
      <c r="A23" s="2">
        <v>8</v>
      </c>
      <c r="B23" s="2" t="s">
        <v>1230</v>
      </c>
      <c r="E23" s="2" t="s">
        <v>66</v>
      </c>
      <c r="F23" s="2" t="s">
        <v>64</v>
      </c>
      <c r="G23" s="2" t="s">
        <v>67</v>
      </c>
      <c r="J23" s="2" t="s">
        <v>1243</v>
      </c>
      <c r="K23" s="3">
        <v>8</v>
      </c>
      <c r="L23" s="3">
        <v>15</v>
      </c>
    </row>
    <row r="24" spans="1:12" x14ac:dyDescent="0.25">
      <c r="A24" s="2">
        <v>9</v>
      </c>
      <c r="B24" s="2" t="s">
        <v>1230</v>
      </c>
      <c r="E24" s="2" t="s">
        <v>68</v>
      </c>
      <c r="F24" s="2" t="s">
        <v>64</v>
      </c>
      <c r="G24" s="2" t="s">
        <v>69</v>
      </c>
    </row>
    <row r="25" spans="1:12" x14ac:dyDescent="0.25">
      <c r="A25" s="2">
        <v>10</v>
      </c>
      <c r="B25" s="2" t="s">
        <v>1230</v>
      </c>
      <c r="E25" s="2" t="s">
        <v>70</v>
      </c>
      <c r="F25" s="2" t="s">
        <v>64</v>
      </c>
      <c r="G25" s="2" t="s">
        <v>71</v>
      </c>
    </row>
    <row r="26" spans="1:12" x14ac:dyDescent="0.25">
      <c r="A26" s="2">
        <v>11</v>
      </c>
      <c r="B26" s="2" t="s">
        <v>1231</v>
      </c>
      <c r="E26" s="2" t="s">
        <v>72</v>
      </c>
      <c r="F26" s="2" t="s">
        <v>64</v>
      </c>
      <c r="G26" s="2" t="s">
        <v>73</v>
      </c>
    </row>
    <row r="27" spans="1:12" x14ac:dyDescent="0.25">
      <c r="A27" s="2">
        <v>12</v>
      </c>
      <c r="B27" s="2" t="s">
        <v>1231</v>
      </c>
      <c r="E27" s="2" t="s">
        <v>74</v>
      </c>
      <c r="F27" s="2" t="s">
        <v>64</v>
      </c>
      <c r="G27" s="2" t="s">
        <v>75</v>
      </c>
    </row>
    <row r="28" spans="1:12" x14ac:dyDescent="0.25">
      <c r="E28" s="2" t="s">
        <v>76</v>
      </c>
      <c r="F28" s="2" t="s">
        <v>64</v>
      </c>
      <c r="G28" s="2" t="s">
        <v>77</v>
      </c>
    </row>
    <row r="29" spans="1:12" x14ac:dyDescent="0.25">
      <c r="E29" s="2" t="s">
        <v>78</v>
      </c>
      <c r="F29" s="2" t="s">
        <v>64</v>
      </c>
      <c r="G29" s="2" t="s">
        <v>79</v>
      </c>
    </row>
    <row r="30" spans="1:12" x14ac:dyDescent="0.25">
      <c r="E30" s="2" t="s">
        <v>80</v>
      </c>
      <c r="F30" s="2" t="s">
        <v>64</v>
      </c>
      <c r="G30" s="2" t="s">
        <v>81</v>
      </c>
    </row>
    <row r="31" spans="1:12" x14ac:dyDescent="0.25">
      <c r="E31" s="2" t="s">
        <v>82</v>
      </c>
      <c r="F31" s="2" t="s">
        <v>64</v>
      </c>
      <c r="G31" s="2" t="s">
        <v>83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01"/>
  <sheetViews>
    <sheetView topLeftCell="O1" zoomScale="190" zoomScaleNormal="190" workbookViewId="0">
      <selection activeCell="N1" sqref="N1:N1048576"/>
    </sheetView>
  </sheetViews>
  <sheetFormatPr defaultRowHeight="15" x14ac:dyDescent="0.25"/>
  <cols>
    <col min="1" max="1" width="13.42578125" customWidth="1"/>
    <col min="2" max="2" width="16.5703125" style="8" customWidth="1"/>
    <col min="3" max="3" width="17.7109375" customWidth="1"/>
    <col min="4" max="4" width="21.85546875" customWidth="1"/>
    <col min="5" max="8" width="14.5703125" customWidth="1"/>
    <col min="9" max="9" width="18" customWidth="1"/>
    <col min="10" max="10" width="20.140625" customWidth="1"/>
    <col min="11" max="11" width="24.140625" customWidth="1"/>
    <col min="12" max="12" width="13" customWidth="1"/>
    <col min="13" max="13" width="15.28515625" style="12" customWidth="1"/>
    <col min="14" max="14" width="15.85546875" style="12" customWidth="1"/>
    <col min="15" max="15" width="15.5703125" customWidth="1"/>
    <col min="16" max="16" width="13.42578125" customWidth="1"/>
    <col min="17" max="17" width="15.7109375" style="12" customWidth="1"/>
    <col min="18" max="18" width="9.85546875" style="12" customWidth="1"/>
    <col min="19" max="19" width="20.5703125" customWidth="1"/>
    <col min="20" max="20" width="20.85546875" customWidth="1"/>
    <col min="21" max="21" width="21.28515625" customWidth="1"/>
    <col min="24" max="24" width="12.85546875" customWidth="1"/>
    <col min="25" max="25" width="10.85546875" customWidth="1"/>
    <col min="26" max="27" width="12.42578125" customWidth="1"/>
    <col min="28" max="28" width="13.42578125" customWidth="1"/>
    <col min="29" max="29" width="16" customWidth="1"/>
    <col min="30" max="30" width="17.28515625" customWidth="1"/>
    <col min="31" max="31" width="16.7109375" customWidth="1"/>
  </cols>
  <sheetData>
    <row r="1" spans="1:21" x14ac:dyDescent="0.25">
      <c r="A1" t="s">
        <v>115</v>
      </c>
      <c r="B1" s="8" t="s">
        <v>116</v>
      </c>
      <c r="C1" t="s">
        <v>117</v>
      </c>
      <c r="D1" t="s">
        <v>118</v>
      </c>
      <c r="E1" t="s">
        <v>119</v>
      </c>
      <c r="F1" t="s">
        <v>120</v>
      </c>
      <c r="G1" t="s">
        <v>0</v>
      </c>
      <c r="H1" t="s">
        <v>1</v>
      </c>
      <c r="I1" t="s">
        <v>18</v>
      </c>
      <c r="J1" t="s">
        <v>121</v>
      </c>
      <c r="K1" t="s">
        <v>1223</v>
      </c>
      <c r="L1" t="s">
        <v>1220</v>
      </c>
      <c r="M1" s="12" t="s">
        <v>1221</v>
      </c>
      <c r="N1" s="12" t="s">
        <v>1222</v>
      </c>
      <c r="O1" t="s">
        <v>1224</v>
      </c>
      <c r="P1" t="s">
        <v>1225</v>
      </c>
      <c r="Q1" s="12" t="s">
        <v>1226</v>
      </c>
      <c r="R1" s="12" t="s">
        <v>1227</v>
      </c>
      <c r="S1" t="s">
        <v>112</v>
      </c>
      <c r="T1" t="s">
        <v>106</v>
      </c>
      <c r="U1" t="s">
        <v>84</v>
      </c>
    </row>
    <row r="2" spans="1:21" x14ac:dyDescent="0.25">
      <c r="A2" t="s">
        <v>1244</v>
      </c>
      <c r="B2" s="8">
        <v>45976</v>
      </c>
      <c r="C2" t="s">
        <v>5079</v>
      </c>
      <c r="D2" t="s">
        <v>1136</v>
      </c>
      <c r="E2" t="s">
        <v>218</v>
      </c>
      <c r="F2">
        <v>38</v>
      </c>
      <c r="G2" t="s">
        <v>17</v>
      </c>
      <c r="H2" t="s">
        <v>15</v>
      </c>
      <c r="I2" t="s">
        <v>57</v>
      </c>
      <c r="J2" t="s">
        <v>67</v>
      </c>
      <c r="K2" t="s">
        <v>64</v>
      </c>
      <c r="L2">
        <v>3</v>
      </c>
      <c r="M2" s="12">
        <v>150</v>
      </c>
      <c r="N2" s="12">
        <v>97.5</v>
      </c>
      <c r="O2">
        <v>3</v>
      </c>
      <c r="P2" s="12">
        <v>436.5</v>
      </c>
      <c r="Q2" s="12">
        <v>292.5</v>
      </c>
      <c r="R2" s="12">
        <v>144</v>
      </c>
      <c r="S2" t="s">
        <v>113</v>
      </c>
      <c r="T2" t="s">
        <v>108</v>
      </c>
      <c r="U2" t="s">
        <v>1207</v>
      </c>
    </row>
    <row r="3" spans="1:21" x14ac:dyDescent="0.25">
      <c r="A3" t="s">
        <v>1247</v>
      </c>
      <c r="B3" s="8">
        <v>45672</v>
      </c>
      <c r="C3" t="s">
        <v>1594</v>
      </c>
      <c r="D3" t="s">
        <v>938</v>
      </c>
      <c r="E3" t="s">
        <v>218</v>
      </c>
      <c r="F3">
        <v>34</v>
      </c>
      <c r="G3" t="s">
        <v>11</v>
      </c>
      <c r="H3" t="s">
        <v>12</v>
      </c>
      <c r="I3" t="s">
        <v>30</v>
      </c>
      <c r="J3" t="s">
        <v>41</v>
      </c>
      <c r="K3" t="s">
        <v>22</v>
      </c>
      <c r="L3">
        <v>3</v>
      </c>
      <c r="M3" s="12">
        <v>13749</v>
      </c>
      <c r="N3" s="12">
        <v>10999.2</v>
      </c>
      <c r="O3">
        <v>9</v>
      </c>
      <c r="P3" s="12">
        <v>37534.770000000004</v>
      </c>
      <c r="Q3" s="12">
        <v>32997.600000000006</v>
      </c>
      <c r="R3" s="12">
        <v>4537.1699999999983</v>
      </c>
      <c r="S3" t="s">
        <v>1246</v>
      </c>
      <c r="T3" t="s">
        <v>110</v>
      </c>
      <c r="U3" t="s">
        <v>1209</v>
      </c>
    </row>
    <row r="4" spans="1:21" x14ac:dyDescent="0.25">
      <c r="A4" t="s">
        <v>1250</v>
      </c>
      <c r="B4" s="8">
        <v>45984</v>
      </c>
      <c r="C4" t="s">
        <v>2113</v>
      </c>
      <c r="D4" t="s">
        <v>790</v>
      </c>
      <c r="E4" t="s">
        <v>198</v>
      </c>
      <c r="F4">
        <v>58</v>
      </c>
      <c r="G4" t="s">
        <v>2</v>
      </c>
      <c r="H4" t="s">
        <v>3</v>
      </c>
      <c r="I4" t="s">
        <v>40</v>
      </c>
      <c r="J4" t="s">
        <v>39</v>
      </c>
      <c r="K4" t="s">
        <v>22</v>
      </c>
      <c r="L4">
        <v>3</v>
      </c>
      <c r="M4" s="12">
        <v>1100</v>
      </c>
      <c r="N4" s="12">
        <v>715</v>
      </c>
      <c r="O4">
        <v>12</v>
      </c>
      <c r="P4" s="12">
        <v>2904</v>
      </c>
      <c r="Q4" s="12">
        <v>2145</v>
      </c>
      <c r="R4" s="12">
        <v>759</v>
      </c>
      <c r="S4" t="s">
        <v>113</v>
      </c>
      <c r="T4" t="s">
        <v>109</v>
      </c>
      <c r="U4" t="s">
        <v>1203</v>
      </c>
    </row>
    <row r="5" spans="1:21" x14ac:dyDescent="0.25">
      <c r="A5" t="s">
        <v>1252</v>
      </c>
      <c r="B5" s="8">
        <v>46017</v>
      </c>
      <c r="C5" t="s">
        <v>1722</v>
      </c>
      <c r="D5" t="s">
        <v>373</v>
      </c>
      <c r="E5" t="s">
        <v>198</v>
      </c>
      <c r="F5">
        <v>32</v>
      </c>
      <c r="G5" t="s">
        <v>9</v>
      </c>
      <c r="H5" t="s">
        <v>8</v>
      </c>
      <c r="I5" t="s">
        <v>49</v>
      </c>
      <c r="J5" t="s">
        <v>56</v>
      </c>
      <c r="K5" t="s">
        <v>43</v>
      </c>
      <c r="L5">
        <v>1</v>
      </c>
      <c r="M5" s="12">
        <v>31999</v>
      </c>
      <c r="N5" s="12">
        <v>25599.200000000001</v>
      </c>
      <c r="O5">
        <v>15</v>
      </c>
      <c r="P5" s="12">
        <v>27199.149999999998</v>
      </c>
      <c r="Q5" s="12">
        <v>25599.200000000001</v>
      </c>
      <c r="R5" s="12">
        <v>1599.9499999999971</v>
      </c>
      <c r="S5" t="s">
        <v>1246</v>
      </c>
      <c r="T5" t="s">
        <v>109</v>
      </c>
      <c r="U5" t="s">
        <v>1209</v>
      </c>
    </row>
    <row r="6" spans="1:21" x14ac:dyDescent="0.25">
      <c r="A6" t="s">
        <v>1254</v>
      </c>
      <c r="B6" s="8">
        <v>45890</v>
      </c>
      <c r="C6" t="s">
        <v>1832</v>
      </c>
      <c r="D6" t="s">
        <v>686</v>
      </c>
      <c r="E6" t="s">
        <v>198</v>
      </c>
      <c r="F6">
        <v>34</v>
      </c>
      <c r="G6" t="s">
        <v>9</v>
      </c>
      <c r="H6" t="s">
        <v>8</v>
      </c>
      <c r="I6" t="s">
        <v>21</v>
      </c>
      <c r="J6" t="s">
        <v>23</v>
      </c>
      <c r="K6" t="s">
        <v>22</v>
      </c>
      <c r="L6">
        <v>4</v>
      </c>
      <c r="M6" s="12">
        <v>54999</v>
      </c>
      <c r="N6" s="12">
        <v>45099.18</v>
      </c>
      <c r="O6">
        <v>6</v>
      </c>
      <c r="P6" s="12">
        <v>206796.24</v>
      </c>
      <c r="Q6" s="12">
        <v>180396.72</v>
      </c>
      <c r="R6" s="12">
        <v>26399.51999999999</v>
      </c>
      <c r="S6" t="s">
        <v>1246</v>
      </c>
      <c r="T6" t="s">
        <v>108</v>
      </c>
      <c r="U6" t="s">
        <v>1207</v>
      </c>
    </row>
    <row r="7" spans="1:21" x14ac:dyDescent="0.25">
      <c r="A7" t="s">
        <v>1256</v>
      </c>
      <c r="B7" s="8">
        <v>45813</v>
      </c>
      <c r="C7" t="s">
        <v>3001</v>
      </c>
      <c r="D7" t="s">
        <v>1013</v>
      </c>
      <c r="E7" t="s">
        <v>218</v>
      </c>
      <c r="F7">
        <v>22</v>
      </c>
      <c r="G7" t="s">
        <v>4</v>
      </c>
      <c r="H7" t="s">
        <v>3</v>
      </c>
      <c r="I7" t="s">
        <v>34</v>
      </c>
      <c r="J7" t="s">
        <v>137</v>
      </c>
      <c r="K7" t="s">
        <v>22</v>
      </c>
      <c r="L7">
        <v>5</v>
      </c>
      <c r="M7" s="12">
        <v>6900</v>
      </c>
      <c r="N7" s="12">
        <v>5727</v>
      </c>
      <c r="O7">
        <v>6</v>
      </c>
      <c r="P7" s="12">
        <v>32429.999999999996</v>
      </c>
      <c r="Q7" s="12">
        <v>28635</v>
      </c>
      <c r="R7" s="12">
        <v>3794.9999999999964</v>
      </c>
      <c r="S7" t="s">
        <v>1246</v>
      </c>
      <c r="T7" t="s">
        <v>109</v>
      </c>
      <c r="U7" t="s">
        <v>1205</v>
      </c>
    </row>
    <row r="8" spans="1:21" x14ac:dyDescent="0.25">
      <c r="A8" t="s">
        <v>1258</v>
      </c>
      <c r="B8" s="8">
        <v>45948</v>
      </c>
      <c r="C8" t="s">
        <v>2156</v>
      </c>
      <c r="D8" t="s">
        <v>1050</v>
      </c>
      <c r="E8" t="s">
        <v>198</v>
      </c>
      <c r="F8">
        <v>19</v>
      </c>
      <c r="G8" t="s">
        <v>17</v>
      </c>
      <c r="H8" t="s">
        <v>15</v>
      </c>
      <c r="I8" t="s">
        <v>34</v>
      </c>
      <c r="J8" t="s">
        <v>137</v>
      </c>
      <c r="K8" t="s">
        <v>22</v>
      </c>
      <c r="L8">
        <v>3</v>
      </c>
      <c r="M8" s="12">
        <v>6900</v>
      </c>
      <c r="N8" s="12">
        <v>5727</v>
      </c>
      <c r="O8">
        <v>4</v>
      </c>
      <c r="P8" s="12">
        <v>19872</v>
      </c>
      <c r="Q8" s="12">
        <v>17181</v>
      </c>
      <c r="R8" s="12">
        <v>2691</v>
      </c>
      <c r="S8" t="s">
        <v>1246</v>
      </c>
      <c r="T8" t="s">
        <v>108</v>
      </c>
      <c r="U8" t="s">
        <v>1196</v>
      </c>
    </row>
    <row r="9" spans="1:21" x14ac:dyDescent="0.25">
      <c r="A9" t="s">
        <v>1260</v>
      </c>
      <c r="B9" s="8">
        <v>45780</v>
      </c>
      <c r="C9" t="s">
        <v>4223</v>
      </c>
      <c r="D9" t="s">
        <v>1080</v>
      </c>
      <c r="E9" t="s">
        <v>218</v>
      </c>
      <c r="F9">
        <v>21</v>
      </c>
      <c r="G9" t="s">
        <v>289</v>
      </c>
      <c r="H9" t="s">
        <v>3</v>
      </c>
      <c r="I9" t="s">
        <v>47</v>
      </c>
      <c r="J9" t="s">
        <v>52</v>
      </c>
      <c r="K9" t="s">
        <v>43</v>
      </c>
      <c r="L9">
        <v>2</v>
      </c>
      <c r="M9" s="12">
        <v>42999</v>
      </c>
      <c r="N9" s="12">
        <v>33539.22</v>
      </c>
      <c r="O9">
        <v>5</v>
      </c>
      <c r="P9" s="12">
        <v>81698.099999999991</v>
      </c>
      <c r="Q9" s="12">
        <v>67078.44</v>
      </c>
      <c r="R9" s="12">
        <v>14619.659999999989</v>
      </c>
      <c r="S9" t="s">
        <v>1246</v>
      </c>
      <c r="T9" t="s">
        <v>109</v>
      </c>
      <c r="U9" t="s">
        <v>1199</v>
      </c>
    </row>
    <row r="10" spans="1:21" x14ac:dyDescent="0.25">
      <c r="A10" t="s">
        <v>1262</v>
      </c>
      <c r="B10" s="8">
        <v>45808</v>
      </c>
      <c r="C10" t="s">
        <v>1409</v>
      </c>
      <c r="D10" t="s">
        <v>992</v>
      </c>
      <c r="E10" t="s">
        <v>198</v>
      </c>
      <c r="F10">
        <v>61</v>
      </c>
      <c r="G10" t="s">
        <v>9</v>
      </c>
      <c r="H10" t="s">
        <v>8</v>
      </c>
      <c r="I10" t="s">
        <v>24</v>
      </c>
      <c r="J10" t="s">
        <v>25</v>
      </c>
      <c r="K10" t="s">
        <v>22</v>
      </c>
      <c r="L10">
        <v>1</v>
      </c>
      <c r="M10" s="12">
        <v>35800</v>
      </c>
      <c r="N10" s="12">
        <v>28640</v>
      </c>
      <c r="O10">
        <v>7</v>
      </c>
      <c r="P10" s="12">
        <v>33294</v>
      </c>
      <c r="Q10" s="12">
        <v>28640</v>
      </c>
      <c r="R10" s="12">
        <v>4654</v>
      </c>
      <c r="S10" t="s">
        <v>1246</v>
      </c>
      <c r="T10" t="s">
        <v>108</v>
      </c>
      <c r="U10" t="s">
        <v>1201</v>
      </c>
    </row>
    <row r="11" spans="1:21" x14ac:dyDescent="0.25">
      <c r="A11" t="s">
        <v>1264</v>
      </c>
      <c r="B11" s="8">
        <v>45823</v>
      </c>
      <c r="C11" t="s">
        <v>3929</v>
      </c>
      <c r="D11" t="s">
        <v>953</v>
      </c>
      <c r="E11" t="s">
        <v>198</v>
      </c>
      <c r="F11">
        <v>51</v>
      </c>
      <c r="G11" t="s">
        <v>289</v>
      </c>
      <c r="H11" t="s">
        <v>3</v>
      </c>
      <c r="I11" t="s">
        <v>24</v>
      </c>
      <c r="J11" t="s">
        <v>25</v>
      </c>
      <c r="K11" t="s">
        <v>22</v>
      </c>
      <c r="L11">
        <v>3</v>
      </c>
      <c r="M11" s="12">
        <v>35800</v>
      </c>
      <c r="N11" s="12">
        <v>28640</v>
      </c>
      <c r="O11">
        <v>7</v>
      </c>
      <c r="P11" s="12">
        <v>99882</v>
      </c>
      <c r="Q11" s="12">
        <v>85920</v>
      </c>
      <c r="R11" s="12">
        <v>13962</v>
      </c>
      <c r="S11" t="s">
        <v>113</v>
      </c>
      <c r="T11" t="s">
        <v>109</v>
      </c>
      <c r="U11" t="s">
        <v>1205</v>
      </c>
    </row>
    <row r="12" spans="1:21" x14ac:dyDescent="0.25">
      <c r="A12" t="s">
        <v>1266</v>
      </c>
      <c r="B12" s="8">
        <v>45935</v>
      </c>
      <c r="C12" t="s">
        <v>2163</v>
      </c>
      <c r="D12" t="s">
        <v>378</v>
      </c>
      <c r="E12" t="s">
        <v>198</v>
      </c>
      <c r="F12">
        <v>21</v>
      </c>
      <c r="G12" t="s">
        <v>17</v>
      </c>
      <c r="H12" t="s">
        <v>15</v>
      </c>
      <c r="I12" t="s">
        <v>30</v>
      </c>
      <c r="J12" t="s">
        <v>41</v>
      </c>
      <c r="K12" t="s">
        <v>22</v>
      </c>
      <c r="L12">
        <v>5</v>
      </c>
      <c r="M12" s="12">
        <v>13749</v>
      </c>
      <c r="N12" s="12">
        <v>10999.2</v>
      </c>
      <c r="O12">
        <v>4</v>
      </c>
      <c r="P12" s="12">
        <v>65995.199999999997</v>
      </c>
      <c r="Q12" s="12">
        <v>54996</v>
      </c>
      <c r="R12" s="12">
        <v>10999.199999999997</v>
      </c>
      <c r="S12" t="s">
        <v>1246</v>
      </c>
      <c r="T12" t="s">
        <v>108</v>
      </c>
      <c r="U12" t="s">
        <v>1209</v>
      </c>
    </row>
    <row r="13" spans="1:21" x14ac:dyDescent="0.25">
      <c r="A13" t="s">
        <v>1267</v>
      </c>
      <c r="B13" s="8">
        <v>45730</v>
      </c>
      <c r="C13" t="s">
        <v>2327</v>
      </c>
      <c r="D13" t="s">
        <v>640</v>
      </c>
      <c r="E13" t="s">
        <v>218</v>
      </c>
      <c r="F13">
        <v>52</v>
      </c>
      <c r="G13" t="s">
        <v>16</v>
      </c>
      <c r="H13" t="s">
        <v>15</v>
      </c>
      <c r="I13" t="s">
        <v>26</v>
      </c>
      <c r="J13" t="s">
        <v>27</v>
      </c>
      <c r="K13" t="s">
        <v>22</v>
      </c>
      <c r="L13">
        <v>4</v>
      </c>
      <c r="M13" s="12">
        <v>27499</v>
      </c>
      <c r="N13" s="12">
        <v>23374.149999999998</v>
      </c>
      <c r="O13">
        <v>5</v>
      </c>
      <c r="P13" s="12">
        <v>104496.2</v>
      </c>
      <c r="Q13" s="12">
        <v>93496.599999999991</v>
      </c>
      <c r="R13" s="12">
        <v>10999.600000000006</v>
      </c>
      <c r="S13" t="s">
        <v>1246</v>
      </c>
      <c r="T13" t="s">
        <v>107</v>
      </c>
      <c r="U13" t="s">
        <v>1205</v>
      </c>
    </row>
    <row r="14" spans="1:21" x14ac:dyDescent="0.25">
      <c r="A14" t="s">
        <v>1268</v>
      </c>
      <c r="B14" s="8">
        <v>45669</v>
      </c>
      <c r="C14" t="s">
        <v>2715</v>
      </c>
      <c r="D14" t="s">
        <v>841</v>
      </c>
      <c r="E14" t="s">
        <v>218</v>
      </c>
      <c r="F14">
        <v>61</v>
      </c>
      <c r="G14" t="s">
        <v>10</v>
      </c>
      <c r="H14" t="s">
        <v>8</v>
      </c>
      <c r="I14" t="s">
        <v>63</v>
      </c>
      <c r="J14" t="s">
        <v>77</v>
      </c>
      <c r="K14" t="s">
        <v>64</v>
      </c>
      <c r="L14">
        <v>5</v>
      </c>
      <c r="M14" s="12">
        <v>650</v>
      </c>
      <c r="N14" s="12">
        <v>468</v>
      </c>
      <c r="O14">
        <v>14</v>
      </c>
      <c r="P14" s="12">
        <v>2795</v>
      </c>
      <c r="Q14" s="12">
        <v>2340</v>
      </c>
      <c r="R14" s="12">
        <v>455</v>
      </c>
      <c r="S14" t="s">
        <v>113</v>
      </c>
      <c r="T14" t="s">
        <v>108</v>
      </c>
      <c r="U14" t="s">
        <v>1198</v>
      </c>
    </row>
    <row r="15" spans="1:21" x14ac:dyDescent="0.25">
      <c r="A15" t="s">
        <v>1270</v>
      </c>
      <c r="B15" s="8">
        <v>45977</v>
      </c>
      <c r="C15" t="s">
        <v>1359</v>
      </c>
      <c r="D15" t="s">
        <v>942</v>
      </c>
      <c r="E15" t="s">
        <v>198</v>
      </c>
      <c r="F15">
        <v>49</v>
      </c>
      <c r="G15" t="s">
        <v>11</v>
      </c>
      <c r="H15" t="s">
        <v>12</v>
      </c>
      <c r="I15" t="s">
        <v>38</v>
      </c>
      <c r="J15" t="s">
        <v>37</v>
      </c>
      <c r="K15" t="s">
        <v>22</v>
      </c>
      <c r="L15">
        <v>1</v>
      </c>
      <c r="M15" s="12">
        <v>1650</v>
      </c>
      <c r="N15" s="12">
        <v>990</v>
      </c>
      <c r="O15">
        <v>18</v>
      </c>
      <c r="P15" s="12">
        <v>1353</v>
      </c>
      <c r="Q15" s="12">
        <v>990</v>
      </c>
      <c r="R15" s="12">
        <v>363</v>
      </c>
      <c r="S15" t="s">
        <v>113</v>
      </c>
      <c r="T15" t="s">
        <v>109</v>
      </c>
      <c r="U15" t="s">
        <v>1199</v>
      </c>
    </row>
    <row r="16" spans="1:21" x14ac:dyDescent="0.25">
      <c r="A16" t="s">
        <v>1272</v>
      </c>
      <c r="B16" s="8">
        <v>45660</v>
      </c>
      <c r="C16" t="s">
        <v>2489</v>
      </c>
      <c r="D16" t="s">
        <v>649</v>
      </c>
      <c r="E16" t="s">
        <v>218</v>
      </c>
      <c r="F16">
        <v>28</v>
      </c>
      <c r="G16" t="s">
        <v>16</v>
      </c>
      <c r="H16" t="s">
        <v>15</v>
      </c>
      <c r="I16" t="s">
        <v>30</v>
      </c>
      <c r="J16" t="s">
        <v>41</v>
      </c>
      <c r="K16" t="s">
        <v>22</v>
      </c>
      <c r="L16">
        <v>4</v>
      </c>
      <c r="M16" s="12">
        <v>13749</v>
      </c>
      <c r="N16" s="12">
        <v>10999.2</v>
      </c>
      <c r="O16">
        <v>5</v>
      </c>
      <c r="P16" s="12">
        <v>52246.2</v>
      </c>
      <c r="Q16" s="12">
        <v>43996.800000000003</v>
      </c>
      <c r="R16" s="12">
        <v>8249.3999999999942</v>
      </c>
      <c r="S16" t="s">
        <v>113</v>
      </c>
      <c r="T16" t="s">
        <v>110</v>
      </c>
      <c r="U16" t="s">
        <v>1199</v>
      </c>
    </row>
    <row r="17" spans="1:21" x14ac:dyDescent="0.25">
      <c r="A17" t="s">
        <v>1274</v>
      </c>
      <c r="B17" s="8">
        <v>45881</v>
      </c>
      <c r="C17" t="s">
        <v>1328</v>
      </c>
      <c r="D17" t="s">
        <v>567</v>
      </c>
      <c r="E17" t="s">
        <v>218</v>
      </c>
      <c r="F17">
        <v>31</v>
      </c>
      <c r="G17" t="s">
        <v>7</v>
      </c>
      <c r="H17" t="s">
        <v>8</v>
      </c>
      <c r="I17" t="s">
        <v>36</v>
      </c>
      <c r="J17" t="s">
        <v>136</v>
      </c>
      <c r="K17" t="s">
        <v>22</v>
      </c>
      <c r="L17">
        <v>3</v>
      </c>
      <c r="M17" s="12">
        <v>3590</v>
      </c>
      <c r="N17" s="12">
        <v>2333.5</v>
      </c>
      <c r="O17">
        <v>4</v>
      </c>
      <c r="P17" s="12">
        <v>10339.199999999999</v>
      </c>
      <c r="Q17" s="12">
        <v>7000.5</v>
      </c>
      <c r="R17" s="12">
        <v>3338.6999999999989</v>
      </c>
      <c r="S17" t="s">
        <v>1246</v>
      </c>
      <c r="T17" t="s">
        <v>110</v>
      </c>
      <c r="U17" t="s">
        <v>1205</v>
      </c>
    </row>
    <row r="18" spans="1:21" x14ac:dyDescent="0.25">
      <c r="A18" t="s">
        <v>1276</v>
      </c>
      <c r="B18" s="8">
        <v>45751</v>
      </c>
      <c r="C18" t="s">
        <v>1760</v>
      </c>
      <c r="D18" t="s">
        <v>414</v>
      </c>
      <c r="E18" t="s">
        <v>198</v>
      </c>
      <c r="F18">
        <v>61</v>
      </c>
      <c r="G18" t="s">
        <v>289</v>
      </c>
      <c r="H18" t="s">
        <v>3</v>
      </c>
      <c r="I18" t="s">
        <v>26</v>
      </c>
      <c r="J18" t="s">
        <v>27</v>
      </c>
      <c r="K18" t="s">
        <v>22</v>
      </c>
      <c r="L18">
        <v>3</v>
      </c>
      <c r="M18" s="12">
        <v>27499</v>
      </c>
      <c r="N18" s="12">
        <v>23374.149999999998</v>
      </c>
      <c r="O18">
        <v>3</v>
      </c>
      <c r="P18" s="12">
        <v>80022.09</v>
      </c>
      <c r="Q18" s="12">
        <v>70122.45</v>
      </c>
      <c r="R18" s="12">
        <v>9899.64</v>
      </c>
      <c r="S18" t="s">
        <v>1246</v>
      </c>
      <c r="T18" t="s">
        <v>107</v>
      </c>
      <c r="U18" t="s">
        <v>1209</v>
      </c>
    </row>
    <row r="19" spans="1:21" x14ac:dyDescent="0.25">
      <c r="A19" t="s">
        <v>1278</v>
      </c>
      <c r="B19" s="8">
        <v>45860</v>
      </c>
      <c r="C19" t="s">
        <v>1251</v>
      </c>
      <c r="D19" t="s">
        <v>585</v>
      </c>
      <c r="E19" t="s">
        <v>218</v>
      </c>
      <c r="F19">
        <v>20</v>
      </c>
      <c r="G19" t="s">
        <v>2</v>
      </c>
      <c r="H19" t="s">
        <v>3</v>
      </c>
      <c r="I19" t="s">
        <v>61</v>
      </c>
      <c r="J19" t="s">
        <v>146</v>
      </c>
      <c r="K19" t="s">
        <v>64</v>
      </c>
      <c r="L19">
        <v>2</v>
      </c>
      <c r="M19" s="12">
        <v>250</v>
      </c>
      <c r="N19" s="12">
        <v>155</v>
      </c>
      <c r="O19">
        <v>2</v>
      </c>
      <c r="P19" s="12">
        <v>490</v>
      </c>
      <c r="Q19" s="12">
        <v>310</v>
      </c>
      <c r="R19" s="12">
        <v>180</v>
      </c>
      <c r="S19" t="s">
        <v>1246</v>
      </c>
      <c r="T19" t="s">
        <v>108</v>
      </c>
      <c r="U19" t="s">
        <v>1201</v>
      </c>
    </row>
    <row r="20" spans="1:21" x14ac:dyDescent="0.25">
      <c r="A20" t="s">
        <v>1280</v>
      </c>
      <c r="B20" s="8">
        <v>45821</v>
      </c>
      <c r="C20" t="s">
        <v>3228</v>
      </c>
      <c r="D20" t="s">
        <v>1114</v>
      </c>
      <c r="E20" t="s">
        <v>218</v>
      </c>
      <c r="F20">
        <v>60</v>
      </c>
      <c r="G20" t="s">
        <v>7</v>
      </c>
      <c r="H20" t="s">
        <v>8</v>
      </c>
      <c r="I20" t="s">
        <v>32</v>
      </c>
      <c r="J20" t="s">
        <v>29</v>
      </c>
      <c r="K20" t="s">
        <v>22</v>
      </c>
      <c r="L20">
        <v>5</v>
      </c>
      <c r="M20" s="12">
        <v>9500</v>
      </c>
      <c r="N20" s="12">
        <v>6650</v>
      </c>
      <c r="O20">
        <v>5</v>
      </c>
      <c r="P20" s="12">
        <v>45125</v>
      </c>
      <c r="Q20" s="12">
        <v>33250</v>
      </c>
      <c r="R20" s="12">
        <v>11875</v>
      </c>
      <c r="S20" t="s">
        <v>113</v>
      </c>
      <c r="T20" t="s">
        <v>107</v>
      </c>
      <c r="U20" t="s">
        <v>1209</v>
      </c>
    </row>
    <row r="21" spans="1:21" x14ac:dyDescent="0.25">
      <c r="A21" t="s">
        <v>1282</v>
      </c>
      <c r="B21" s="8">
        <v>45921</v>
      </c>
      <c r="C21" t="s">
        <v>3006</v>
      </c>
      <c r="D21" t="s">
        <v>392</v>
      </c>
      <c r="E21" t="s">
        <v>198</v>
      </c>
      <c r="F21">
        <v>62</v>
      </c>
      <c r="G21" t="s">
        <v>17</v>
      </c>
      <c r="H21" t="s">
        <v>15</v>
      </c>
      <c r="I21" t="s">
        <v>59</v>
      </c>
      <c r="J21" t="s">
        <v>73</v>
      </c>
      <c r="K21" t="s">
        <v>64</v>
      </c>
      <c r="L21">
        <v>5</v>
      </c>
      <c r="M21" s="12">
        <v>120</v>
      </c>
      <c r="N21" s="12">
        <v>81.599999999999994</v>
      </c>
      <c r="O21">
        <v>1</v>
      </c>
      <c r="P21" s="12">
        <v>594</v>
      </c>
      <c r="Q21" s="12">
        <v>408</v>
      </c>
      <c r="R21" s="12">
        <v>186</v>
      </c>
      <c r="S21" t="s">
        <v>1246</v>
      </c>
      <c r="T21" t="s">
        <v>109</v>
      </c>
      <c r="U21" t="s">
        <v>1194</v>
      </c>
    </row>
    <row r="22" spans="1:21" x14ac:dyDescent="0.25">
      <c r="A22" t="s">
        <v>1284</v>
      </c>
      <c r="B22" s="8">
        <v>45875</v>
      </c>
      <c r="C22" t="s">
        <v>2541</v>
      </c>
      <c r="D22" t="s">
        <v>453</v>
      </c>
      <c r="E22" t="s">
        <v>198</v>
      </c>
      <c r="F22">
        <v>51</v>
      </c>
      <c r="G22" t="s">
        <v>7</v>
      </c>
      <c r="H22" t="s">
        <v>8</v>
      </c>
      <c r="I22" t="s">
        <v>42</v>
      </c>
      <c r="J22" t="s">
        <v>44</v>
      </c>
      <c r="K22" t="s">
        <v>43</v>
      </c>
      <c r="L22">
        <v>1</v>
      </c>
      <c r="M22" s="12">
        <v>8999</v>
      </c>
      <c r="N22" s="12">
        <v>6479.28</v>
      </c>
      <c r="O22">
        <v>10</v>
      </c>
      <c r="P22" s="12">
        <v>8099.1</v>
      </c>
      <c r="Q22" s="12">
        <v>6479.28</v>
      </c>
      <c r="R22" s="12">
        <v>1619.8200000000006</v>
      </c>
      <c r="S22" t="s">
        <v>113</v>
      </c>
      <c r="T22" t="s">
        <v>110</v>
      </c>
      <c r="U22" t="s">
        <v>1201</v>
      </c>
    </row>
    <row r="23" spans="1:21" x14ac:dyDescent="0.25">
      <c r="A23" t="s">
        <v>1286</v>
      </c>
      <c r="B23" s="8">
        <v>45789</v>
      </c>
      <c r="C23" t="s">
        <v>1431</v>
      </c>
      <c r="D23" t="s">
        <v>614</v>
      </c>
      <c r="E23" t="s">
        <v>218</v>
      </c>
      <c r="F23">
        <v>24</v>
      </c>
      <c r="G23" t="s">
        <v>14</v>
      </c>
      <c r="H23" t="s">
        <v>15</v>
      </c>
      <c r="I23" t="s">
        <v>32</v>
      </c>
      <c r="J23" t="s">
        <v>29</v>
      </c>
      <c r="K23" t="s">
        <v>22</v>
      </c>
      <c r="L23">
        <v>4</v>
      </c>
      <c r="M23" s="12">
        <v>9500</v>
      </c>
      <c r="N23" s="12">
        <v>6650</v>
      </c>
      <c r="O23">
        <v>6</v>
      </c>
      <c r="P23" s="12">
        <v>35720</v>
      </c>
      <c r="Q23" s="12">
        <v>26600</v>
      </c>
      <c r="R23" s="12">
        <v>9120</v>
      </c>
      <c r="S23" t="s">
        <v>1246</v>
      </c>
      <c r="T23" t="s">
        <v>108</v>
      </c>
      <c r="U23" t="s">
        <v>1211</v>
      </c>
    </row>
    <row r="24" spans="1:21" x14ac:dyDescent="0.25">
      <c r="A24" t="s">
        <v>1288</v>
      </c>
      <c r="B24" s="8">
        <v>45697</v>
      </c>
      <c r="C24" t="s">
        <v>2784</v>
      </c>
      <c r="D24" t="s">
        <v>645</v>
      </c>
      <c r="E24" t="s">
        <v>198</v>
      </c>
      <c r="F24">
        <v>50</v>
      </c>
      <c r="G24" t="s">
        <v>17</v>
      </c>
      <c r="H24" t="s">
        <v>15</v>
      </c>
      <c r="I24" t="s">
        <v>24</v>
      </c>
      <c r="J24" t="s">
        <v>25</v>
      </c>
      <c r="K24" t="s">
        <v>22</v>
      </c>
      <c r="L24">
        <v>3</v>
      </c>
      <c r="M24" s="12">
        <v>35800</v>
      </c>
      <c r="N24" s="12">
        <v>28640</v>
      </c>
      <c r="O24">
        <v>3</v>
      </c>
      <c r="P24" s="12">
        <v>104178</v>
      </c>
      <c r="Q24" s="12">
        <v>85920</v>
      </c>
      <c r="R24" s="12">
        <v>18258</v>
      </c>
      <c r="S24" t="s">
        <v>1249</v>
      </c>
      <c r="T24" t="s">
        <v>107</v>
      </c>
      <c r="U24" t="s">
        <v>1207</v>
      </c>
    </row>
    <row r="25" spans="1:21" x14ac:dyDescent="0.25">
      <c r="A25" t="s">
        <v>1290</v>
      </c>
      <c r="B25" s="8">
        <v>45750</v>
      </c>
      <c r="C25" t="s">
        <v>2790</v>
      </c>
      <c r="D25" t="s">
        <v>739</v>
      </c>
      <c r="E25" t="s">
        <v>198</v>
      </c>
      <c r="F25">
        <v>32</v>
      </c>
      <c r="G25" t="s">
        <v>289</v>
      </c>
      <c r="H25" t="s">
        <v>3</v>
      </c>
      <c r="I25" t="s">
        <v>61</v>
      </c>
      <c r="J25" t="s">
        <v>146</v>
      </c>
      <c r="K25" t="s">
        <v>64</v>
      </c>
      <c r="L25">
        <v>5</v>
      </c>
      <c r="M25" s="12">
        <v>250</v>
      </c>
      <c r="N25" s="12">
        <v>155</v>
      </c>
      <c r="O25">
        <v>3</v>
      </c>
      <c r="P25" s="12">
        <v>1212.5</v>
      </c>
      <c r="Q25" s="12">
        <v>775</v>
      </c>
      <c r="R25" s="12">
        <v>437.5</v>
      </c>
      <c r="S25" t="s">
        <v>113</v>
      </c>
      <c r="T25" t="s">
        <v>107</v>
      </c>
      <c r="U25" t="s">
        <v>1198</v>
      </c>
    </row>
    <row r="26" spans="1:21" x14ac:dyDescent="0.25">
      <c r="A26" t="s">
        <v>1292</v>
      </c>
      <c r="B26" s="8">
        <v>45856</v>
      </c>
      <c r="C26" t="s">
        <v>1271</v>
      </c>
      <c r="D26" t="s">
        <v>545</v>
      </c>
      <c r="E26" t="s">
        <v>218</v>
      </c>
      <c r="F26">
        <v>42</v>
      </c>
      <c r="G26" t="s">
        <v>4</v>
      </c>
      <c r="H26" t="s">
        <v>3</v>
      </c>
      <c r="I26" t="s">
        <v>49</v>
      </c>
      <c r="J26" t="s">
        <v>56</v>
      </c>
      <c r="K26" t="s">
        <v>43</v>
      </c>
      <c r="L26">
        <v>1</v>
      </c>
      <c r="M26" s="12">
        <v>31999</v>
      </c>
      <c r="N26" s="12">
        <v>25599.200000000001</v>
      </c>
      <c r="O26">
        <v>10</v>
      </c>
      <c r="P26" s="12">
        <v>28799.100000000002</v>
      </c>
      <c r="Q26" s="12">
        <v>25599.200000000001</v>
      </c>
      <c r="R26" s="12">
        <v>3199.9000000000015</v>
      </c>
      <c r="S26" t="s">
        <v>1246</v>
      </c>
      <c r="T26" t="s">
        <v>108</v>
      </c>
      <c r="U26" t="s">
        <v>1196</v>
      </c>
    </row>
    <row r="27" spans="1:21" x14ac:dyDescent="0.25">
      <c r="A27" t="s">
        <v>1294</v>
      </c>
      <c r="B27" s="8">
        <v>45872</v>
      </c>
      <c r="C27" t="s">
        <v>3554</v>
      </c>
      <c r="D27" t="s">
        <v>438</v>
      </c>
      <c r="E27" t="s">
        <v>198</v>
      </c>
      <c r="F27">
        <v>39</v>
      </c>
      <c r="G27" t="s">
        <v>290</v>
      </c>
      <c r="H27" t="s">
        <v>3</v>
      </c>
      <c r="I27" t="s">
        <v>38</v>
      </c>
      <c r="J27" t="s">
        <v>37</v>
      </c>
      <c r="K27" t="s">
        <v>22</v>
      </c>
      <c r="L27">
        <v>2</v>
      </c>
      <c r="M27" s="12">
        <v>1650</v>
      </c>
      <c r="N27" s="12">
        <v>990</v>
      </c>
      <c r="O27">
        <v>6</v>
      </c>
      <c r="P27" s="12">
        <v>3102</v>
      </c>
      <c r="Q27" s="12">
        <v>1980</v>
      </c>
      <c r="R27" s="12">
        <v>1122</v>
      </c>
      <c r="S27" t="s">
        <v>113</v>
      </c>
      <c r="T27" t="s">
        <v>108</v>
      </c>
      <c r="U27" t="s">
        <v>1196</v>
      </c>
    </row>
    <row r="28" spans="1:21" x14ac:dyDescent="0.25">
      <c r="A28" t="s">
        <v>1296</v>
      </c>
      <c r="B28" s="8">
        <v>45768</v>
      </c>
      <c r="C28" t="s">
        <v>1261</v>
      </c>
      <c r="D28" t="s">
        <v>625</v>
      </c>
      <c r="E28" t="s">
        <v>218</v>
      </c>
      <c r="F28">
        <v>38</v>
      </c>
      <c r="G28" t="s">
        <v>4</v>
      </c>
      <c r="H28" t="s">
        <v>3</v>
      </c>
      <c r="I28" t="s">
        <v>42</v>
      </c>
      <c r="J28" t="s">
        <v>44</v>
      </c>
      <c r="K28" t="s">
        <v>43</v>
      </c>
      <c r="L28">
        <v>1</v>
      </c>
      <c r="M28" s="12">
        <v>8999</v>
      </c>
      <c r="N28" s="12">
        <v>6479.28</v>
      </c>
      <c r="O28">
        <v>6</v>
      </c>
      <c r="P28" s="12">
        <v>8459.06</v>
      </c>
      <c r="Q28" s="12">
        <v>6479.28</v>
      </c>
      <c r="R28" s="12">
        <v>1979.7799999999997</v>
      </c>
      <c r="S28" t="s">
        <v>1246</v>
      </c>
      <c r="T28" t="s">
        <v>109</v>
      </c>
      <c r="U28" t="s">
        <v>1199</v>
      </c>
    </row>
    <row r="29" spans="1:21" x14ac:dyDescent="0.25">
      <c r="A29" t="s">
        <v>1298</v>
      </c>
      <c r="B29" s="8">
        <v>45918</v>
      </c>
      <c r="C29" t="s">
        <v>1959</v>
      </c>
      <c r="D29" t="s">
        <v>425</v>
      </c>
      <c r="E29" t="s">
        <v>218</v>
      </c>
      <c r="F29">
        <v>40</v>
      </c>
      <c r="G29" t="s">
        <v>7</v>
      </c>
      <c r="H29" t="s">
        <v>8</v>
      </c>
      <c r="I29" t="s">
        <v>55</v>
      </c>
      <c r="J29" t="s">
        <v>65</v>
      </c>
      <c r="K29" t="s">
        <v>64</v>
      </c>
      <c r="L29">
        <v>3</v>
      </c>
      <c r="M29" s="12">
        <v>80</v>
      </c>
      <c r="N29" s="12">
        <v>56</v>
      </c>
      <c r="O29">
        <v>3</v>
      </c>
      <c r="P29" s="12">
        <v>232.79999999999998</v>
      </c>
      <c r="Q29" s="12">
        <v>168</v>
      </c>
      <c r="R29" s="12">
        <v>64.799999999999983</v>
      </c>
      <c r="S29" t="s">
        <v>1246</v>
      </c>
      <c r="T29" t="s">
        <v>109</v>
      </c>
      <c r="U29" t="s">
        <v>1201</v>
      </c>
    </row>
    <row r="30" spans="1:21" x14ac:dyDescent="0.25">
      <c r="A30" t="s">
        <v>1300</v>
      </c>
      <c r="B30" s="8">
        <v>45720</v>
      </c>
      <c r="C30" t="s">
        <v>1795</v>
      </c>
      <c r="D30" t="s">
        <v>825</v>
      </c>
      <c r="E30" t="s">
        <v>198</v>
      </c>
      <c r="F30">
        <v>62</v>
      </c>
      <c r="G30" t="s">
        <v>5</v>
      </c>
      <c r="H30" t="s">
        <v>3</v>
      </c>
      <c r="I30" t="s">
        <v>40</v>
      </c>
      <c r="J30" t="s">
        <v>39</v>
      </c>
      <c r="K30" t="s">
        <v>22</v>
      </c>
      <c r="L30">
        <v>2</v>
      </c>
      <c r="M30" s="12">
        <v>1100</v>
      </c>
      <c r="N30" s="12">
        <v>715</v>
      </c>
      <c r="O30">
        <v>5</v>
      </c>
      <c r="P30" s="12">
        <v>2090</v>
      </c>
      <c r="Q30" s="12">
        <v>1430</v>
      </c>
      <c r="R30" s="12">
        <v>660</v>
      </c>
      <c r="S30" t="s">
        <v>113</v>
      </c>
      <c r="T30" t="s">
        <v>109</v>
      </c>
      <c r="U30" t="s">
        <v>1205</v>
      </c>
    </row>
    <row r="31" spans="1:21" x14ac:dyDescent="0.25">
      <c r="A31" t="s">
        <v>1301</v>
      </c>
      <c r="B31" s="8">
        <v>45767</v>
      </c>
      <c r="C31" t="s">
        <v>2084</v>
      </c>
      <c r="D31" t="s">
        <v>1175</v>
      </c>
      <c r="E31" t="s">
        <v>198</v>
      </c>
      <c r="F31">
        <v>50</v>
      </c>
      <c r="G31" t="s">
        <v>9</v>
      </c>
      <c r="H31" t="s">
        <v>8</v>
      </c>
      <c r="I31" t="s">
        <v>26</v>
      </c>
      <c r="J31" t="s">
        <v>27</v>
      </c>
      <c r="K31" t="s">
        <v>22</v>
      </c>
      <c r="L31">
        <v>3</v>
      </c>
      <c r="M31" s="12">
        <v>27499</v>
      </c>
      <c r="N31" s="12">
        <v>23374.149999999998</v>
      </c>
      <c r="O31">
        <v>3</v>
      </c>
      <c r="P31" s="12">
        <v>80022.09</v>
      </c>
      <c r="Q31" s="12">
        <v>70122.45</v>
      </c>
      <c r="R31" s="12">
        <v>9899.64</v>
      </c>
      <c r="S31" t="s">
        <v>113</v>
      </c>
      <c r="T31" t="s">
        <v>107</v>
      </c>
      <c r="U31" t="s">
        <v>1203</v>
      </c>
    </row>
    <row r="32" spans="1:21" x14ac:dyDescent="0.25">
      <c r="A32" t="s">
        <v>1303</v>
      </c>
      <c r="B32" s="8">
        <v>45689</v>
      </c>
      <c r="C32" t="s">
        <v>2669</v>
      </c>
      <c r="D32" t="s">
        <v>461</v>
      </c>
      <c r="E32" t="s">
        <v>218</v>
      </c>
      <c r="F32">
        <v>24</v>
      </c>
      <c r="G32" t="s">
        <v>11</v>
      </c>
      <c r="H32" t="s">
        <v>12</v>
      </c>
      <c r="I32" t="s">
        <v>28</v>
      </c>
      <c r="J32" t="s">
        <v>35</v>
      </c>
      <c r="K32" t="s">
        <v>22</v>
      </c>
      <c r="L32">
        <v>1</v>
      </c>
      <c r="M32" s="12">
        <v>16499</v>
      </c>
      <c r="N32" s="12">
        <v>14519.12</v>
      </c>
      <c r="O32">
        <v>7</v>
      </c>
      <c r="P32" s="12">
        <v>15344.07</v>
      </c>
      <c r="Q32" s="12">
        <v>14519.12</v>
      </c>
      <c r="R32" s="12">
        <v>824.94999999999891</v>
      </c>
      <c r="S32" t="s">
        <v>113</v>
      </c>
      <c r="T32" t="s">
        <v>109</v>
      </c>
      <c r="U32" t="s">
        <v>1203</v>
      </c>
    </row>
    <row r="33" spans="1:21" x14ac:dyDescent="0.25">
      <c r="A33" t="s">
        <v>1305</v>
      </c>
      <c r="B33" s="8">
        <v>45759</v>
      </c>
      <c r="C33" t="s">
        <v>1328</v>
      </c>
      <c r="D33" t="s">
        <v>567</v>
      </c>
      <c r="E33" t="s">
        <v>218</v>
      </c>
      <c r="F33">
        <v>31</v>
      </c>
      <c r="G33" t="s">
        <v>7</v>
      </c>
      <c r="H33" t="s">
        <v>8</v>
      </c>
      <c r="I33" t="s">
        <v>34</v>
      </c>
      <c r="J33" t="s">
        <v>137</v>
      </c>
      <c r="K33" t="s">
        <v>22</v>
      </c>
      <c r="L33">
        <v>5</v>
      </c>
      <c r="M33" s="12">
        <v>6900</v>
      </c>
      <c r="N33" s="12">
        <v>5727</v>
      </c>
      <c r="O33">
        <v>3</v>
      </c>
      <c r="P33" s="12">
        <v>33465</v>
      </c>
      <c r="Q33" s="12">
        <v>28635</v>
      </c>
      <c r="R33" s="12">
        <v>4830</v>
      </c>
      <c r="S33" t="s">
        <v>1246</v>
      </c>
      <c r="T33" t="s">
        <v>108</v>
      </c>
      <c r="U33" t="s">
        <v>1205</v>
      </c>
    </row>
    <row r="34" spans="1:21" x14ac:dyDescent="0.25">
      <c r="A34" t="s">
        <v>1307</v>
      </c>
      <c r="B34" s="8">
        <v>45927</v>
      </c>
      <c r="C34" t="s">
        <v>2212</v>
      </c>
      <c r="D34" t="s">
        <v>391</v>
      </c>
      <c r="E34" t="s">
        <v>198</v>
      </c>
      <c r="F34">
        <v>55</v>
      </c>
      <c r="G34" t="s">
        <v>17</v>
      </c>
      <c r="H34" t="s">
        <v>15</v>
      </c>
      <c r="I34" t="s">
        <v>55</v>
      </c>
      <c r="J34" t="s">
        <v>65</v>
      </c>
      <c r="K34" t="s">
        <v>64</v>
      </c>
      <c r="L34">
        <v>4</v>
      </c>
      <c r="M34" s="12">
        <v>80</v>
      </c>
      <c r="N34" s="12">
        <v>56</v>
      </c>
      <c r="O34">
        <v>2</v>
      </c>
      <c r="P34" s="12">
        <v>313.60000000000002</v>
      </c>
      <c r="Q34" s="12">
        <v>224</v>
      </c>
      <c r="R34" s="12">
        <v>89.600000000000023</v>
      </c>
      <c r="S34" t="s">
        <v>113</v>
      </c>
      <c r="T34" t="s">
        <v>107</v>
      </c>
      <c r="U34" t="s">
        <v>1198</v>
      </c>
    </row>
    <row r="35" spans="1:21" x14ac:dyDescent="0.25">
      <c r="A35" t="s">
        <v>1309</v>
      </c>
      <c r="B35" s="8">
        <v>45875</v>
      </c>
      <c r="C35" t="s">
        <v>2804</v>
      </c>
      <c r="D35" t="s">
        <v>1070</v>
      </c>
      <c r="E35" t="s">
        <v>198</v>
      </c>
      <c r="F35">
        <v>34</v>
      </c>
      <c r="G35" t="s">
        <v>5</v>
      </c>
      <c r="H35" t="s">
        <v>3</v>
      </c>
      <c r="I35" t="s">
        <v>45</v>
      </c>
      <c r="J35" t="s">
        <v>46</v>
      </c>
      <c r="K35" t="s">
        <v>43</v>
      </c>
      <c r="L35">
        <v>2</v>
      </c>
      <c r="M35" s="12">
        <v>11999</v>
      </c>
      <c r="N35" s="12">
        <v>8999.25</v>
      </c>
      <c r="O35">
        <v>8</v>
      </c>
      <c r="P35" s="12">
        <v>22078.16</v>
      </c>
      <c r="Q35" s="12">
        <v>17998.5</v>
      </c>
      <c r="R35" s="12">
        <v>4079.66</v>
      </c>
      <c r="S35" t="s">
        <v>113</v>
      </c>
      <c r="T35" t="s">
        <v>108</v>
      </c>
      <c r="U35" t="s">
        <v>1194</v>
      </c>
    </row>
    <row r="36" spans="1:21" x14ac:dyDescent="0.25">
      <c r="A36" t="s">
        <v>1311</v>
      </c>
      <c r="B36" s="8">
        <v>45899</v>
      </c>
      <c r="C36" t="s">
        <v>2388</v>
      </c>
      <c r="D36" t="s">
        <v>933</v>
      </c>
      <c r="E36" t="s">
        <v>218</v>
      </c>
      <c r="F36">
        <v>26</v>
      </c>
      <c r="G36" t="s">
        <v>4</v>
      </c>
      <c r="H36" t="s">
        <v>3</v>
      </c>
      <c r="I36" t="s">
        <v>53</v>
      </c>
      <c r="J36" t="s">
        <v>48</v>
      </c>
      <c r="K36" t="s">
        <v>43</v>
      </c>
      <c r="L36">
        <v>1</v>
      </c>
      <c r="M36" s="12">
        <v>6499</v>
      </c>
      <c r="N36" s="12">
        <v>4549.2999999999993</v>
      </c>
      <c r="O36">
        <v>5</v>
      </c>
      <c r="P36" s="12">
        <v>6174.0499999999993</v>
      </c>
      <c r="Q36" s="12">
        <v>4549.2999999999993</v>
      </c>
      <c r="R36" s="12">
        <v>1624.75</v>
      </c>
      <c r="S36" t="s">
        <v>1246</v>
      </c>
      <c r="T36" t="s">
        <v>107</v>
      </c>
      <c r="U36" t="s">
        <v>1207</v>
      </c>
    </row>
    <row r="37" spans="1:21" x14ac:dyDescent="0.25">
      <c r="A37" t="s">
        <v>1313</v>
      </c>
      <c r="B37" s="8">
        <v>45684</v>
      </c>
      <c r="C37" t="s">
        <v>1448</v>
      </c>
      <c r="D37" t="s">
        <v>413</v>
      </c>
      <c r="E37" t="s">
        <v>218</v>
      </c>
      <c r="F37">
        <v>56</v>
      </c>
      <c r="G37" t="s">
        <v>4</v>
      </c>
      <c r="H37" t="s">
        <v>3</v>
      </c>
      <c r="I37" t="s">
        <v>53</v>
      </c>
      <c r="J37" t="s">
        <v>48</v>
      </c>
      <c r="K37" t="s">
        <v>43</v>
      </c>
      <c r="L37">
        <v>1</v>
      </c>
      <c r="M37" s="12">
        <v>6499</v>
      </c>
      <c r="N37" s="12">
        <v>4549.2999999999993</v>
      </c>
      <c r="O37">
        <v>2</v>
      </c>
      <c r="P37" s="12">
        <v>6369.0199999999995</v>
      </c>
      <c r="Q37" s="12">
        <v>4549.2999999999993</v>
      </c>
      <c r="R37" s="12">
        <v>1819.7200000000003</v>
      </c>
      <c r="S37" t="s">
        <v>113</v>
      </c>
      <c r="T37" t="s">
        <v>108</v>
      </c>
      <c r="U37" t="s">
        <v>1194</v>
      </c>
    </row>
    <row r="38" spans="1:21" x14ac:dyDescent="0.25">
      <c r="A38" t="s">
        <v>1315</v>
      </c>
      <c r="B38" s="8">
        <v>45818</v>
      </c>
      <c r="C38" t="s">
        <v>2082</v>
      </c>
      <c r="D38" t="s">
        <v>708</v>
      </c>
      <c r="E38" t="s">
        <v>198</v>
      </c>
      <c r="F38">
        <v>43</v>
      </c>
      <c r="G38" t="s">
        <v>10</v>
      </c>
      <c r="H38" t="s">
        <v>8</v>
      </c>
      <c r="I38" t="s">
        <v>42</v>
      </c>
      <c r="J38" t="s">
        <v>44</v>
      </c>
      <c r="K38" t="s">
        <v>43</v>
      </c>
      <c r="L38">
        <v>4</v>
      </c>
      <c r="M38" s="12">
        <v>8999</v>
      </c>
      <c r="N38" s="12">
        <v>6479.28</v>
      </c>
      <c r="O38">
        <v>2</v>
      </c>
      <c r="P38" s="12">
        <v>35276.080000000002</v>
      </c>
      <c r="Q38" s="12">
        <v>25917.119999999999</v>
      </c>
      <c r="R38" s="12">
        <v>9358.9600000000028</v>
      </c>
      <c r="S38" t="s">
        <v>113</v>
      </c>
      <c r="T38" t="s">
        <v>110</v>
      </c>
      <c r="U38" t="s">
        <v>1201</v>
      </c>
    </row>
    <row r="39" spans="1:21" x14ac:dyDescent="0.25">
      <c r="A39" t="s">
        <v>1317</v>
      </c>
      <c r="B39" s="8">
        <v>45898</v>
      </c>
      <c r="C39" t="s">
        <v>1343</v>
      </c>
      <c r="D39" t="s">
        <v>895</v>
      </c>
      <c r="E39" t="s">
        <v>198</v>
      </c>
      <c r="F39">
        <v>59</v>
      </c>
      <c r="G39" t="s">
        <v>10</v>
      </c>
      <c r="H39" t="s">
        <v>8</v>
      </c>
      <c r="I39" t="s">
        <v>21</v>
      </c>
      <c r="J39" t="s">
        <v>23</v>
      </c>
      <c r="K39" t="s">
        <v>22</v>
      </c>
      <c r="L39">
        <v>3</v>
      </c>
      <c r="M39" s="12">
        <v>54999</v>
      </c>
      <c r="N39" s="12">
        <v>45099.18</v>
      </c>
      <c r="O39">
        <v>5</v>
      </c>
      <c r="P39" s="12">
        <v>156747.15</v>
      </c>
      <c r="Q39" s="12">
        <v>135297.54</v>
      </c>
      <c r="R39" s="12">
        <v>21449.609999999986</v>
      </c>
      <c r="S39" t="s">
        <v>113</v>
      </c>
      <c r="T39" t="s">
        <v>108</v>
      </c>
      <c r="U39" t="s">
        <v>1209</v>
      </c>
    </row>
    <row r="40" spans="1:21" x14ac:dyDescent="0.25">
      <c r="A40" t="s">
        <v>1319</v>
      </c>
      <c r="B40" s="8">
        <v>45985</v>
      </c>
      <c r="C40" t="s">
        <v>1513</v>
      </c>
      <c r="D40" t="s">
        <v>647</v>
      </c>
      <c r="E40" t="s">
        <v>198</v>
      </c>
      <c r="F40">
        <v>47</v>
      </c>
      <c r="G40" t="s">
        <v>289</v>
      </c>
      <c r="H40" t="s">
        <v>3</v>
      </c>
      <c r="I40" t="s">
        <v>47</v>
      </c>
      <c r="J40" t="s">
        <v>52</v>
      </c>
      <c r="K40" t="s">
        <v>43</v>
      </c>
      <c r="L40">
        <v>1</v>
      </c>
      <c r="M40" s="12">
        <v>42999</v>
      </c>
      <c r="N40" s="12">
        <v>33539.22</v>
      </c>
      <c r="O40">
        <v>17</v>
      </c>
      <c r="P40" s="12">
        <v>35689.17</v>
      </c>
      <c r="Q40" s="12">
        <v>33539.22</v>
      </c>
      <c r="R40" s="12">
        <v>2149.9499999999971</v>
      </c>
      <c r="S40" t="s">
        <v>113</v>
      </c>
      <c r="T40" t="s">
        <v>110</v>
      </c>
      <c r="U40" t="s">
        <v>1199</v>
      </c>
    </row>
    <row r="41" spans="1:21" x14ac:dyDescent="0.25">
      <c r="A41" t="s">
        <v>1321</v>
      </c>
      <c r="B41" s="8">
        <v>45699</v>
      </c>
      <c r="C41" t="s">
        <v>1644</v>
      </c>
      <c r="D41" t="s">
        <v>1164</v>
      </c>
      <c r="E41" t="s">
        <v>218</v>
      </c>
      <c r="F41">
        <v>58</v>
      </c>
      <c r="G41" t="s">
        <v>2</v>
      </c>
      <c r="H41" t="s">
        <v>3</v>
      </c>
      <c r="I41" t="s">
        <v>49</v>
      </c>
      <c r="J41" t="s">
        <v>56</v>
      </c>
      <c r="K41" t="s">
        <v>43</v>
      </c>
      <c r="L41">
        <v>5</v>
      </c>
      <c r="M41" s="12">
        <v>31999</v>
      </c>
      <c r="N41" s="12">
        <v>25599.200000000001</v>
      </c>
      <c r="O41">
        <v>5</v>
      </c>
      <c r="P41" s="12">
        <v>151995.25</v>
      </c>
      <c r="Q41" s="12">
        <v>127996</v>
      </c>
      <c r="R41" s="12">
        <v>23999.25</v>
      </c>
      <c r="S41" t="s">
        <v>113</v>
      </c>
      <c r="T41" t="s">
        <v>108</v>
      </c>
      <c r="U41" t="s">
        <v>1198</v>
      </c>
    </row>
    <row r="42" spans="1:21" x14ac:dyDescent="0.25">
      <c r="A42" t="s">
        <v>1323</v>
      </c>
      <c r="B42" s="8">
        <v>45851</v>
      </c>
      <c r="C42" t="s">
        <v>3696</v>
      </c>
      <c r="D42" t="s">
        <v>583</v>
      </c>
      <c r="E42" t="s">
        <v>218</v>
      </c>
      <c r="F42">
        <v>38</v>
      </c>
      <c r="G42" t="s">
        <v>289</v>
      </c>
      <c r="H42" t="s">
        <v>3</v>
      </c>
      <c r="I42" t="s">
        <v>30</v>
      </c>
      <c r="J42" t="s">
        <v>41</v>
      </c>
      <c r="K42" t="s">
        <v>22</v>
      </c>
      <c r="L42">
        <v>3</v>
      </c>
      <c r="M42" s="12">
        <v>13749</v>
      </c>
      <c r="N42" s="12">
        <v>10999.2</v>
      </c>
      <c r="O42">
        <v>7</v>
      </c>
      <c r="P42" s="12">
        <v>38359.71</v>
      </c>
      <c r="Q42" s="12">
        <v>32997.600000000006</v>
      </c>
      <c r="R42" s="12">
        <v>5362.1099999999933</v>
      </c>
      <c r="S42" t="s">
        <v>113</v>
      </c>
      <c r="T42" t="s">
        <v>107</v>
      </c>
      <c r="U42" t="s">
        <v>1203</v>
      </c>
    </row>
    <row r="43" spans="1:21" x14ac:dyDescent="0.25">
      <c r="A43" t="s">
        <v>1325</v>
      </c>
      <c r="B43" s="8">
        <v>45857</v>
      </c>
      <c r="C43" t="s">
        <v>1906</v>
      </c>
      <c r="D43" t="s">
        <v>629</v>
      </c>
      <c r="E43" t="s">
        <v>218</v>
      </c>
      <c r="F43">
        <v>53</v>
      </c>
      <c r="G43" t="s">
        <v>290</v>
      </c>
      <c r="H43" t="s">
        <v>3</v>
      </c>
      <c r="I43" t="s">
        <v>57</v>
      </c>
      <c r="J43" t="s">
        <v>67</v>
      </c>
      <c r="K43" t="s">
        <v>64</v>
      </c>
      <c r="L43">
        <v>4</v>
      </c>
      <c r="M43" s="12">
        <v>150</v>
      </c>
      <c r="N43" s="12">
        <v>97.5</v>
      </c>
      <c r="O43">
        <v>0</v>
      </c>
      <c r="P43" s="12">
        <v>600</v>
      </c>
      <c r="Q43" s="12">
        <v>390</v>
      </c>
      <c r="R43" s="12">
        <v>210</v>
      </c>
      <c r="S43" t="s">
        <v>113</v>
      </c>
      <c r="T43" t="s">
        <v>107</v>
      </c>
      <c r="U43" t="s">
        <v>1198</v>
      </c>
    </row>
    <row r="44" spans="1:21" x14ac:dyDescent="0.25">
      <c r="A44" t="s">
        <v>1327</v>
      </c>
      <c r="B44" s="8">
        <v>45709</v>
      </c>
      <c r="C44" t="s">
        <v>2951</v>
      </c>
      <c r="D44" t="s">
        <v>594</v>
      </c>
      <c r="E44" t="s">
        <v>218</v>
      </c>
      <c r="F44">
        <v>60</v>
      </c>
      <c r="G44" t="s">
        <v>7</v>
      </c>
      <c r="H44" t="s">
        <v>8</v>
      </c>
      <c r="I44" t="s">
        <v>32</v>
      </c>
      <c r="J44" t="s">
        <v>29</v>
      </c>
      <c r="K44" t="s">
        <v>22</v>
      </c>
      <c r="L44">
        <v>5</v>
      </c>
      <c r="M44" s="12">
        <v>9500</v>
      </c>
      <c r="N44" s="12">
        <v>6650</v>
      </c>
      <c r="O44">
        <v>4</v>
      </c>
      <c r="P44" s="12">
        <v>45600</v>
      </c>
      <c r="Q44" s="12">
        <v>33250</v>
      </c>
      <c r="R44" s="12">
        <v>12350</v>
      </c>
      <c r="S44" t="s">
        <v>113</v>
      </c>
      <c r="T44" t="s">
        <v>108</v>
      </c>
      <c r="U44" t="s">
        <v>1196</v>
      </c>
    </row>
    <row r="45" spans="1:21" x14ac:dyDescent="0.25">
      <c r="A45" t="s">
        <v>1329</v>
      </c>
      <c r="B45" s="8">
        <v>45889</v>
      </c>
      <c r="C45" t="s">
        <v>2261</v>
      </c>
      <c r="D45" t="s">
        <v>489</v>
      </c>
      <c r="E45" t="s">
        <v>198</v>
      </c>
      <c r="F45">
        <v>40</v>
      </c>
      <c r="G45" t="s">
        <v>289</v>
      </c>
      <c r="H45" t="s">
        <v>3</v>
      </c>
      <c r="I45" t="s">
        <v>28</v>
      </c>
      <c r="J45" t="s">
        <v>35</v>
      </c>
      <c r="K45" t="s">
        <v>22</v>
      </c>
      <c r="L45">
        <v>5</v>
      </c>
      <c r="M45" s="12">
        <v>16499</v>
      </c>
      <c r="N45" s="12">
        <v>14519.12</v>
      </c>
      <c r="O45">
        <v>8</v>
      </c>
      <c r="P45" s="12">
        <v>75895.400000000009</v>
      </c>
      <c r="Q45" s="12">
        <v>72595.600000000006</v>
      </c>
      <c r="R45" s="12">
        <v>3299.8000000000029</v>
      </c>
      <c r="S45" t="s">
        <v>1246</v>
      </c>
      <c r="T45" t="s">
        <v>110</v>
      </c>
      <c r="U45" t="s">
        <v>1205</v>
      </c>
    </row>
    <row r="46" spans="1:21" x14ac:dyDescent="0.25">
      <c r="A46" t="s">
        <v>1330</v>
      </c>
      <c r="B46" s="8">
        <v>45879</v>
      </c>
      <c r="C46" t="s">
        <v>2272</v>
      </c>
      <c r="D46" t="s">
        <v>371</v>
      </c>
      <c r="E46" t="s">
        <v>218</v>
      </c>
      <c r="F46">
        <v>50</v>
      </c>
      <c r="G46" t="s">
        <v>290</v>
      </c>
      <c r="H46" t="s">
        <v>3</v>
      </c>
      <c r="I46" t="s">
        <v>34</v>
      </c>
      <c r="J46" t="s">
        <v>137</v>
      </c>
      <c r="K46" t="s">
        <v>22</v>
      </c>
      <c r="L46">
        <v>3</v>
      </c>
      <c r="M46" s="12">
        <v>6900</v>
      </c>
      <c r="N46" s="12">
        <v>5727</v>
      </c>
      <c r="O46">
        <v>8</v>
      </c>
      <c r="P46" s="12">
        <v>19044</v>
      </c>
      <c r="Q46" s="12">
        <v>17181</v>
      </c>
      <c r="R46" s="12">
        <v>1863</v>
      </c>
      <c r="S46" t="s">
        <v>1246</v>
      </c>
      <c r="T46" t="s">
        <v>109</v>
      </c>
      <c r="U46" t="s">
        <v>1201</v>
      </c>
    </row>
    <row r="47" spans="1:21" x14ac:dyDescent="0.25">
      <c r="A47" t="s">
        <v>1332</v>
      </c>
      <c r="B47" s="8">
        <v>46006</v>
      </c>
      <c r="C47" t="s">
        <v>1927</v>
      </c>
      <c r="D47" t="s">
        <v>1041</v>
      </c>
      <c r="E47" t="s">
        <v>198</v>
      </c>
      <c r="F47">
        <v>26</v>
      </c>
      <c r="G47" t="s">
        <v>7</v>
      </c>
      <c r="H47" t="s">
        <v>8</v>
      </c>
      <c r="I47" t="s">
        <v>63</v>
      </c>
      <c r="J47" t="s">
        <v>77</v>
      </c>
      <c r="K47" t="s">
        <v>64</v>
      </c>
      <c r="L47">
        <v>4</v>
      </c>
      <c r="M47" s="12">
        <v>650</v>
      </c>
      <c r="N47" s="12">
        <v>468</v>
      </c>
      <c r="O47">
        <v>8</v>
      </c>
      <c r="P47" s="12">
        <v>2392</v>
      </c>
      <c r="Q47" s="12">
        <v>1872</v>
      </c>
      <c r="R47" s="12">
        <v>520</v>
      </c>
      <c r="S47" t="s">
        <v>1246</v>
      </c>
      <c r="T47" t="s">
        <v>109</v>
      </c>
      <c r="U47" t="s">
        <v>1207</v>
      </c>
    </row>
    <row r="48" spans="1:21" x14ac:dyDescent="0.25">
      <c r="A48" t="s">
        <v>1334</v>
      </c>
      <c r="B48" s="8">
        <v>45700</v>
      </c>
      <c r="C48" t="s">
        <v>2572</v>
      </c>
      <c r="D48" t="s">
        <v>635</v>
      </c>
      <c r="E48" t="s">
        <v>198</v>
      </c>
      <c r="F48">
        <v>53</v>
      </c>
      <c r="G48" t="s">
        <v>17</v>
      </c>
      <c r="H48" t="s">
        <v>15</v>
      </c>
      <c r="I48" t="s">
        <v>24</v>
      </c>
      <c r="J48" t="s">
        <v>25</v>
      </c>
      <c r="K48" t="s">
        <v>22</v>
      </c>
      <c r="L48">
        <v>2</v>
      </c>
      <c r="M48" s="12">
        <v>35800</v>
      </c>
      <c r="N48" s="12">
        <v>28640</v>
      </c>
      <c r="O48">
        <v>3</v>
      </c>
      <c r="P48" s="12">
        <v>69452</v>
      </c>
      <c r="Q48" s="12">
        <v>57280</v>
      </c>
      <c r="R48" s="12">
        <v>12172</v>
      </c>
      <c r="S48" t="s">
        <v>1246</v>
      </c>
      <c r="T48" t="s">
        <v>110</v>
      </c>
      <c r="U48" t="s">
        <v>1196</v>
      </c>
    </row>
    <row r="49" spans="1:21" x14ac:dyDescent="0.25">
      <c r="A49" t="s">
        <v>1336</v>
      </c>
      <c r="B49" s="8">
        <v>45866</v>
      </c>
      <c r="C49" t="s">
        <v>1470</v>
      </c>
      <c r="D49" t="s">
        <v>706</v>
      </c>
      <c r="E49" t="s">
        <v>198</v>
      </c>
      <c r="F49">
        <v>19</v>
      </c>
      <c r="G49" t="s">
        <v>11</v>
      </c>
      <c r="H49" t="s">
        <v>12</v>
      </c>
      <c r="I49" t="s">
        <v>59</v>
      </c>
      <c r="J49" t="s">
        <v>73</v>
      </c>
      <c r="K49" t="s">
        <v>64</v>
      </c>
      <c r="L49">
        <v>1</v>
      </c>
      <c r="M49" s="12">
        <v>120</v>
      </c>
      <c r="N49" s="12">
        <v>81.599999999999994</v>
      </c>
      <c r="O49">
        <v>3</v>
      </c>
      <c r="P49" s="12">
        <v>116.39999999999999</v>
      </c>
      <c r="Q49" s="12">
        <v>81.599999999999994</v>
      </c>
      <c r="R49" s="12">
        <v>34.799999999999997</v>
      </c>
      <c r="S49" t="s">
        <v>1246</v>
      </c>
      <c r="T49" t="s">
        <v>108</v>
      </c>
      <c r="U49" t="s">
        <v>1199</v>
      </c>
    </row>
    <row r="50" spans="1:21" x14ac:dyDescent="0.25">
      <c r="A50" t="s">
        <v>1338</v>
      </c>
      <c r="B50" s="8">
        <v>45770</v>
      </c>
      <c r="C50" t="s">
        <v>2660</v>
      </c>
      <c r="D50" t="s">
        <v>555</v>
      </c>
      <c r="E50" t="s">
        <v>218</v>
      </c>
      <c r="F50">
        <v>48</v>
      </c>
      <c r="G50" t="s">
        <v>16</v>
      </c>
      <c r="H50" t="s">
        <v>15</v>
      </c>
      <c r="I50" t="s">
        <v>21</v>
      </c>
      <c r="J50" t="s">
        <v>23</v>
      </c>
      <c r="K50" t="s">
        <v>22</v>
      </c>
      <c r="L50">
        <v>4</v>
      </c>
      <c r="M50" s="12">
        <v>54999</v>
      </c>
      <c r="N50" s="12">
        <v>45099.18</v>
      </c>
      <c r="O50">
        <v>3</v>
      </c>
      <c r="P50" s="12">
        <v>213396.12</v>
      </c>
      <c r="Q50" s="12">
        <v>180396.72</v>
      </c>
      <c r="R50" s="12">
        <v>32999.399999999994</v>
      </c>
      <c r="S50" t="s">
        <v>113</v>
      </c>
      <c r="T50" t="s">
        <v>111</v>
      </c>
      <c r="U50" t="s">
        <v>1199</v>
      </c>
    </row>
    <row r="51" spans="1:21" x14ac:dyDescent="0.25">
      <c r="A51" t="s">
        <v>1339</v>
      </c>
      <c r="B51" s="8">
        <v>45838</v>
      </c>
      <c r="C51" t="s">
        <v>5080</v>
      </c>
      <c r="D51" t="s">
        <v>1059</v>
      </c>
      <c r="E51" t="s">
        <v>198</v>
      </c>
      <c r="F51">
        <v>32</v>
      </c>
      <c r="G51" t="s">
        <v>5</v>
      </c>
      <c r="H51" t="s">
        <v>3</v>
      </c>
      <c r="I51" t="s">
        <v>47</v>
      </c>
      <c r="J51" t="s">
        <v>52</v>
      </c>
      <c r="K51" t="s">
        <v>43</v>
      </c>
      <c r="L51">
        <v>1</v>
      </c>
      <c r="M51" s="12">
        <v>42999</v>
      </c>
      <c r="N51" s="12">
        <v>33539.22</v>
      </c>
      <c r="O51">
        <v>5</v>
      </c>
      <c r="P51" s="12">
        <v>40849.049999999996</v>
      </c>
      <c r="Q51" s="12">
        <v>33539.22</v>
      </c>
      <c r="R51" s="12">
        <v>7309.8299999999945</v>
      </c>
      <c r="S51" t="s">
        <v>113</v>
      </c>
      <c r="T51" t="s">
        <v>109</v>
      </c>
      <c r="U51" t="s">
        <v>1205</v>
      </c>
    </row>
    <row r="52" spans="1:21" x14ac:dyDescent="0.25">
      <c r="A52" t="s">
        <v>1340</v>
      </c>
      <c r="B52" s="8">
        <v>45721</v>
      </c>
      <c r="C52" t="s">
        <v>3866</v>
      </c>
      <c r="D52" t="s">
        <v>928</v>
      </c>
      <c r="E52" t="s">
        <v>218</v>
      </c>
      <c r="F52">
        <v>49</v>
      </c>
      <c r="G52" t="s">
        <v>9</v>
      </c>
      <c r="H52" t="s">
        <v>8</v>
      </c>
      <c r="I52" t="s">
        <v>32</v>
      </c>
      <c r="J52" t="s">
        <v>29</v>
      </c>
      <c r="K52" t="s">
        <v>22</v>
      </c>
      <c r="L52">
        <v>1</v>
      </c>
      <c r="M52" s="12">
        <v>9500</v>
      </c>
      <c r="N52" s="12">
        <v>6650</v>
      </c>
      <c r="O52">
        <v>5</v>
      </c>
      <c r="P52" s="12">
        <v>9025</v>
      </c>
      <c r="Q52" s="12">
        <v>6650</v>
      </c>
      <c r="R52" s="12">
        <v>2375</v>
      </c>
      <c r="S52" t="s">
        <v>1246</v>
      </c>
      <c r="T52" t="s">
        <v>108</v>
      </c>
      <c r="U52" t="s">
        <v>1209</v>
      </c>
    </row>
    <row r="53" spans="1:21" x14ac:dyDescent="0.25">
      <c r="A53" t="s">
        <v>1342</v>
      </c>
      <c r="B53" s="8">
        <v>45802</v>
      </c>
      <c r="C53" t="s">
        <v>3279</v>
      </c>
      <c r="D53" t="s">
        <v>436</v>
      </c>
      <c r="E53" t="s">
        <v>218</v>
      </c>
      <c r="F53">
        <v>64</v>
      </c>
      <c r="G53" t="s">
        <v>2</v>
      </c>
      <c r="H53" t="s">
        <v>3</v>
      </c>
      <c r="I53" t="s">
        <v>40</v>
      </c>
      <c r="J53" t="s">
        <v>39</v>
      </c>
      <c r="K53" t="s">
        <v>22</v>
      </c>
      <c r="L53">
        <v>1</v>
      </c>
      <c r="M53" s="12">
        <v>1100</v>
      </c>
      <c r="N53" s="12">
        <v>715</v>
      </c>
      <c r="O53">
        <v>9</v>
      </c>
      <c r="P53" s="12">
        <v>1001</v>
      </c>
      <c r="Q53" s="12">
        <v>715</v>
      </c>
      <c r="R53" s="12">
        <v>286</v>
      </c>
      <c r="S53" t="s">
        <v>1246</v>
      </c>
      <c r="T53" t="s">
        <v>111</v>
      </c>
      <c r="U53" t="s">
        <v>1196</v>
      </c>
    </row>
    <row r="54" spans="1:21" x14ac:dyDescent="0.25">
      <c r="A54" t="s">
        <v>1344</v>
      </c>
      <c r="B54" s="8">
        <v>45781</v>
      </c>
      <c r="C54" t="s">
        <v>3796</v>
      </c>
      <c r="D54" t="s">
        <v>710</v>
      </c>
      <c r="E54" t="s">
        <v>218</v>
      </c>
      <c r="F54">
        <v>41</v>
      </c>
      <c r="G54" t="s">
        <v>17</v>
      </c>
      <c r="H54" t="s">
        <v>15</v>
      </c>
      <c r="I54" t="s">
        <v>51</v>
      </c>
      <c r="J54" t="s">
        <v>54</v>
      </c>
      <c r="K54" t="s">
        <v>43</v>
      </c>
      <c r="L54">
        <v>5</v>
      </c>
      <c r="M54" s="12">
        <v>27499</v>
      </c>
      <c r="N54" s="12">
        <v>21724.210000000003</v>
      </c>
      <c r="O54">
        <v>5</v>
      </c>
      <c r="P54" s="12">
        <v>130620.25</v>
      </c>
      <c r="Q54" s="12">
        <v>108621.05000000002</v>
      </c>
      <c r="R54" s="12">
        <v>21999.199999999983</v>
      </c>
      <c r="S54" t="s">
        <v>1249</v>
      </c>
      <c r="T54" t="s">
        <v>107</v>
      </c>
      <c r="U54" t="s">
        <v>1198</v>
      </c>
    </row>
    <row r="55" spans="1:21" x14ac:dyDescent="0.25">
      <c r="A55" t="s">
        <v>1346</v>
      </c>
      <c r="B55" s="8">
        <v>45760</v>
      </c>
      <c r="C55" t="s">
        <v>1335</v>
      </c>
      <c r="D55" t="s">
        <v>521</v>
      </c>
      <c r="E55" t="s">
        <v>218</v>
      </c>
      <c r="F55">
        <v>59</v>
      </c>
      <c r="G55" t="s">
        <v>9</v>
      </c>
      <c r="H55" t="s">
        <v>8</v>
      </c>
      <c r="I55" t="s">
        <v>42</v>
      </c>
      <c r="J55" t="s">
        <v>44</v>
      </c>
      <c r="K55" t="s">
        <v>43</v>
      </c>
      <c r="L55">
        <v>4</v>
      </c>
      <c r="M55" s="12">
        <v>8999</v>
      </c>
      <c r="N55" s="12">
        <v>6479.28</v>
      </c>
      <c r="O55">
        <v>10</v>
      </c>
      <c r="P55" s="12">
        <v>32396.400000000001</v>
      </c>
      <c r="Q55" s="12">
        <v>25917.119999999999</v>
      </c>
      <c r="R55" s="12">
        <v>6479.2800000000025</v>
      </c>
      <c r="S55" t="s">
        <v>1246</v>
      </c>
      <c r="T55" t="s">
        <v>107</v>
      </c>
      <c r="U55" t="s">
        <v>1201</v>
      </c>
    </row>
    <row r="56" spans="1:21" x14ac:dyDescent="0.25">
      <c r="A56" t="s">
        <v>1348</v>
      </c>
      <c r="B56" s="8">
        <v>45764</v>
      </c>
      <c r="C56" t="s">
        <v>3632</v>
      </c>
      <c r="D56" t="s">
        <v>1081</v>
      </c>
      <c r="E56" t="s">
        <v>218</v>
      </c>
      <c r="F56">
        <v>47</v>
      </c>
      <c r="G56" t="s">
        <v>289</v>
      </c>
      <c r="H56" t="s">
        <v>3</v>
      </c>
      <c r="I56" t="s">
        <v>42</v>
      </c>
      <c r="J56" t="s">
        <v>44</v>
      </c>
      <c r="K56" t="s">
        <v>43</v>
      </c>
      <c r="L56">
        <v>4</v>
      </c>
      <c r="M56" s="12">
        <v>8999</v>
      </c>
      <c r="N56" s="12">
        <v>6479.28</v>
      </c>
      <c r="O56">
        <v>7</v>
      </c>
      <c r="P56" s="12">
        <v>33476.28</v>
      </c>
      <c r="Q56" s="12">
        <v>25917.119999999999</v>
      </c>
      <c r="R56" s="12">
        <v>7559.16</v>
      </c>
      <c r="S56" t="s">
        <v>113</v>
      </c>
      <c r="T56" t="s">
        <v>107</v>
      </c>
      <c r="U56" t="s">
        <v>1211</v>
      </c>
    </row>
    <row r="57" spans="1:21" x14ac:dyDescent="0.25">
      <c r="A57" t="s">
        <v>1350</v>
      </c>
      <c r="B57" s="8">
        <v>45766</v>
      </c>
      <c r="C57" t="s">
        <v>2029</v>
      </c>
      <c r="D57" t="s">
        <v>1143</v>
      </c>
      <c r="E57" t="s">
        <v>218</v>
      </c>
      <c r="F57">
        <v>49</v>
      </c>
      <c r="G57" t="s">
        <v>10</v>
      </c>
      <c r="H57" t="s">
        <v>8</v>
      </c>
      <c r="I57" t="s">
        <v>53</v>
      </c>
      <c r="J57" t="s">
        <v>48</v>
      </c>
      <c r="K57" t="s">
        <v>43</v>
      </c>
      <c r="L57">
        <v>4</v>
      </c>
      <c r="M57" s="12">
        <v>6499</v>
      </c>
      <c r="N57" s="12">
        <v>4549.2999999999993</v>
      </c>
      <c r="O57">
        <v>6</v>
      </c>
      <c r="P57" s="12">
        <v>24436.239999999998</v>
      </c>
      <c r="Q57" s="12">
        <v>18197.199999999997</v>
      </c>
      <c r="R57" s="12">
        <v>6239.0400000000009</v>
      </c>
      <c r="S57" t="s">
        <v>113</v>
      </c>
      <c r="T57" t="s">
        <v>110</v>
      </c>
      <c r="U57" t="s">
        <v>1196</v>
      </c>
    </row>
    <row r="58" spans="1:21" x14ac:dyDescent="0.25">
      <c r="A58" t="s">
        <v>1352</v>
      </c>
      <c r="B58" s="8">
        <v>45912</v>
      </c>
      <c r="C58" t="s">
        <v>1906</v>
      </c>
      <c r="D58" t="s">
        <v>629</v>
      </c>
      <c r="E58" t="s">
        <v>218</v>
      </c>
      <c r="F58">
        <v>53</v>
      </c>
      <c r="G58" t="s">
        <v>290</v>
      </c>
      <c r="H58" t="s">
        <v>3</v>
      </c>
      <c r="I58" t="s">
        <v>45</v>
      </c>
      <c r="J58" t="s">
        <v>46</v>
      </c>
      <c r="K58" t="s">
        <v>43</v>
      </c>
      <c r="L58">
        <v>2</v>
      </c>
      <c r="M58" s="12">
        <v>11999</v>
      </c>
      <c r="N58" s="12">
        <v>8999.25</v>
      </c>
      <c r="O58">
        <v>10</v>
      </c>
      <c r="P58" s="12">
        <v>21598.2</v>
      </c>
      <c r="Q58" s="12">
        <v>17998.5</v>
      </c>
      <c r="R58" s="12">
        <v>3599.7000000000007</v>
      </c>
      <c r="S58" t="s">
        <v>1246</v>
      </c>
      <c r="T58" t="s">
        <v>109</v>
      </c>
      <c r="U58" t="s">
        <v>1205</v>
      </c>
    </row>
    <row r="59" spans="1:21" x14ac:dyDescent="0.25">
      <c r="A59" t="s">
        <v>1354</v>
      </c>
      <c r="B59" s="8">
        <v>46001</v>
      </c>
      <c r="C59" t="s">
        <v>1483</v>
      </c>
      <c r="D59" t="s">
        <v>563</v>
      </c>
      <c r="E59" t="s">
        <v>218</v>
      </c>
      <c r="F59">
        <v>28</v>
      </c>
      <c r="G59" t="s">
        <v>7</v>
      </c>
      <c r="H59" t="s">
        <v>8</v>
      </c>
      <c r="I59" t="s">
        <v>47</v>
      </c>
      <c r="J59" t="s">
        <v>52</v>
      </c>
      <c r="K59" t="s">
        <v>43</v>
      </c>
      <c r="L59">
        <v>2</v>
      </c>
      <c r="M59" s="12">
        <v>42999</v>
      </c>
      <c r="N59" s="12">
        <v>33539.22</v>
      </c>
      <c r="O59">
        <v>12</v>
      </c>
      <c r="P59" s="12">
        <v>75678.240000000005</v>
      </c>
      <c r="Q59" s="12">
        <v>67078.44</v>
      </c>
      <c r="R59" s="12">
        <v>8599.8000000000029</v>
      </c>
      <c r="S59" t="s">
        <v>1246</v>
      </c>
      <c r="T59" t="s">
        <v>111</v>
      </c>
      <c r="U59" t="s">
        <v>1205</v>
      </c>
    </row>
    <row r="60" spans="1:21" x14ac:dyDescent="0.25">
      <c r="A60" t="s">
        <v>1356</v>
      </c>
      <c r="B60" s="8">
        <v>45687</v>
      </c>
      <c r="C60" t="s">
        <v>3120</v>
      </c>
      <c r="D60" t="s">
        <v>623</v>
      </c>
      <c r="E60" t="s">
        <v>198</v>
      </c>
      <c r="F60">
        <v>62</v>
      </c>
      <c r="G60" t="s">
        <v>290</v>
      </c>
      <c r="H60" t="s">
        <v>3</v>
      </c>
      <c r="I60" t="s">
        <v>34</v>
      </c>
      <c r="J60" t="s">
        <v>137</v>
      </c>
      <c r="K60" t="s">
        <v>22</v>
      </c>
      <c r="L60">
        <v>2</v>
      </c>
      <c r="M60" s="12">
        <v>6900</v>
      </c>
      <c r="N60" s="12">
        <v>5727</v>
      </c>
      <c r="O60">
        <v>5</v>
      </c>
      <c r="P60" s="12">
        <v>13110</v>
      </c>
      <c r="Q60" s="12">
        <v>11454</v>
      </c>
      <c r="R60" s="12">
        <v>1656</v>
      </c>
      <c r="S60" t="s">
        <v>113</v>
      </c>
      <c r="T60" t="s">
        <v>111</v>
      </c>
      <c r="U60" t="s">
        <v>1199</v>
      </c>
    </row>
    <row r="61" spans="1:21" x14ac:dyDescent="0.25">
      <c r="A61" t="s">
        <v>1358</v>
      </c>
      <c r="B61" s="8">
        <v>45684</v>
      </c>
      <c r="C61" t="s">
        <v>2133</v>
      </c>
      <c r="D61" t="s">
        <v>537</v>
      </c>
      <c r="E61" t="s">
        <v>198</v>
      </c>
      <c r="F61">
        <v>19</v>
      </c>
      <c r="G61" t="s">
        <v>289</v>
      </c>
      <c r="H61" t="s">
        <v>3</v>
      </c>
      <c r="I61" t="s">
        <v>38</v>
      </c>
      <c r="J61" t="s">
        <v>37</v>
      </c>
      <c r="K61" t="s">
        <v>22</v>
      </c>
      <c r="L61">
        <v>4</v>
      </c>
      <c r="M61" s="12">
        <v>1650</v>
      </c>
      <c r="N61" s="12">
        <v>990</v>
      </c>
      <c r="O61">
        <v>10</v>
      </c>
      <c r="P61" s="12">
        <v>5940</v>
      </c>
      <c r="Q61" s="12">
        <v>3960</v>
      </c>
      <c r="R61" s="12">
        <v>1980</v>
      </c>
      <c r="S61" t="s">
        <v>1246</v>
      </c>
      <c r="T61" t="s">
        <v>108</v>
      </c>
      <c r="U61" t="s">
        <v>1211</v>
      </c>
    </row>
    <row r="62" spans="1:21" x14ac:dyDescent="0.25">
      <c r="A62" t="s">
        <v>1360</v>
      </c>
      <c r="B62" s="8">
        <v>45972</v>
      </c>
      <c r="C62" t="s">
        <v>2149</v>
      </c>
      <c r="D62" t="s">
        <v>1018</v>
      </c>
      <c r="E62" t="s">
        <v>218</v>
      </c>
      <c r="F62">
        <v>37</v>
      </c>
      <c r="G62" t="s">
        <v>290</v>
      </c>
      <c r="H62" t="s">
        <v>3</v>
      </c>
      <c r="I62" t="s">
        <v>47</v>
      </c>
      <c r="J62" t="s">
        <v>52</v>
      </c>
      <c r="K62" t="s">
        <v>43</v>
      </c>
      <c r="L62">
        <v>4</v>
      </c>
      <c r="M62" s="12">
        <v>42999</v>
      </c>
      <c r="N62" s="12">
        <v>33539.22</v>
      </c>
      <c r="O62">
        <v>14</v>
      </c>
      <c r="P62" s="12">
        <v>147916.56</v>
      </c>
      <c r="Q62" s="12">
        <v>134156.88</v>
      </c>
      <c r="R62" s="12">
        <v>13759.679999999993</v>
      </c>
      <c r="S62" t="s">
        <v>1246</v>
      </c>
      <c r="T62" t="s">
        <v>110</v>
      </c>
      <c r="U62" t="s">
        <v>1207</v>
      </c>
    </row>
    <row r="63" spans="1:21" x14ac:dyDescent="0.25">
      <c r="A63" t="s">
        <v>1362</v>
      </c>
      <c r="B63" s="8">
        <v>45988</v>
      </c>
      <c r="C63" t="s">
        <v>1893</v>
      </c>
      <c r="D63" t="s">
        <v>479</v>
      </c>
      <c r="E63" t="s">
        <v>218</v>
      </c>
      <c r="F63">
        <v>39</v>
      </c>
      <c r="G63" t="s">
        <v>5</v>
      </c>
      <c r="H63" t="s">
        <v>3</v>
      </c>
      <c r="I63" t="s">
        <v>57</v>
      </c>
      <c r="J63" t="s">
        <v>67</v>
      </c>
      <c r="K63" t="s">
        <v>64</v>
      </c>
      <c r="L63">
        <v>4</v>
      </c>
      <c r="M63" s="12">
        <v>150</v>
      </c>
      <c r="N63" s="12">
        <v>97.5</v>
      </c>
      <c r="O63">
        <v>3</v>
      </c>
      <c r="P63" s="12">
        <v>582</v>
      </c>
      <c r="Q63" s="12">
        <v>390</v>
      </c>
      <c r="R63" s="12">
        <v>192</v>
      </c>
      <c r="S63" t="s">
        <v>113</v>
      </c>
      <c r="T63" t="s">
        <v>110</v>
      </c>
      <c r="U63" t="s">
        <v>1196</v>
      </c>
    </row>
    <row r="64" spans="1:21" x14ac:dyDescent="0.25">
      <c r="A64" t="s">
        <v>1364</v>
      </c>
      <c r="B64" s="8">
        <v>45688</v>
      </c>
      <c r="C64" t="s">
        <v>2969</v>
      </c>
      <c r="D64" t="s">
        <v>539</v>
      </c>
      <c r="E64" t="s">
        <v>218</v>
      </c>
      <c r="F64">
        <v>27</v>
      </c>
      <c r="G64" t="s">
        <v>11</v>
      </c>
      <c r="H64" t="s">
        <v>12</v>
      </c>
      <c r="I64" t="s">
        <v>28</v>
      </c>
      <c r="J64" t="s">
        <v>35</v>
      </c>
      <c r="K64" t="s">
        <v>22</v>
      </c>
      <c r="L64">
        <v>1</v>
      </c>
      <c r="M64" s="12">
        <v>16499</v>
      </c>
      <c r="N64" s="12">
        <v>14519.12</v>
      </c>
      <c r="O64">
        <v>7</v>
      </c>
      <c r="P64" s="12">
        <v>15344.07</v>
      </c>
      <c r="Q64" s="12">
        <v>14519.12</v>
      </c>
      <c r="R64" s="12">
        <v>824.94999999999891</v>
      </c>
      <c r="S64" t="s">
        <v>1249</v>
      </c>
      <c r="T64" t="s">
        <v>107</v>
      </c>
      <c r="U64" t="s">
        <v>1203</v>
      </c>
    </row>
    <row r="65" spans="1:21" x14ac:dyDescent="0.25">
      <c r="A65" t="s">
        <v>1365</v>
      </c>
      <c r="B65" s="8">
        <v>45726</v>
      </c>
      <c r="C65" t="s">
        <v>3704</v>
      </c>
      <c r="D65" t="s">
        <v>609</v>
      </c>
      <c r="E65" t="s">
        <v>198</v>
      </c>
      <c r="F65">
        <v>52</v>
      </c>
      <c r="G65" t="s">
        <v>5</v>
      </c>
      <c r="H65" t="s">
        <v>3</v>
      </c>
      <c r="I65" t="s">
        <v>51</v>
      </c>
      <c r="J65" t="s">
        <v>54</v>
      </c>
      <c r="K65" t="s">
        <v>43</v>
      </c>
      <c r="L65">
        <v>2</v>
      </c>
      <c r="M65" s="12">
        <v>27499</v>
      </c>
      <c r="N65" s="12">
        <v>21724.210000000003</v>
      </c>
      <c r="O65">
        <v>9</v>
      </c>
      <c r="P65" s="12">
        <v>50048.18</v>
      </c>
      <c r="Q65" s="12">
        <v>43448.420000000006</v>
      </c>
      <c r="R65" s="12">
        <v>6599.7599999999948</v>
      </c>
      <c r="S65" t="s">
        <v>113</v>
      </c>
      <c r="T65" t="s">
        <v>109</v>
      </c>
      <c r="U65" t="s">
        <v>1209</v>
      </c>
    </row>
    <row r="66" spans="1:21" x14ac:dyDescent="0.25">
      <c r="A66" t="s">
        <v>1367</v>
      </c>
      <c r="B66" s="8">
        <v>45842</v>
      </c>
      <c r="C66" t="s">
        <v>1599</v>
      </c>
      <c r="D66" t="s">
        <v>591</v>
      </c>
      <c r="E66" t="s">
        <v>218</v>
      </c>
      <c r="F66">
        <v>39</v>
      </c>
      <c r="G66" t="s">
        <v>10</v>
      </c>
      <c r="H66" t="s">
        <v>8</v>
      </c>
      <c r="I66" t="s">
        <v>59</v>
      </c>
      <c r="J66" t="s">
        <v>73</v>
      </c>
      <c r="K66" t="s">
        <v>64</v>
      </c>
      <c r="L66">
        <v>2</v>
      </c>
      <c r="M66" s="12">
        <v>120</v>
      </c>
      <c r="N66" s="12">
        <v>81.599999999999994</v>
      </c>
      <c r="O66">
        <v>2</v>
      </c>
      <c r="P66" s="12">
        <v>235.2</v>
      </c>
      <c r="Q66" s="12">
        <v>163.19999999999999</v>
      </c>
      <c r="R66" s="12">
        <v>72</v>
      </c>
      <c r="S66" t="s">
        <v>1246</v>
      </c>
      <c r="T66" t="s">
        <v>107</v>
      </c>
      <c r="U66" t="s">
        <v>1198</v>
      </c>
    </row>
    <row r="67" spans="1:21" x14ac:dyDescent="0.25">
      <c r="A67" t="s">
        <v>1369</v>
      </c>
      <c r="B67" s="8">
        <v>45911</v>
      </c>
      <c r="C67" t="s">
        <v>2971</v>
      </c>
      <c r="D67" t="s">
        <v>955</v>
      </c>
      <c r="E67" t="s">
        <v>198</v>
      </c>
      <c r="F67">
        <v>64</v>
      </c>
      <c r="G67" t="s">
        <v>4</v>
      </c>
      <c r="H67" t="s">
        <v>3</v>
      </c>
      <c r="I67" t="s">
        <v>51</v>
      </c>
      <c r="J67" t="s">
        <v>54</v>
      </c>
      <c r="K67" t="s">
        <v>43</v>
      </c>
      <c r="L67">
        <v>3</v>
      </c>
      <c r="M67" s="12">
        <v>27499</v>
      </c>
      <c r="N67" s="12">
        <v>21724.210000000003</v>
      </c>
      <c r="O67">
        <v>6</v>
      </c>
      <c r="P67" s="12">
        <v>77547.179999999993</v>
      </c>
      <c r="Q67" s="12">
        <v>65172.630000000005</v>
      </c>
      <c r="R67" s="12">
        <v>12374.549999999988</v>
      </c>
      <c r="S67" t="s">
        <v>1249</v>
      </c>
      <c r="T67" t="s">
        <v>108</v>
      </c>
      <c r="U67" t="s">
        <v>1199</v>
      </c>
    </row>
    <row r="68" spans="1:21" x14ac:dyDescent="0.25">
      <c r="A68" t="s">
        <v>1371</v>
      </c>
      <c r="B68" s="8">
        <v>46011</v>
      </c>
      <c r="C68" t="s">
        <v>2392</v>
      </c>
      <c r="D68" t="s">
        <v>667</v>
      </c>
      <c r="E68" t="s">
        <v>218</v>
      </c>
      <c r="F68">
        <v>25</v>
      </c>
      <c r="G68" t="s">
        <v>10</v>
      </c>
      <c r="H68" t="s">
        <v>8</v>
      </c>
      <c r="I68" t="s">
        <v>42</v>
      </c>
      <c r="J68" t="s">
        <v>44</v>
      </c>
      <c r="K68" t="s">
        <v>43</v>
      </c>
      <c r="L68">
        <v>5</v>
      </c>
      <c r="M68" s="12">
        <v>8999</v>
      </c>
      <c r="N68" s="12">
        <v>6479.28</v>
      </c>
      <c r="O68">
        <v>15</v>
      </c>
      <c r="P68" s="12">
        <v>38245.75</v>
      </c>
      <c r="Q68" s="12">
        <v>32396.399999999998</v>
      </c>
      <c r="R68" s="12">
        <v>5849.3500000000022</v>
      </c>
      <c r="S68" t="s">
        <v>1246</v>
      </c>
      <c r="T68" t="s">
        <v>108</v>
      </c>
      <c r="U68" t="s">
        <v>1199</v>
      </c>
    </row>
    <row r="69" spans="1:21" x14ac:dyDescent="0.25">
      <c r="A69" t="s">
        <v>1373</v>
      </c>
      <c r="B69" s="8">
        <v>45732</v>
      </c>
      <c r="C69" t="s">
        <v>5081</v>
      </c>
      <c r="D69" t="s">
        <v>971</v>
      </c>
      <c r="E69" t="s">
        <v>218</v>
      </c>
      <c r="F69">
        <v>58</v>
      </c>
      <c r="G69" t="s">
        <v>10</v>
      </c>
      <c r="H69" t="s">
        <v>8</v>
      </c>
      <c r="I69" t="s">
        <v>24</v>
      </c>
      <c r="J69" t="s">
        <v>25</v>
      </c>
      <c r="K69" t="s">
        <v>22</v>
      </c>
      <c r="L69">
        <v>4</v>
      </c>
      <c r="M69" s="12">
        <v>35800</v>
      </c>
      <c r="N69" s="12">
        <v>28640</v>
      </c>
      <c r="O69">
        <v>8</v>
      </c>
      <c r="P69" s="12">
        <v>131744</v>
      </c>
      <c r="Q69" s="12">
        <v>114560</v>
      </c>
      <c r="R69" s="12">
        <v>17184</v>
      </c>
      <c r="S69" t="s">
        <v>1246</v>
      </c>
      <c r="T69" t="s">
        <v>109</v>
      </c>
      <c r="U69" t="s">
        <v>1196</v>
      </c>
    </row>
    <row r="70" spans="1:21" x14ac:dyDescent="0.25">
      <c r="A70" t="s">
        <v>1375</v>
      </c>
      <c r="B70" s="8">
        <v>45744</v>
      </c>
      <c r="C70" t="s">
        <v>1848</v>
      </c>
      <c r="D70" t="s">
        <v>589</v>
      </c>
      <c r="E70" t="s">
        <v>198</v>
      </c>
      <c r="F70">
        <v>51</v>
      </c>
      <c r="G70" t="s">
        <v>290</v>
      </c>
      <c r="H70" t="s">
        <v>3</v>
      </c>
      <c r="I70" t="s">
        <v>24</v>
      </c>
      <c r="J70" t="s">
        <v>25</v>
      </c>
      <c r="K70" t="s">
        <v>22</v>
      </c>
      <c r="L70">
        <v>2</v>
      </c>
      <c r="M70" s="12">
        <v>35800</v>
      </c>
      <c r="N70" s="12">
        <v>28640</v>
      </c>
      <c r="O70">
        <v>3</v>
      </c>
      <c r="P70" s="12">
        <v>69452</v>
      </c>
      <c r="Q70" s="12">
        <v>57280</v>
      </c>
      <c r="R70" s="12">
        <v>12172</v>
      </c>
      <c r="S70" t="s">
        <v>1246</v>
      </c>
      <c r="T70" t="s">
        <v>110</v>
      </c>
      <c r="U70" t="s">
        <v>1209</v>
      </c>
    </row>
    <row r="71" spans="1:21" x14ac:dyDescent="0.25">
      <c r="A71" t="s">
        <v>1377</v>
      </c>
      <c r="B71" s="8">
        <v>45729</v>
      </c>
      <c r="C71" t="s">
        <v>2141</v>
      </c>
      <c r="D71" t="s">
        <v>861</v>
      </c>
      <c r="E71" t="s">
        <v>198</v>
      </c>
      <c r="F71">
        <v>26</v>
      </c>
      <c r="G71" t="s">
        <v>7</v>
      </c>
      <c r="H71" t="s">
        <v>8</v>
      </c>
      <c r="I71" t="s">
        <v>40</v>
      </c>
      <c r="J71" t="s">
        <v>39</v>
      </c>
      <c r="K71" t="s">
        <v>22</v>
      </c>
      <c r="L71">
        <v>5</v>
      </c>
      <c r="M71" s="12">
        <v>1100</v>
      </c>
      <c r="N71" s="12">
        <v>715</v>
      </c>
      <c r="O71">
        <v>8</v>
      </c>
      <c r="P71" s="12">
        <v>5060</v>
      </c>
      <c r="Q71" s="12">
        <v>3575</v>
      </c>
      <c r="R71" s="12">
        <v>1485</v>
      </c>
      <c r="S71" t="s">
        <v>1246</v>
      </c>
      <c r="T71" t="s">
        <v>107</v>
      </c>
      <c r="U71" t="s">
        <v>1207</v>
      </c>
    </row>
    <row r="72" spans="1:21" x14ac:dyDescent="0.25">
      <c r="A72" t="s">
        <v>1379</v>
      </c>
      <c r="B72" s="8">
        <v>45761</v>
      </c>
      <c r="C72" t="s">
        <v>2379</v>
      </c>
      <c r="D72" t="s">
        <v>750</v>
      </c>
      <c r="E72" t="s">
        <v>218</v>
      </c>
      <c r="F72">
        <v>24</v>
      </c>
      <c r="G72" t="s">
        <v>9</v>
      </c>
      <c r="H72" t="s">
        <v>8</v>
      </c>
      <c r="I72" t="s">
        <v>63</v>
      </c>
      <c r="J72" t="s">
        <v>77</v>
      </c>
      <c r="K72" t="s">
        <v>64</v>
      </c>
      <c r="L72">
        <v>5</v>
      </c>
      <c r="M72" s="12">
        <v>650</v>
      </c>
      <c r="N72" s="12">
        <v>468</v>
      </c>
      <c r="O72">
        <v>5</v>
      </c>
      <c r="P72" s="12">
        <v>3087.5</v>
      </c>
      <c r="Q72" s="12">
        <v>2340</v>
      </c>
      <c r="R72" s="12">
        <v>747.5</v>
      </c>
      <c r="S72" t="s">
        <v>1246</v>
      </c>
      <c r="T72" t="s">
        <v>107</v>
      </c>
      <c r="U72" t="s">
        <v>1207</v>
      </c>
    </row>
    <row r="73" spans="1:21" x14ac:dyDescent="0.25">
      <c r="A73" t="s">
        <v>1381</v>
      </c>
      <c r="B73" s="8">
        <v>45800</v>
      </c>
      <c r="C73" t="s">
        <v>5075</v>
      </c>
      <c r="D73" t="s">
        <v>407</v>
      </c>
      <c r="E73" t="s">
        <v>218</v>
      </c>
      <c r="F73">
        <v>37</v>
      </c>
      <c r="G73" t="s">
        <v>289</v>
      </c>
      <c r="H73" t="s">
        <v>3</v>
      </c>
      <c r="I73" t="s">
        <v>47</v>
      </c>
      <c r="J73" t="s">
        <v>52</v>
      </c>
      <c r="K73" t="s">
        <v>43</v>
      </c>
      <c r="L73">
        <v>4</v>
      </c>
      <c r="M73" s="12">
        <v>42999</v>
      </c>
      <c r="N73" s="12">
        <v>33539.22</v>
      </c>
      <c r="O73">
        <v>4</v>
      </c>
      <c r="P73" s="12">
        <v>165116.16</v>
      </c>
      <c r="Q73" s="12">
        <v>134156.88</v>
      </c>
      <c r="R73" s="12">
        <v>30959.279999999999</v>
      </c>
      <c r="S73" t="s">
        <v>1246</v>
      </c>
      <c r="T73" t="s">
        <v>109</v>
      </c>
      <c r="U73" t="s">
        <v>1196</v>
      </c>
    </row>
    <row r="74" spans="1:21" x14ac:dyDescent="0.25">
      <c r="A74" t="s">
        <v>1382</v>
      </c>
      <c r="B74" s="8">
        <v>45690</v>
      </c>
      <c r="C74" t="s">
        <v>2695</v>
      </c>
      <c r="D74" t="s">
        <v>365</v>
      </c>
      <c r="E74" t="s">
        <v>218</v>
      </c>
      <c r="F74">
        <v>49</v>
      </c>
      <c r="G74" t="s">
        <v>4</v>
      </c>
      <c r="H74" t="s">
        <v>3</v>
      </c>
      <c r="I74" t="s">
        <v>51</v>
      </c>
      <c r="J74" t="s">
        <v>54</v>
      </c>
      <c r="K74" t="s">
        <v>43</v>
      </c>
      <c r="L74">
        <v>3</v>
      </c>
      <c r="M74" s="12">
        <v>27499</v>
      </c>
      <c r="N74" s="12">
        <v>21724.210000000003</v>
      </c>
      <c r="O74">
        <v>8</v>
      </c>
      <c r="P74" s="12">
        <v>75897.240000000005</v>
      </c>
      <c r="Q74" s="12">
        <v>65172.630000000005</v>
      </c>
      <c r="R74" s="12">
        <v>10724.61</v>
      </c>
      <c r="S74" t="s">
        <v>113</v>
      </c>
      <c r="T74" t="s">
        <v>109</v>
      </c>
      <c r="U74" t="s">
        <v>1194</v>
      </c>
    </row>
    <row r="75" spans="1:21" x14ac:dyDescent="0.25">
      <c r="A75" t="s">
        <v>1384</v>
      </c>
      <c r="B75" s="8">
        <v>45874</v>
      </c>
      <c r="C75" t="s">
        <v>5082</v>
      </c>
      <c r="D75" t="s">
        <v>628</v>
      </c>
      <c r="E75" t="s">
        <v>198</v>
      </c>
      <c r="F75">
        <v>42</v>
      </c>
      <c r="G75" t="s">
        <v>16</v>
      </c>
      <c r="H75" t="s">
        <v>15</v>
      </c>
      <c r="I75" t="s">
        <v>34</v>
      </c>
      <c r="J75" t="s">
        <v>137</v>
      </c>
      <c r="K75" t="s">
        <v>22</v>
      </c>
      <c r="L75">
        <v>2</v>
      </c>
      <c r="M75" s="12">
        <v>6900</v>
      </c>
      <c r="N75" s="12">
        <v>5727</v>
      </c>
      <c r="O75">
        <v>5</v>
      </c>
      <c r="P75" s="12">
        <v>13110</v>
      </c>
      <c r="Q75" s="12">
        <v>11454</v>
      </c>
      <c r="R75" s="12">
        <v>1656</v>
      </c>
      <c r="S75" t="s">
        <v>1246</v>
      </c>
      <c r="T75" t="s">
        <v>111</v>
      </c>
      <c r="U75" t="s">
        <v>1207</v>
      </c>
    </row>
    <row r="76" spans="1:21" x14ac:dyDescent="0.25">
      <c r="A76" t="s">
        <v>1386</v>
      </c>
      <c r="B76" s="8">
        <v>45722</v>
      </c>
      <c r="C76" t="s">
        <v>2797</v>
      </c>
      <c r="D76" t="s">
        <v>380</v>
      </c>
      <c r="E76" t="s">
        <v>218</v>
      </c>
      <c r="F76">
        <v>58</v>
      </c>
      <c r="G76" t="s">
        <v>11</v>
      </c>
      <c r="H76" t="s">
        <v>12</v>
      </c>
      <c r="I76" t="s">
        <v>49</v>
      </c>
      <c r="J76" t="s">
        <v>56</v>
      </c>
      <c r="K76" t="s">
        <v>43</v>
      </c>
      <c r="L76">
        <v>1</v>
      </c>
      <c r="M76" s="12">
        <v>31999</v>
      </c>
      <c r="N76" s="12">
        <v>25599.200000000001</v>
      </c>
      <c r="O76">
        <v>10</v>
      </c>
      <c r="P76" s="12">
        <v>28799.100000000002</v>
      </c>
      <c r="Q76" s="12">
        <v>25599.200000000001</v>
      </c>
      <c r="R76" s="12">
        <v>3199.9000000000015</v>
      </c>
      <c r="S76" t="s">
        <v>1246</v>
      </c>
      <c r="T76" t="s">
        <v>108</v>
      </c>
      <c r="U76" t="s">
        <v>1196</v>
      </c>
    </row>
    <row r="77" spans="1:21" x14ac:dyDescent="0.25">
      <c r="A77" t="s">
        <v>1388</v>
      </c>
      <c r="B77" s="8">
        <v>45919</v>
      </c>
      <c r="C77" t="s">
        <v>3632</v>
      </c>
      <c r="D77" t="s">
        <v>1081</v>
      </c>
      <c r="E77" t="s">
        <v>218</v>
      </c>
      <c r="F77">
        <v>47</v>
      </c>
      <c r="G77" t="s">
        <v>289</v>
      </c>
      <c r="H77" t="s">
        <v>3</v>
      </c>
      <c r="I77" t="s">
        <v>63</v>
      </c>
      <c r="J77" t="s">
        <v>77</v>
      </c>
      <c r="K77" t="s">
        <v>64</v>
      </c>
      <c r="L77">
        <v>5</v>
      </c>
      <c r="M77" s="12">
        <v>650</v>
      </c>
      <c r="N77" s="12">
        <v>468</v>
      </c>
      <c r="O77">
        <v>0</v>
      </c>
      <c r="P77" s="12">
        <v>3250</v>
      </c>
      <c r="Q77" s="12">
        <v>2340</v>
      </c>
      <c r="R77" s="12">
        <v>910</v>
      </c>
      <c r="S77" t="s">
        <v>1246</v>
      </c>
      <c r="T77" t="s">
        <v>107</v>
      </c>
      <c r="U77" t="s">
        <v>1211</v>
      </c>
    </row>
    <row r="78" spans="1:21" x14ac:dyDescent="0.25">
      <c r="A78" t="s">
        <v>1389</v>
      </c>
      <c r="B78" s="8">
        <v>45883</v>
      </c>
      <c r="C78" t="s">
        <v>2859</v>
      </c>
      <c r="D78" t="s">
        <v>758</v>
      </c>
      <c r="E78" t="s">
        <v>218</v>
      </c>
      <c r="F78">
        <v>36</v>
      </c>
      <c r="G78" t="s">
        <v>17</v>
      </c>
      <c r="H78" t="s">
        <v>15</v>
      </c>
      <c r="I78" t="s">
        <v>49</v>
      </c>
      <c r="J78" t="s">
        <v>56</v>
      </c>
      <c r="K78" t="s">
        <v>43</v>
      </c>
      <c r="L78">
        <v>2</v>
      </c>
      <c r="M78" s="12">
        <v>31999</v>
      </c>
      <c r="N78" s="12">
        <v>25599.200000000001</v>
      </c>
      <c r="O78">
        <v>8</v>
      </c>
      <c r="P78" s="12">
        <v>58878.16</v>
      </c>
      <c r="Q78" s="12">
        <v>51198.400000000001</v>
      </c>
      <c r="R78" s="12">
        <v>7679.760000000002</v>
      </c>
      <c r="S78" t="s">
        <v>1249</v>
      </c>
      <c r="T78" t="s">
        <v>109</v>
      </c>
      <c r="U78" t="s">
        <v>1211</v>
      </c>
    </row>
    <row r="79" spans="1:21" x14ac:dyDescent="0.25">
      <c r="A79" t="s">
        <v>1391</v>
      </c>
      <c r="B79" s="8">
        <v>45763</v>
      </c>
      <c r="C79" t="s">
        <v>3242</v>
      </c>
      <c r="D79" t="s">
        <v>1121</v>
      </c>
      <c r="E79" t="s">
        <v>218</v>
      </c>
      <c r="F79">
        <v>39</v>
      </c>
      <c r="G79" t="s">
        <v>5</v>
      </c>
      <c r="H79" t="s">
        <v>3</v>
      </c>
      <c r="I79" t="s">
        <v>57</v>
      </c>
      <c r="J79" t="s">
        <v>67</v>
      </c>
      <c r="K79" t="s">
        <v>64</v>
      </c>
      <c r="L79">
        <v>4</v>
      </c>
      <c r="M79" s="12">
        <v>150</v>
      </c>
      <c r="N79" s="12">
        <v>97.5</v>
      </c>
      <c r="O79">
        <v>1</v>
      </c>
      <c r="P79" s="12">
        <v>594</v>
      </c>
      <c r="Q79" s="12">
        <v>390</v>
      </c>
      <c r="R79" s="12">
        <v>204</v>
      </c>
      <c r="S79" t="s">
        <v>1246</v>
      </c>
      <c r="T79" t="s">
        <v>109</v>
      </c>
      <c r="U79" t="s">
        <v>1205</v>
      </c>
    </row>
    <row r="80" spans="1:21" x14ac:dyDescent="0.25">
      <c r="A80" t="s">
        <v>1393</v>
      </c>
      <c r="B80" s="8">
        <v>45670</v>
      </c>
      <c r="C80" t="s">
        <v>1452</v>
      </c>
      <c r="D80" t="s">
        <v>661</v>
      </c>
      <c r="E80" t="s">
        <v>198</v>
      </c>
      <c r="F80">
        <v>56</v>
      </c>
      <c r="G80" t="s">
        <v>5</v>
      </c>
      <c r="H80" t="s">
        <v>3</v>
      </c>
      <c r="I80" t="s">
        <v>24</v>
      </c>
      <c r="J80" t="s">
        <v>25</v>
      </c>
      <c r="K80" t="s">
        <v>22</v>
      </c>
      <c r="L80">
        <v>1</v>
      </c>
      <c r="M80" s="12">
        <v>35800</v>
      </c>
      <c r="N80" s="12">
        <v>28640</v>
      </c>
      <c r="O80">
        <v>6</v>
      </c>
      <c r="P80" s="12">
        <v>33652</v>
      </c>
      <c r="Q80" s="12">
        <v>28640</v>
      </c>
      <c r="R80" s="12">
        <v>5012</v>
      </c>
      <c r="S80" t="s">
        <v>1246</v>
      </c>
      <c r="T80" t="s">
        <v>108</v>
      </c>
      <c r="U80" t="s">
        <v>1203</v>
      </c>
    </row>
    <row r="81" spans="1:21" x14ac:dyDescent="0.25">
      <c r="A81" t="s">
        <v>1395</v>
      </c>
      <c r="B81" s="8">
        <v>45831</v>
      </c>
      <c r="C81" t="s">
        <v>4257</v>
      </c>
      <c r="D81" t="s">
        <v>682</v>
      </c>
      <c r="E81" t="s">
        <v>198</v>
      </c>
      <c r="F81">
        <v>29</v>
      </c>
      <c r="G81" t="s">
        <v>289</v>
      </c>
      <c r="H81" t="s">
        <v>3</v>
      </c>
      <c r="I81" t="s">
        <v>61</v>
      </c>
      <c r="J81" t="s">
        <v>146</v>
      </c>
      <c r="K81" t="s">
        <v>64</v>
      </c>
      <c r="L81">
        <v>2</v>
      </c>
      <c r="M81" s="12">
        <v>250</v>
      </c>
      <c r="N81" s="12">
        <v>155</v>
      </c>
      <c r="O81">
        <v>10</v>
      </c>
      <c r="P81" s="12">
        <v>450</v>
      </c>
      <c r="Q81" s="12">
        <v>310</v>
      </c>
      <c r="R81" s="12">
        <v>140</v>
      </c>
      <c r="S81" t="s">
        <v>113</v>
      </c>
      <c r="T81" t="s">
        <v>107</v>
      </c>
      <c r="U81" t="s">
        <v>1203</v>
      </c>
    </row>
    <row r="82" spans="1:21" x14ac:dyDescent="0.25">
      <c r="A82" t="s">
        <v>1397</v>
      </c>
      <c r="B82" s="8">
        <v>45754</v>
      </c>
      <c r="C82" t="s">
        <v>2003</v>
      </c>
      <c r="D82" t="s">
        <v>1089</v>
      </c>
      <c r="E82" t="s">
        <v>198</v>
      </c>
      <c r="F82">
        <v>49</v>
      </c>
      <c r="G82" t="s">
        <v>4</v>
      </c>
      <c r="H82" t="s">
        <v>3</v>
      </c>
      <c r="I82" t="s">
        <v>55</v>
      </c>
      <c r="J82" t="s">
        <v>65</v>
      </c>
      <c r="K82" t="s">
        <v>64</v>
      </c>
      <c r="L82">
        <v>4</v>
      </c>
      <c r="M82" s="12">
        <v>80</v>
      </c>
      <c r="N82" s="12">
        <v>56</v>
      </c>
      <c r="O82">
        <v>1</v>
      </c>
      <c r="P82" s="12">
        <v>316.8</v>
      </c>
      <c r="Q82" s="12">
        <v>224</v>
      </c>
      <c r="R82" s="12">
        <v>92.800000000000011</v>
      </c>
      <c r="S82" t="s">
        <v>1246</v>
      </c>
      <c r="T82" t="s">
        <v>107</v>
      </c>
      <c r="U82" t="s">
        <v>1201</v>
      </c>
    </row>
    <row r="83" spans="1:21" x14ac:dyDescent="0.25">
      <c r="A83" t="s">
        <v>1399</v>
      </c>
      <c r="B83" s="8">
        <v>45817</v>
      </c>
      <c r="C83" t="s">
        <v>1293</v>
      </c>
      <c r="D83" t="s">
        <v>1113</v>
      </c>
      <c r="E83" t="s">
        <v>198</v>
      </c>
      <c r="F83">
        <v>50</v>
      </c>
      <c r="G83" t="s">
        <v>14</v>
      </c>
      <c r="H83" t="s">
        <v>15</v>
      </c>
      <c r="I83" t="s">
        <v>61</v>
      </c>
      <c r="J83" t="s">
        <v>146</v>
      </c>
      <c r="K83" t="s">
        <v>64</v>
      </c>
      <c r="L83">
        <v>4</v>
      </c>
      <c r="M83" s="12">
        <v>250</v>
      </c>
      <c r="N83" s="12">
        <v>155</v>
      </c>
      <c r="O83">
        <v>12</v>
      </c>
      <c r="P83" s="12">
        <v>880</v>
      </c>
      <c r="Q83" s="12">
        <v>620</v>
      </c>
      <c r="R83" s="12">
        <v>260</v>
      </c>
      <c r="S83" t="s">
        <v>1246</v>
      </c>
      <c r="T83" t="s">
        <v>107</v>
      </c>
      <c r="U83" t="s">
        <v>1209</v>
      </c>
    </row>
    <row r="84" spans="1:21" x14ac:dyDescent="0.25">
      <c r="A84" t="s">
        <v>1401</v>
      </c>
      <c r="B84" s="8">
        <v>45759</v>
      </c>
      <c r="C84" t="s">
        <v>2206</v>
      </c>
      <c r="D84" t="s">
        <v>846</v>
      </c>
      <c r="E84" t="s">
        <v>218</v>
      </c>
      <c r="F84">
        <v>52</v>
      </c>
      <c r="G84" t="s">
        <v>14</v>
      </c>
      <c r="H84" t="s">
        <v>15</v>
      </c>
      <c r="I84" t="s">
        <v>28</v>
      </c>
      <c r="J84" t="s">
        <v>35</v>
      </c>
      <c r="K84" t="s">
        <v>22</v>
      </c>
      <c r="L84">
        <v>4</v>
      </c>
      <c r="M84" s="12">
        <v>16499</v>
      </c>
      <c r="N84" s="12">
        <v>14519.12</v>
      </c>
      <c r="O84">
        <v>6</v>
      </c>
      <c r="P84" s="12">
        <v>62036.24</v>
      </c>
      <c r="Q84" s="12">
        <v>58076.480000000003</v>
      </c>
      <c r="R84" s="12">
        <v>3959.7599999999948</v>
      </c>
      <c r="S84" t="s">
        <v>1246</v>
      </c>
      <c r="T84" t="s">
        <v>108</v>
      </c>
      <c r="U84" t="s">
        <v>1201</v>
      </c>
    </row>
    <row r="85" spans="1:21" x14ac:dyDescent="0.25">
      <c r="A85" t="s">
        <v>1403</v>
      </c>
      <c r="B85" s="8">
        <v>45916</v>
      </c>
      <c r="C85" t="s">
        <v>3796</v>
      </c>
      <c r="D85" t="s">
        <v>710</v>
      </c>
      <c r="E85" t="s">
        <v>218</v>
      </c>
      <c r="F85">
        <v>41</v>
      </c>
      <c r="G85" t="s">
        <v>17</v>
      </c>
      <c r="H85" t="s">
        <v>15</v>
      </c>
      <c r="I85" t="s">
        <v>45</v>
      </c>
      <c r="J85" t="s">
        <v>46</v>
      </c>
      <c r="K85" t="s">
        <v>43</v>
      </c>
      <c r="L85">
        <v>1</v>
      </c>
      <c r="M85" s="12">
        <v>11999</v>
      </c>
      <c r="N85" s="12">
        <v>8999.25</v>
      </c>
      <c r="O85">
        <v>9</v>
      </c>
      <c r="P85" s="12">
        <v>10919.09</v>
      </c>
      <c r="Q85" s="12">
        <v>8999.25</v>
      </c>
      <c r="R85" s="12">
        <v>1919.8400000000001</v>
      </c>
      <c r="S85" t="s">
        <v>1246</v>
      </c>
      <c r="T85" t="s">
        <v>110</v>
      </c>
      <c r="U85" t="s">
        <v>1196</v>
      </c>
    </row>
    <row r="86" spans="1:21" x14ac:dyDescent="0.25">
      <c r="A86" t="s">
        <v>1405</v>
      </c>
      <c r="B86" s="8">
        <v>45952</v>
      </c>
      <c r="C86" t="s">
        <v>1650</v>
      </c>
      <c r="D86" t="s">
        <v>476</v>
      </c>
      <c r="E86" t="s">
        <v>198</v>
      </c>
      <c r="F86">
        <v>57</v>
      </c>
      <c r="G86" t="s">
        <v>290</v>
      </c>
      <c r="H86" t="s">
        <v>3</v>
      </c>
      <c r="I86" t="s">
        <v>32</v>
      </c>
      <c r="J86" t="s">
        <v>29</v>
      </c>
      <c r="K86" t="s">
        <v>22</v>
      </c>
      <c r="L86">
        <v>2</v>
      </c>
      <c r="M86" s="12">
        <v>9500</v>
      </c>
      <c r="N86" s="12">
        <v>6650</v>
      </c>
      <c r="O86">
        <v>8</v>
      </c>
      <c r="P86" s="12">
        <v>17480</v>
      </c>
      <c r="Q86" s="12">
        <v>13300</v>
      </c>
      <c r="R86" s="12">
        <v>4180</v>
      </c>
      <c r="S86" t="s">
        <v>113</v>
      </c>
      <c r="T86" t="s">
        <v>111</v>
      </c>
      <c r="U86" t="s">
        <v>1203</v>
      </c>
    </row>
    <row r="87" spans="1:21" x14ac:dyDescent="0.25">
      <c r="A87" t="s">
        <v>1406</v>
      </c>
      <c r="B87" s="8">
        <v>45688</v>
      </c>
      <c r="C87" t="s">
        <v>2173</v>
      </c>
      <c r="D87" t="s">
        <v>1076</v>
      </c>
      <c r="E87" t="s">
        <v>198</v>
      </c>
      <c r="F87">
        <v>30</v>
      </c>
      <c r="G87" t="s">
        <v>2</v>
      </c>
      <c r="H87" t="s">
        <v>3</v>
      </c>
      <c r="I87" t="s">
        <v>45</v>
      </c>
      <c r="J87" t="s">
        <v>46</v>
      </c>
      <c r="K87" t="s">
        <v>43</v>
      </c>
      <c r="L87">
        <v>3</v>
      </c>
      <c r="M87" s="12">
        <v>11999</v>
      </c>
      <c r="N87" s="12">
        <v>8999.25</v>
      </c>
      <c r="O87">
        <v>4</v>
      </c>
      <c r="P87" s="12">
        <v>34557.119999999995</v>
      </c>
      <c r="Q87" s="12">
        <v>26997.75</v>
      </c>
      <c r="R87" s="12">
        <v>7559.3699999999953</v>
      </c>
      <c r="S87" t="s">
        <v>113</v>
      </c>
      <c r="T87" t="s">
        <v>110</v>
      </c>
      <c r="U87" t="s">
        <v>1201</v>
      </c>
    </row>
    <row r="88" spans="1:21" x14ac:dyDescent="0.25">
      <c r="A88" t="s">
        <v>1408</v>
      </c>
      <c r="B88" s="8">
        <v>45692</v>
      </c>
      <c r="C88" t="s">
        <v>2876</v>
      </c>
      <c r="D88" t="s">
        <v>598</v>
      </c>
      <c r="E88" t="s">
        <v>218</v>
      </c>
      <c r="F88">
        <v>42</v>
      </c>
      <c r="G88" t="s">
        <v>290</v>
      </c>
      <c r="H88" t="s">
        <v>3</v>
      </c>
      <c r="I88" t="s">
        <v>49</v>
      </c>
      <c r="J88" t="s">
        <v>56</v>
      </c>
      <c r="K88" t="s">
        <v>43</v>
      </c>
      <c r="L88">
        <v>2</v>
      </c>
      <c r="M88" s="12">
        <v>31999</v>
      </c>
      <c r="N88" s="12">
        <v>25599.200000000001</v>
      </c>
      <c r="O88">
        <v>8</v>
      </c>
      <c r="P88" s="12">
        <v>58878.16</v>
      </c>
      <c r="Q88" s="12">
        <v>51198.400000000001</v>
      </c>
      <c r="R88" s="12">
        <v>7679.760000000002</v>
      </c>
      <c r="S88" t="s">
        <v>113</v>
      </c>
      <c r="T88" t="s">
        <v>109</v>
      </c>
      <c r="U88" t="s">
        <v>1203</v>
      </c>
    </row>
    <row r="89" spans="1:21" x14ac:dyDescent="0.25">
      <c r="A89" t="s">
        <v>1410</v>
      </c>
      <c r="B89" s="8">
        <v>45684</v>
      </c>
      <c r="C89" t="s">
        <v>1671</v>
      </c>
      <c r="D89" t="s">
        <v>977</v>
      </c>
      <c r="E89" t="s">
        <v>198</v>
      </c>
      <c r="F89">
        <v>61</v>
      </c>
      <c r="G89" t="s">
        <v>7</v>
      </c>
      <c r="H89" t="s">
        <v>8</v>
      </c>
      <c r="I89" t="s">
        <v>61</v>
      </c>
      <c r="J89" t="s">
        <v>146</v>
      </c>
      <c r="K89" t="s">
        <v>64</v>
      </c>
      <c r="L89">
        <v>3</v>
      </c>
      <c r="M89" s="12">
        <v>250</v>
      </c>
      <c r="N89" s="12">
        <v>155</v>
      </c>
      <c r="O89">
        <v>9</v>
      </c>
      <c r="P89" s="12">
        <v>682.5</v>
      </c>
      <c r="Q89" s="12">
        <v>465</v>
      </c>
      <c r="R89" s="12">
        <v>217.5</v>
      </c>
      <c r="S89" t="s">
        <v>113</v>
      </c>
      <c r="T89" t="s">
        <v>109</v>
      </c>
      <c r="U89" t="s">
        <v>1196</v>
      </c>
    </row>
    <row r="90" spans="1:21" x14ac:dyDescent="0.25">
      <c r="A90" t="s">
        <v>1412</v>
      </c>
      <c r="B90" s="8">
        <v>45729</v>
      </c>
      <c r="C90" t="s">
        <v>2347</v>
      </c>
      <c r="D90" t="s">
        <v>1170</v>
      </c>
      <c r="E90" t="s">
        <v>198</v>
      </c>
      <c r="F90">
        <v>57</v>
      </c>
      <c r="G90" t="s">
        <v>14</v>
      </c>
      <c r="H90" t="s">
        <v>15</v>
      </c>
      <c r="I90" t="s">
        <v>63</v>
      </c>
      <c r="J90" t="s">
        <v>77</v>
      </c>
      <c r="K90" t="s">
        <v>64</v>
      </c>
      <c r="L90">
        <v>2</v>
      </c>
      <c r="M90" s="12">
        <v>650</v>
      </c>
      <c r="N90" s="12">
        <v>468</v>
      </c>
      <c r="O90">
        <v>4</v>
      </c>
      <c r="P90" s="12">
        <v>1248</v>
      </c>
      <c r="Q90" s="12">
        <v>936</v>
      </c>
      <c r="R90" s="12">
        <v>312</v>
      </c>
      <c r="S90" t="s">
        <v>113</v>
      </c>
      <c r="T90" t="s">
        <v>107</v>
      </c>
      <c r="U90" t="s">
        <v>1205</v>
      </c>
    </row>
    <row r="91" spans="1:21" x14ac:dyDescent="0.25">
      <c r="A91" t="s">
        <v>1414</v>
      </c>
      <c r="B91" s="8">
        <v>45768</v>
      </c>
      <c r="C91" t="s">
        <v>5083</v>
      </c>
      <c r="D91" t="s">
        <v>405</v>
      </c>
      <c r="E91" t="s">
        <v>198</v>
      </c>
      <c r="F91">
        <v>21</v>
      </c>
      <c r="G91" t="s">
        <v>11</v>
      </c>
      <c r="H91" t="s">
        <v>12</v>
      </c>
      <c r="I91" t="s">
        <v>49</v>
      </c>
      <c r="J91" t="s">
        <v>56</v>
      </c>
      <c r="K91" t="s">
        <v>43</v>
      </c>
      <c r="L91">
        <v>5</v>
      </c>
      <c r="M91" s="12">
        <v>31999</v>
      </c>
      <c r="N91" s="12">
        <v>25599.200000000001</v>
      </c>
      <c r="O91">
        <v>5</v>
      </c>
      <c r="P91" s="12">
        <v>151995.25</v>
      </c>
      <c r="Q91" s="12">
        <v>127996</v>
      </c>
      <c r="R91" s="12">
        <v>23999.25</v>
      </c>
      <c r="S91" t="s">
        <v>113</v>
      </c>
      <c r="T91" t="s">
        <v>109</v>
      </c>
      <c r="U91" t="s">
        <v>1198</v>
      </c>
    </row>
    <row r="92" spans="1:21" x14ac:dyDescent="0.25">
      <c r="A92" t="s">
        <v>1416</v>
      </c>
      <c r="B92" s="8">
        <v>45667</v>
      </c>
      <c r="C92" t="s">
        <v>4788</v>
      </c>
      <c r="D92" t="s">
        <v>671</v>
      </c>
      <c r="E92" t="s">
        <v>218</v>
      </c>
      <c r="F92">
        <v>65</v>
      </c>
      <c r="G92" t="s">
        <v>290</v>
      </c>
      <c r="H92" t="s">
        <v>3</v>
      </c>
      <c r="I92" t="s">
        <v>24</v>
      </c>
      <c r="J92" t="s">
        <v>25</v>
      </c>
      <c r="K92" t="s">
        <v>22</v>
      </c>
      <c r="L92">
        <v>3</v>
      </c>
      <c r="M92" s="12">
        <v>35800</v>
      </c>
      <c r="N92" s="12">
        <v>28640</v>
      </c>
      <c r="O92">
        <v>9</v>
      </c>
      <c r="P92" s="12">
        <v>97734</v>
      </c>
      <c r="Q92" s="12">
        <v>85920</v>
      </c>
      <c r="R92" s="12">
        <v>11814</v>
      </c>
      <c r="S92" t="s">
        <v>1246</v>
      </c>
      <c r="T92" t="s">
        <v>108</v>
      </c>
      <c r="U92" t="s">
        <v>1207</v>
      </c>
    </row>
    <row r="93" spans="1:21" x14ac:dyDescent="0.25">
      <c r="A93" t="s">
        <v>1418</v>
      </c>
      <c r="B93" s="8">
        <v>45840</v>
      </c>
      <c r="C93" t="s">
        <v>4219</v>
      </c>
      <c r="D93" t="s">
        <v>553</v>
      </c>
      <c r="E93" t="s">
        <v>198</v>
      </c>
      <c r="F93">
        <v>42</v>
      </c>
      <c r="G93" t="s">
        <v>16</v>
      </c>
      <c r="H93" t="s">
        <v>15</v>
      </c>
      <c r="I93" t="s">
        <v>47</v>
      </c>
      <c r="J93" t="s">
        <v>52</v>
      </c>
      <c r="K93" t="s">
        <v>43</v>
      </c>
      <c r="L93">
        <v>5</v>
      </c>
      <c r="M93" s="12">
        <v>42999</v>
      </c>
      <c r="N93" s="12">
        <v>33539.22</v>
      </c>
      <c r="O93">
        <v>7</v>
      </c>
      <c r="P93" s="12">
        <v>199945.34999999998</v>
      </c>
      <c r="Q93" s="12">
        <v>167696.1</v>
      </c>
      <c r="R93" s="12">
        <v>32249.249999999971</v>
      </c>
      <c r="S93" t="s">
        <v>113</v>
      </c>
      <c r="T93" t="s">
        <v>110</v>
      </c>
      <c r="U93" t="s">
        <v>1198</v>
      </c>
    </row>
    <row r="94" spans="1:21" x14ac:dyDescent="0.25">
      <c r="A94" t="s">
        <v>1420</v>
      </c>
      <c r="B94" s="8">
        <v>45729</v>
      </c>
      <c r="C94" t="s">
        <v>5084</v>
      </c>
      <c r="D94" t="s">
        <v>693</v>
      </c>
      <c r="E94" t="s">
        <v>218</v>
      </c>
      <c r="F94">
        <v>18</v>
      </c>
      <c r="G94" t="s">
        <v>17</v>
      </c>
      <c r="H94" t="s">
        <v>15</v>
      </c>
      <c r="I94" t="s">
        <v>32</v>
      </c>
      <c r="J94" t="s">
        <v>29</v>
      </c>
      <c r="K94" t="s">
        <v>22</v>
      </c>
      <c r="L94">
        <v>4</v>
      </c>
      <c r="M94" s="12">
        <v>9500</v>
      </c>
      <c r="N94" s="12">
        <v>6650</v>
      </c>
      <c r="O94">
        <v>5</v>
      </c>
      <c r="P94" s="12">
        <v>36100</v>
      </c>
      <c r="Q94" s="12">
        <v>26600</v>
      </c>
      <c r="R94" s="12">
        <v>9500</v>
      </c>
      <c r="S94" t="s">
        <v>1246</v>
      </c>
      <c r="T94" t="s">
        <v>107</v>
      </c>
      <c r="U94" t="s">
        <v>1205</v>
      </c>
    </row>
    <row r="95" spans="1:21" x14ac:dyDescent="0.25">
      <c r="A95" t="s">
        <v>1422</v>
      </c>
      <c r="B95" s="8">
        <v>46004</v>
      </c>
      <c r="C95" t="s">
        <v>2169</v>
      </c>
      <c r="D95" t="s">
        <v>575</v>
      </c>
      <c r="E95" t="s">
        <v>198</v>
      </c>
      <c r="F95">
        <v>46</v>
      </c>
      <c r="G95" t="s">
        <v>17</v>
      </c>
      <c r="H95" t="s">
        <v>15</v>
      </c>
      <c r="I95" t="s">
        <v>30</v>
      </c>
      <c r="J95" t="s">
        <v>41</v>
      </c>
      <c r="K95" t="s">
        <v>22</v>
      </c>
      <c r="L95">
        <v>2</v>
      </c>
      <c r="M95" s="12">
        <v>13749</v>
      </c>
      <c r="N95" s="12">
        <v>10999.2</v>
      </c>
      <c r="O95">
        <v>13</v>
      </c>
      <c r="P95" s="12">
        <v>23923.26</v>
      </c>
      <c r="Q95" s="12">
        <v>21998.400000000001</v>
      </c>
      <c r="R95" s="12">
        <v>1924.8599999999969</v>
      </c>
      <c r="S95" t="s">
        <v>1246</v>
      </c>
      <c r="T95" t="s">
        <v>111</v>
      </c>
      <c r="U95" t="s">
        <v>1203</v>
      </c>
    </row>
    <row r="96" spans="1:21" x14ac:dyDescent="0.25">
      <c r="A96" t="s">
        <v>1424</v>
      </c>
      <c r="B96" s="8">
        <v>45972</v>
      </c>
      <c r="C96" t="s">
        <v>1366</v>
      </c>
      <c r="D96" t="s">
        <v>381</v>
      </c>
      <c r="E96" t="s">
        <v>218</v>
      </c>
      <c r="F96">
        <v>55</v>
      </c>
      <c r="G96" t="s">
        <v>2</v>
      </c>
      <c r="H96" t="s">
        <v>3</v>
      </c>
      <c r="I96" t="s">
        <v>28</v>
      </c>
      <c r="J96" t="s">
        <v>35</v>
      </c>
      <c r="K96" t="s">
        <v>22</v>
      </c>
      <c r="L96">
        <v>5</v>
      </c>
      <c r="M96" s="12">
        <v>16499</v>
      </c>
      <c r="N96" s="12">
        <v>14519.12</v>
      </c>
      <c r="O96">
        <v>16</v>
      </c>
      <c r="P96" s="12">
        <v>69295.8</v>
      </c>
      <c r="Q96" s="12">
        <v>72595.600000000006</v>
      </c>
      <c r="R96" s="12">
        <v>-3299.8000000000029</v>
      </c>
      <c r="S96" t="s">
        <v>1246</v>
      </c>
      <c r="T96" t="s">
        <v>107</v>
      </c>
      <c r="U96" t="s">
        <v>1199</v>
      </c>
    </row>
    <row r="97" spans="1:21" x14ac:dyDescent="0.25">
      <c r="A97" t="s">
        <v>1426</v>
      </c>
      <c r="B97" s="8">
        <v>45783</v>
      </c>
      <c r="C97" t="s">
        <v>1411</v>
      </c>
      <c r="D97" t="s">
        <v>811</v>
      </c>
      <c r="E97" t="s">
        <v>198</v>
      </c>
      <c r="F97">
        <v>50</v>
      </c>
      <c r="G97" t="s">
        <v>10</v>
      </c>
      <c r="H97" t="s">
        <v>8</v>
      </c>
      <c r="I97" t="s">
        <v>24</v>
      </c>
      <c r="J97" t="s">
        <v>25</v>
      </c>
      <c r="K97" t="s">
        <v>22</v>
      </c>
      <c r="L97">
        <v>4</v>
      </c>
      <c r="M97" s="12">
        <v>35800</v>
      </c>
      <c r="N97" s="12">
        <v>28640</v>
      </c>
      <c r="O97">
        <v>7</v>
      </c>
      <c r="P97" s="12">
        <v>133176</v>
      </c>
      <c r="Q97" s="12">
        <v>114560</v>
      </c>
      <c r="R97" s="12">
        <v>18616</v>
      </c>
      <c r="S97" t="s">
        <v>1246</v>
      </c>
      <c r="T97" t="s">
        <v>108</v>
      </c>
      <c r="U97" t="s">
        <v>1209</v>
      </c>
    </row>
    <row r="98" spans="1:21" x14ac:dyDescent="0.25">
      <c r="A98" t="s">
        <v>1428</v>
      </c>
      <c r="B98" s="8">
        <v>45801</v>
      </c>
      <c r="C98" t="s">
        <v>1546</v>
      </c>
      <c r="D98" t="s">
        <v>975</v>
      </c>
      <c r="E98" t="s">
        <v>198</v>
      </c>
      <c r="F98">
        <v>25</v>
      </c>
      <c r="G98" t="s">
        <v>7</v>
      </c>
      <c r="H98" t="s">
        <v>8</v>
      </c>
      <c r="I98" t="s">
        <v>59</v>
      </c>
      <c r="J98" t="s">
        <v>73</v>
      </c>
      <c r="K98" t="s">
        <v>64</v>
      </c>
      <c r="L98">
        <v>5</v>
      </c>
      <c r="M98" s="12">
        <v>120</v>
      </c>
      <c r="N98" s="12">
        <v>81.599999999999994</v>
      </c>
      <c r="O98">
        <v>11</v>
      </c>
      <c r="P98" s="12">
        <v>534</v>
      </c>
      <c r="Q98" s="12">
        <v>408</v>
      </c>
      <c r="R98" s="12">
        <v>126</v>
      </c>
      <c r="S98" t="s">
        <v>1246</v>
      </c>
      <c r="T98" t="s">
        <v>110</v>
      </c>
      <c r="U98" t="s">
        <v>1211</v>
      </c>
    </row>
    <row r="99" spans="1:21" x14ac:dyDescent="0.25">
      <c r="A99" t="s">
        <v>1430</v>
      </c>
      <c r="B99" s="8">
        <v>45757</v>
      </c>
      <c r="C99" t="s">
        <v>1462</v>
      </c>
      <c r="D99" t="s">
        <v>520</v>
      </c>
      <c r="E99" t="s">
        <v>198</v>
      </c>
      <c r="F99">
        <v>43</v>
      </c>
      <c r="G99" t="s">
        <v>2</v>
      </c>
      <c r="H99" t="s">
        <v>3</v>
      </c>
      <c r="I99" t="s">
        <v>61</v>
      </c>
      <c r="J99" t="s">
        <v>146</v>
      </c>
      <c r="K99" t="s">
        <v>64</v>
      </c>
      <c r="L99">
        <v>4</v>
      </c>
      <c r="M99" s="12">
        <v>250</v>
      </c>
      <c r="N99" s="12">
        <v>155</v>
      </c>
      <c r="O99">
        <v>5</v>
      </c>
      <c r="P99" s="12">
        <v>950</v>
      </c>
      <c r="Q99" s="12">
        <v>620</v>
      </c>
      <c r="R99" s="12">
        <v>330</v>
      </c>
      <c r="S99" t="s">
        <v>113</v>
      </c>
      <c r="T99" t="s">
        <v>107</v>
      </c>
      <c r="U99" t="s">
        <v>1199</v>
      </c>
    </row>
    <row r="100" spans="1:21" x14ac:dyDescent="0.25">
      <c r="A100" t="s">
        <v>1432</v>
      </c>
      <c r="B100" s="8">
        <v>45974</v>
      </c>
      <c r="C100" t="s">
        <v>1743</v>
      </c>
      <c r="D100" t="s">
        <v>511</v>
      </c>
      <c r="E100" t="s">
        <v>218</v>
      </c>
      <c r="F100">
        <v>46</v>
      </c>
      <c r="G100" t="s">
        <v>289</v>
      </c>
      <c r="H100" t="s">
        <v>3</v>
      </c>
      <c r="I100" t="s">
        <v>49</v>
      </c>
      <c r="J100" t="s">
        <v>56</v>
      </c>
      <c r="K100" t="s">
        <v>43</v>
      </c>
      <c r="L100">
        <v>5</v>
      </c>
      <c r="M100" s="12">
        <v>31999</v>
      </c>
      <c r="N100" s="12">
        <v>25599.200000000001</v>
      </c>
      <c r="O100">
        <v>18</v>
      </c>
      <c r="P100" s="12">
        <v>131195.90000000002</v>
      </c>
      <c r="Q100" s="12">
        <v>127996</v>
      </c>
      <c r="R100" s="12">
        <v>3199.9000000000233</v>
      </c>
      <c r="S100" t="s">
        <v>1246</v>
      </c>
      <c r="T100" t="s">
        <v>110</v>
      </c>
      <c r="U100" t="s">
        <v>1205</v>
      </c>
    </row>
    <row r="101" spans="1:21" x14ac:dyDescent="0.25">
      <c r="A101" t="s">
        <v>1434</v>
      </c>
      <c r="B101" s="8">
        <v>46018</v>
      </c>
      <c r="C101" t="s">
        <v>1613</v>
      </c>
      <c r="D101" t="s">
        <v>851</v>
      </c>
      <c r="E101" t="s">
        <v>198</v>
      </c>
      <c r="F101">
        <v>43</v>
      </c>
      <c r="G101" t="s">
        <v>4</v>
      </c>
      <c r="H101" t="s">
        <v>3</v>
      </c>
      <c r="I101" t="s">
        <v>49</v>
      </c>
      <c r="J101" t="s">
        <v>56</v>
      </c>
      <c r="K101" t="s">
        <v>43</v>
      </c>
      <c r="L101">
        <v>3</v>
      </c>
      <c r="M101" s="12">
        <v>31999</v>
      </c>
      <c r="N101" s="12">
        <v>25599.200000000001</v>
      </c>
      <c r="O101">
        <v>17</v>
      </c>
      <c r="P101" s="12">
        <v>79677.509999999995</v>
      </c>
      <c r="Q101" s="12">
        <v>76797.600000000006</v>
      </c>
      <c r="R101" s="12">
        <v>2879.9099999999889</v>
      </c>
      <c r="S101" t="s">
        <v>1246</v>
      </c>
      <c r="T101" t="s">
        <v>109</v>
      </c>
      <c r="U101" t="s">
        <v>1205</v>
      </c>
    </row>
    <row r="102" spans="1:21" x14ac:dyDescent="0.25">
      <c r="A102" t="s">
        <v>1435</v>
      </c>
      <c r="B102" s="8">
        <v>45890</v>
      </c>
      <c r="C102" t="s">
        <v>1755</v>
      </c>
      <c r="D102" t="s">
        <v>908</v>
      </c>
      <c r="E102" t="s">
        <v>218</v>
      </c>
      <c r="F102">
        <v>33</v>
      </c>
      <c r="G102" t="s">
        <v>14</v>
      </c>
      <c r="H102" t="s">
        <v>15</v>
      </c>
      <c r="I102" t="s">
        <v>63</v>
      </c>
      <c r="J102" t="s">
        <v>77</v>
      </c>
      <c r="K102" t="s">
        <v>64</v>
      </c>
      <c r="L102">
        <v>2</v>
      </c>
      <c r="M102" s="12">
        <v>650</v>
      </c>
      <c r="N102" s="12">
        <v>468</v>
      </c>
      <c r="O102">
        <v>4</v>
      </c>
      <c r="P102" s="12">
        <v>1248</v>
      </c>
      <c r="Q102" s="12">
        <v>936</v>
      </c>
      <c r="R102" s="12">
        <v>312</v>
      </c>
      <c r="S102" t="s">
        <v>1246</v>
      </c>
      <c r="T102" t="s">
        <v>108</v>
      </c>
      <c r="U102" t="s">
        <v>1198</v>
      </c>
    </row>
    <row r="103" spans="1:21" x14ac:dyDescent="0.25">
      <c r="A103" t="s">
        <v>1437</v>
      </c>
      <c r="B103" s="8">
        <v>45687</v>
      </c>
      <c r="C103" t="s">
        <v>2145</v>
      </c>
      <c r="D103" t="s">
        <v>761</v>
      </c>
      <c r="E103" t="s">
        <v>198</v>
      </c>
      <c r="F103">
        <v>34</v>
      </c>
      <c r="G103" t="s">
        <v>289</v>
      </c>
      <c r="H103" t="s">
        <v>3</v>
      </c>
      <c r="I103" t="s">
        <v>21</v>
      </c>
      <c r="J103" t="s">
        <v>23</v>
      </c>
      <c r="K103" t="s">
        <v>22</v>
      </c>
      <c r="L103">
        <v>3</v>
      </c>
      <c r="M103" s="12">
        <v>54999</v>
      </c>
      <c r="N103" s="12">
        <v>45099.18</v>
      </c>
      <c r="O103">
        <v>6</v>
      </c>
      <c r="P103" s="12">
        <v>155097.18</v>
      </c>
      <c r="Q103" s="12">
        <v>135297.54</v>
      </c>
      <c r="R103" s="12">
        <v>19799.639999999985</v>
      </c>
      <c r="S103" t="s">
        <v>1246</v>
      </c>
      <c r="T103" t="s">
        <v>110</v>
      </c>
      <c r="U103" t="s">
        <v>1198</v>
      </c>
    </row>
    <row r="104" spans="1:21" x14ac:dyDescent="0.25">
      <c r="A104" t="s">
        <v>1439</v>
      </c>
      <c r="B104" s="8">
        <v>45660</v>
      </c>
      <c r="C104" t="s">
        <v>1594</v>
      </c>
      <c r="D104" t="s">
        <v>938</v>
      </c>
      <c r="E104" t="s">
        <v>218</v>
      </c>
      <c r="F104">
        <v>34</v>
      </c>
      <c r="G104" t="s">
        <v>11</v>
      </c>
      <c r="H104" t="s">
        <v>12</v>
      </c>
      <c r="I104" t="s">
        <v>63</v>
      </c>
      <c r="J104" t="s">
        <v>77</v>
      </c>
      <c r="K104" t="s">
        <v>64</v>
      </c>
      <c r="L104">
        <v>4</v>
      </c>
      <c r="M104" s="12">
        <v>650</v>
      </c>
      <c r="N104" s="12">
        <v>468</v>
      </c>
      <c r="O104">
        <v>13</v>
      </c>
      <c r="P104" s="12">
        <v>2262</v>
      </c>
      <c r="Q104" s="12">
        <v>1872</v>
      </c>
      <c r="R104" s="12">
        <v>390</v>
      </c>
      <c r="S104" t="s">
        <v>1246</v>
      </c>
      <c r="T104" t="s">
        <v>109</v>
      </c>
      <c r="U104" t="s">
        <v>1207</v>
      </c>
    </row>
    <row r="105" spans="1:21" x14ac:dyDescent="0.25">
      <c r="A105" t="s">
        <v>1441</v>
      </c>
      <c r="B105" s="8">
        <v>45715</v>
      </c>
      <c r="C105" t="s">
        <v>1464</v>
      </c>
      <c r="D105" t="s">
        <v>897</v>
      </c>
      <c r="E105" t="s">
        <v>218</v>
      </c>
      <c r="F105">
        <v>55</v>
      </c>
      <c r="G105" t="s">
        <v>17</v>
      </c>
      <c r="H105" t="s">
        <v>15</v>
      </c>
      <c r="I105" t="s">
        <v>61</v>
      </c>
      <c r="J105" t="s">
        <v>146</v>
      </c>
      <c r="K105" t="s">
        <v>64</v>
      </c>
      <c r="L105">
        <v>4</v>
      </c>
      <c r="M105" s="12">
        <v>250</v>
      </c>
      <c r="N105" s="12">
        <v>155</v>
      </c>
      <c r="O105">
        <v>2</v>
      </c>
      <c r="P105" s="12">
        <v>980</v>
      </c>
      <c r="Q105" s="12">
        <v>620</v>
      </c>
      <c r="R105" s="12">
        <v>360</v>
      </c>
      <c r="S105" t="s">
        <v>113</v>
      </c>
      <c r="T105" t="s">
        <v>109</v>
      </c>
      <c r="U105" t="s">
        <v>1198</v>
      </c>
    </row>
    <row r="106" spans="1:21" x14ac:dyDescent="0.25">
      <c r="A106" t="s">
        <v>1443</v>
      </c>
      <c r="B106" s="8">
        <v>45719</v>
      </c>
      <c r="C106" t="s">
        <v>2342</v>
      </c>
      <c r="D106" t="s">
        <v>907</v>
      </c>
      <c r="E106" t="s">
        <v>198</v>
      </c>
      <c r="F106">
        <v>22</v>
      </c>
      <c r="G106" t="s">
        <v>9</v>
      </c>
      <c r="H106" t="s">
        <v>8</v>
      </c>
      <c r="I106" t="s">
        <v>53</v>
      </c>
      <c r="J106" t="s">
        <v>48</v>
      </c>
      <c r="K106" t="s">
        <v>43</v>
      </c>
      <c r="L106">
        <v>2</v>
      </c>
      <c r="M106" s="12">
        <v>6499</v>
      </c>
      <c r="N106" s="12">
        <v>4549.2999999999993</v>
      </c>
      <c r="O106">
        <v>5</v>
      </c>
      <c r="P106" s="12">
        <v>12348.099999999999</v>
      </c>
      <c r="Q106" s="12">
        <v>9098.5999999999985</v>
      </c>
      <c r="R106" s="12">
        <v>3249.5</v>
      </c>
      <c r="S106" t="s">
        <v>113</v>
      </c>
      <c r="T106" t="s">
        <v>109</v>
      </c>
      <c r="U106" t="s">
        <v>1211</v>
      </c>
    </row>
    <row r="107" spans="1:21" x14ac:dyDescent="0.25">
      <c r="A107" t="s">
        <v>1445</v>
      </c>
      <c r="B107" s="8">
        <v>46021</v>
      </c>
      <c r="C107" t="s">
        <v>2156</v>
      </c>
      <c r="D107" t="s">
        <v>1050</v>
      </c>
      <c r="E107" t="s">
        <v>198</v>
      </c>
      <c r="F107">
        <v>19</v>
      </c>
      <c r="G107" t="s">
        <v>17</v>
      </c>
      <c r="H107" t="s">
        <v>15</v>
      </c>
      <c r="I107" t="s">
        <v>55</v>
      </c>
      <c r="J107" t="s">
        <v>65</v>
      </c>
      <c r="K107" t="s">
        <v>64</v>
      </c>
      <c r="L107">
        <v>4</v>
      </c>
      <c r="M107" s="12">
        <v>80</v>
      </c>
      <c r="N107" s="12">
        <v>56</v>
      </c>
      <c r="O107">
        <v>8</v>
      </c>
      <c r="P107" s="12">
        <v>294.40000000000003</v>
      </c>
      <c r="Q107" s="12">
        <v>224</v>
      </c>
      <c r="R107" s="12">
        <v>70.400000000000034</v>
      </c>
      <c r="S107" t="s">
        <v>1246</v>
      </c>
      <c r="T107" t="s">
        <v>109</v>
      </c>
      <c r="U107" t="s">
        <v>1201</v>
      </c>
    </row>
    <row r="108" spans="1:21" x14ac:dyDescent="0.25">
      <c r="A108" t="s">
        <v>1447</v>
      </c>
      <c r="B108" s="8">
        <v>45900</v>
      </c>
      <c r="C108" t="s">
        <v>4091</v>
      </c>
      <c r="D108" t="s">
        <v>759</v>
      </c>
      <c r="E108" t="s">
        <v>198</v>
      </c>
      <c r="F108">
        <v>45</v>
      </c>
      <c r="G108" t="s">
        <v>289</v>
      </c>
      <c r="H108" t="s">
        <v>3</v>
      </c>
      <c r="I108" t="s">
        <v>53</v>
      </c>
      <c r="J108" t="s">
        <v>48</v>
      </c>
      <c r="K108" t="s">
        <v>43</v>
      </c>
      <c r="L108">
        <v>2</v>
      </c>
      <c r="M108" s="12">
        <v>6499</v>
      </c>
      <c r="N108" s="12">
        <v>4549.2999999999993</v>
      </c>
      <c r="O108">
        <v>10</v>
      </c>
      <c r="P108" s="12">
        <v>11698.2</v>
      </c>
      <c r="Q108" s="12">
        <v>9098.5999999999985</v>
      </c>
      <c r="R108" s="12">
        <v>2599.6000000000022</v>
      </c>
      <c r="S108" t="s">
        <v>1246</v>
      </c>
      <c r="T108" t="s">
        <v>108</v>
      </c>
      <c r="U108" t="s">
        <v>1205</v>
      </c>
    </row>
    <row r="109" spans="1:21" x14ac:dyDescent="0.25">
      <c r="A109" t="s">
        <v>1449</v>
      </c>
      <c r="B109" s="8">
        <v>45805</v>
      </c>
      <c r="C109" t="s">
        <v>2385</v>
      </c>
      <c r="D109" t="s">
        <v>481</v>
      </c>
      <c r="E109" t="s">
        <v>198</v>
      </c>
      <c r="F109">
        <v>30</v>
      </c>
      <c r="G109" t="s">
        <v>11</v>
      </c>
      <c r="H109" t="s">
        <v>12</v>
      </c>
      <c r="I109" t="s">
        <v>55</v>
      </c>
      <c r="J109" t="s">
        <v>65</v>
      </c>
      <c r="K109" t="s">
        <v>64</v>
      </c>
      <c r="L109">
        <v>3</v>
      </c>
      <c r="M109" s="12">
        <v>80</v>
      </c>
      <c r="N109" s="12">
        <v>56</v>
      </c>
      <c r="O109">
        <v>11</v>
      </c>
      <c r="P109" s="12">
        <v>213.6</v>
      </c>
      <c r="Q109" s="12">
        <v>168</v>
      </c>
      <c r="R109" s="12">
        <v>45.599999999999994</v>
      </c>
      <c r="S109" t="s">
        <v>1246</v>
      </c>
      <c r="T109" t="s">
        <v>110</v>
      </c>
      <c r="U109" t="s">
        <v>1201</v>
      </c>
    </row>
    <row r="110" spans="1:21" x14ac:dyDescent="0.25">
      <c r="A110" t="s">
        <v>1451</v>
      </c>
      <c r="B110" s="8">
        <v>45856</v>
      </c>
      <c r="C110" t="s">
        <v>1625</v>
      </c>
      <c r="D110" t="s">
        <v>615</v>
      </c>
      <c r="E110" t="s">
        <v>198</v>
      </c>
      <c r="F110">
        <v>44</v>
      </c>
      <c r="G110" t="s">
        <v>290</v>
      </c>
      <c r="H110" t="s">
        <v>3</v>
      </c>
      <c r="I110" t="s">
        <v>55</v>
      </c>
      <c r="J110" t="s">
        <v>65</v>
      </c>
      <c r="K110" t="s">
        <v>64</v>
      </c>
      <c r="L110">
        <v>2</v>
      </c>
      <c r="M110" s="12">
        <v>80</v>
      </c>
      <c r="N110" s="12">
        <v>56</v>
      </c>
      <c r="O110">
        <v>1</v>
      </c>
      <c r="P110" s="12">
        <v>158.4</v>
      </c>
      <c r="Q110" s="12">
        <v>112</v>
      </c>
      <c r="R110" s="12">
        <v>46.400000000000006</v>
      </c>
      <c r="S110" t="s">
        <v>1246</v>
      </c>
      <c r="T110" t="s">
        <v>107</v>
      </c>
      <c r="U110" t="s">
        <v>1201</v>
      </c>
    </row>
    <row r="111" spans="1:21" x14ac:dyDescent="0.25">
      <c r="A111" t="s">
        <v>1453</v>
      </c>
      <c r="B111" s="8">
        <v>45920</v>
      </c>
      <c r="C111" t="s">
        <v>1592</v>
      </c>
      <c r="D111" t="s">
        <v>879</v>
      </c>
      <c r="E111" t="s">
        <v>198</v>
      </c>
      <c r="F111">
        <v>41</v>
      </c>
      <c r="G111" t="s">
        <v>7</v>
      </c>
      <c r="H111" t="s">
        <v>8</v>
      </c>
      <c r="I111" t="s">
        <v>55</v>
      </c>
      <c r="J111" t="s">
        <v>65</v>
      </c>
      <c r="K111" t="s">
        <v>64</v>
      </c>
      <c r="L111">
        <v>2</v>
      </c>
      <c r="M111" s="12">
        <v>80</v>
      </c>
      <c r="N111" s="12">
        <v>56</v>
      </c>
      <c r="O111">
        <v>5</v>
      </c>
      <c r="P111" s="12">
        <v>152</v>
      </c>
      <c r="Q111" s="12">
        <v>112</v>
      </c>
      <c r="R111" s="12">
        <v>40</v>
      </c>
      <c r="S111" t="s">
        <v>113</v>
      </c>
      <c r="T111" t="s">
        <v>107</v>
      </c>
      <c r="U111" t="s">
        <v>1194</v>
      </c>
    </row>
    <row r="112" spans="1:21" x14ac:dyDescent="0.25">
      <c r="A112" t="s">
        <v>1455</v>
      </c>
      <c r="B112" s="8">
        <v>45799</v>
      </c>
      <c r="C112" t="s">
        <v>1864</v>
      </c>
      <c r="D112" t="s">
        <v>845</v>
      </c>
      <c r="E112" t="s">
        <v>218</v>
      </c>
      <c r="F112">
        <v>52</v>
      </c>
      <c r="G112" t="s">
        <v>14</v>
      </c>
      <c r="H112" t="s">
        <v>15</v>
      </c>
      <c r="I112" t="s">
        <v>45</v>
      </c>
      <c r="J112" t="s">
        <v>46</v>
      </c>
      <c r="K112" t="s">
        <v>43</v>
      </c>
      <c r="L112">
        <v>3</v>
      </c>
      <c r="M112" s="12">
        <v>11999</v>
      </c>
      <c r="N112" s="12">
        <v>8999.25</v>
      </c>
      <c r="O112">
        <v>3</v>
      </c>
      <c r="P112" s="12">
        <v>34917.089999999997</v>
      </c>
      <c r="Q112" s="12">
        <v>26997.75</v>
      </c>
      <c r="R112" s="12">
        <v>7919.3399999999965</v>
      </c>
      <c r="S112" t="s">
        <v>1246</v>
      </c>
      <c r="T112" t="s">
        <v>108</v>
      </c>
      <c r="U112" t="s">
        <v>1207</v>
      </c>
    </row>
    <row r="113" spans="1:21" x14ac:dyDescent="0.25">
      <c r="A113" t="s">
        <v>1457</v>
      </c>
      <c r="B113" s="8">
        <v>45873</v>
      </c>
      <c r="C113" t="s">
        <v>3983</v>
      </c>
      <c r="D113" t="s">
        <v>1100</v>
      </c>
      <c r="E113" t="s">
        <v>218</v>
      </c>
      <c r="F113">
        <v>33</v>
      </c>
      <c r="G113" t="s">
        <v>11</v>
      </c>
      <c r="H113" t="s">
        <v>12</v>
      </c>
      <c r="I113" t="s">
        <v>42</v>
      </c>
      <c r="J113" t="s">
        <v>44</v>
      </c>
      <c r="K113" t="s">
        <v>43</v>
      </c>
      <c r="L113">
        <v>1</v>
      </c>
      <c r="M113" s="12">
        <v>8999</v>
      </c>
      <c r="N113" s="12">
        <v>6479.28</v>
      </c>
      <c r="O113">
        <v>8</v>
      </c>
      <c r="P113" s="12">
        <v>8279.08</v>
      </c>
      <c r="Q113" s="12">
        <v>6479.28</v>
      </c>
      <c r="R113" s="12">
        <v>1799.8000000000002</v>
      </c>
      <c r="S113" t="s">
        <v>113</v>
      </c>
      <c r="T113" t="s">
        <v>107</v>
      </c>
      <c r="U113" t="s">
        <v>1196</v>
      </c>
    </row>
    <row r="114" spans="1:21" x14ac:dyDescent="0.25">
      <c r="A114" t="s">
        <v>1459</v>
      </c>
      <c r="B114" s="8">
        <v>45962</v>
      </c>
      <c r="C114" t="s">
        <v>4132</v>
      </c>
      <c r="D114" t="s">
        <v>875</v>
      </c>
      <c r="E114" t="s">
        <v>198</v>
      </c>
      <c r="F114">
        <v>40</v>
      </c>
      <c r="G114" t="s">
        <v>2</v>
      </c>
      <c r="H114" t="s">
        <v>3</v>
      </c>
      <c r="I114" t="s">
        <v>49</v>
      </c>
      <c r="J114" t="s">
        <v>56</v>
      </c>
      <c r="K114" t="s">
        <v>43</v>
      </c>
      <c r="L114">
        <v>4</v>
      </c>
      <c r="M114" s="12">
        <v>31999</v>
      </c>
      <c r="N114" s="12">
        <v>25599.200000000001</v>
      </c>
      <c r="O114">
        <v>14</v>
      </c>
      <c r="P114" s="12">
        <v>110076.56</v>
      </c>
      <c r="Q114" s="12">
        <v>102396.8</v>
      </c>
      <c r="R114" s="12">
        <v>7679.7599999999948</v>
      </c>
      <c r="S114" t="s">
        <v>1246</v>
      </c>
      <c r="T114" t="s">
        <v>107</v>
      </c>
      <c r="U114" t="s">
        <v>1209</v>
      </c>
    </row>
    <row r="115" spans="1:21" x14ac:dyDescent="0.25">
      <c r="A115" t="s">
        <v>1461</v>
      </c>
      <c r="B115" s="8">
        <v>45843</v>
      </c>
      <c r="C115" t="s">
        <v>1429</v>
      </c>
      <c r="D115" t="s">
        <v>552</v>
      </c>
      <c r="E115" t="s">
        <v>218</v>
      </c>
      <c r="F115">
        <v>41</v>
      </c>
      <c r="G115" t="s">
        <v>2</v>
      </c>
      <c r="H115" t="s">
        <v>3</v>
      </c>
      <c r="I115" t="s">
        <v>59</v>
      </c>
      <c r="J115" t="s">
        <v>73</v>
      </c>
      <c r="K115" t="s">
        <v>64</v>
      </c>
      <c r="L115">
        <v>5</v>
      </c>
      <c r="M115" s="12">
        <v>120</v>
      </c>
      <c r="N115" s="12">
        <v>81.599999999999994</v>
      </c>
      <c r="O115">
        <v>0</v>
      </c>
      <c r="P115" s="12">
        <v>600</v>
      </c>
      <c r="Q115" s="12">
        <v>408</v>
      </c>
      <c r="R115" s="12">
        <v>192</v>
      </c>
      <c r="S115" t="s">
        <v>113</v>
      </c>
      <c r="T115" t="s">
        <v>107</v>
      </c>
      <c r="U115" t="s">
        <v>1201</v>
      </c>
    </row>
    <row r="116" spans="1:21" x14ac:dyDescent="0.25">
      <c r="A116" t="s">
        <v>1463</v>
      </c>
      <c r="B116" s="8">
        <v>45725</v>
      </c>
      <c r="C116" t="s">
        <v>2277</v>
      </c>
      <c r="D116" t="s">
        <v>467</v>
      </c>
      <c r="E116" t="s">
        <v>198</v>
      </c>
      <c r="F116">
        <v>55</v>
      </c>
      <c r="G116" t="s">
        <v>5</v>
      </c>
      <c r="H116" t="s">
        <v>3</v>
      </c>
      <c r="I116" t="s">
        <v>28</v>
      </c>
      <c r="J116" t="s">
        <v>35</v>
      </c>
      <c r="K116" t="s">
        <v>22</v>
      </c>
      <c r="L116">
        <v>2</v>
      </c>
      <c r="M116" s="12">
        <v>16499</v>
      </c>
      <c r="N116" s="12">
        <v>14519.12</v>
      </c>
      <c r="O116">
        <v>3</v>
      </c>
      <c r="P116" s="12">
        <v>32008.059999999998</v>
      </c>
      <c r="Q116" s="12">
        <v>29038.240000000002</v>
      </c>
      <c r="R116" s="12">
        <v>2969.8199999999961</v>
      </c>
      <c r="S116" t="s">
        <v>113</v>
      </c>
      <c r="T116" t="s">
        <v>109</v>
      </c>
      <c r="U116" t="s">
        <v>1211</v>
      </c>
    </row>
    <row r="117" spans="1:21" x14ac:dyDescent="0.25">
      <c r="A117" t="s">
        <v>1465</v>
      </c>
      <c r="B117" s="8">
        <v>45961</v>
      </c>
      <c r="C117" t="s">
        <v>1932</v>
      </c>
      <c r="D117" t="s">
        <v>794</v>
      </c>
      <c r="E117" t="s">
        <v>218</v>
      </c>
      <c r="F117">
        <v>64</v>
      </c>
      <c r="G117" t="s">
        <v>14</v>
      </c>
      <c r="H117" t="s">
        <v>15</v>
      </c>
      <c r="I117" t="s">
        <v>32</v>
      </c>
      <c r="J117" t="s">
        <v>29</v>
      </c>
      <c r="K117" t="s">
        <v>22</v>
      </c>
      <c r="L117">
        <v>1</v>
      </c>
      <c r="M117" s="12">
        <v>9500</v>
      </c>
      <c r="N117" s="12">
        <v>6650</v>
      </c>
      <c r="O117">
        <v>3</v>
      </c>
      <c r="P117" s="12">
        <v>9215</v>
      </c>
      <c r="Q117" s="12">
        <v>6650</v>
      </c>
      <c r="R117" s="12">
        <v>2565</v>
      </c>
      <c r="S117" t="s">
        <v>113</v>
      </c>
      <c r="T117" t="s">
        <v>107</v>
      </c>
      <c r="U117" t="s">
        <v>1194</v>
      </c>
    </row>
    <row r="118" spans="1:21" x14ac:dyDescent="0.25">
      <c r="A118" t="s">
        <v>1467</v>
      </c>
      <c r="B118" s="8">
        <v>45870</v>
      </c>
      <c r="C118" t="s">
        <v>1616</v>
      </c>
      <c r="D118" t="s">
        <v>582</v>
      </c>
      <c r="E118" t="s">
        <v>198</v>
      </c>
      <c r="F118">
        <v>61</v>
      </c>
      <c r="G118" t="s">
        <v>14</v>
      </c>
      <c r="H118" t="s">
        <v>15</v>
      </c>
      <c r="I118" t="s">
        <v>34</v>
      </c>
      <c r="J118" t="s">
        <v>137</v>
      </c>
      <c r="K118" t="s">
        <v>22</v>
      </c>
      <c r="L118">
        <v>4</v>
      </c>
      <c r="M118" s="12">
        <v>6900</v>
      </c>
      <c r="N118" s="12">
        <v>5727</v>
      </c>
      <c r="O118">
        <v>5</v>
      </c>
      <c r="P118" s="12">
        <v>26220</v>
      </c>
      <c r="Q118" s="12">
        <v>22908</v>
      </c>
      <c r="R118" s="12">
        <v>3312</v>
      </c>
      <c r="S118" t="s">
        <v>1246</v>
      </c>
      <c r="T118" t="s">
        <v>110</v>
      </c>
      <c r="U118" t="s">
        <v>1205</v>
      </c>
    </row>
    <row r="119" spans="1:21" x14ac:dyDescent="0.25">
      <c r="A119" t="s">
        <v>1469</v>
      </c>
      <c r="B119" s="8">
        <v>45821</v>
      </c>
      <c r="C119" t="s">
        <v>1563</v>
      </c>
      <c r="D119" t="s">
        <v>991</v>
      </c>
      <c r="E119" t="s">
        <v>198</v>
      </c>
      <c r="F119">
        <v>45</v>
      </c>
      <c r="G119" t="s">
        <v>16</v>
      </c>
      <c r="H119" t="s">
        <v>15</v>
      </c>
      <c r="I119" t="s">
        <v>55</v>
      </c>
      <c r="J119" t="s">
        <v>65</v>
      </c>
      <c r="K119" t="s">
        <v>64</v>
      </c>
      <c r="L119">
        <v>5</v>
      </c>
      <c r="M119" s="12">
        <v>80</v>
      </c>
      <c r="N119" s="12">
        <v>56</v>
      </c>
      <c r="O119">
        <v>8</v>
      </c>
      <c r="P119" s="12">
        <v>368</v>
      </c>
      <c r="Q119" s="12">
        <v>280</v>
      </c>
      <c r="R119" s="12">
        <v>88</v>
      </c>
      <c r="S119" t="s">
        <v>1249</v>
      </c>
      <c r="T119" t="s">
        <v>107</v>
      </c>
      <c r="U119" t="s">
        <v>1205</v>
      </c>
    </row>
    <row r="120" spans="1:21" x14ac:dyDescent="0.25">
      <c r="A120" t="s">
        <v>1471</v>
      </c>
      <c r="B120" s="8">
        <v>45808</v>
      </c>
      <c r="C120" t="s">
        <v>1862</v>
      </c>
      <c r="D120" t="s">
        <v>1157</v>
      </c>
      <c r="E120" t="s">
        <v>218</v>
      </c>
      <c r="F120">
        <v>47</v>
      </c>
      <c r="G120" t="s">
        <v>2</v>
      </c>
      <c r="H120" t="s">
        <v>3</v>
      </c>
      <c r="I120" t="s">
        <v>45</v>
      </c>
      <c r="J120" t="s">
        <v>46</v>
      </c>
      <c r="K120" t="s">
        <v>43</v>
      </c>
      <c r="L120">
        <v>5</v>
      </c>
      <c r="M120" s="12">
        <v>11999</v>
      </c>
      <c r="N120" s="12">
        <v>8999.25</v>
      </c>
      <c r="O120">
        <v>4</v>
      </c>
      <c r="P120" s="12">
        <v>57595.199999999997</v>
      </c>
      <c r="Q120" s="12">
        <v>44996.25</v>
      </c>
      <c r="R120" s="12">
        <v>12598.949999999997</v>
      </c>
      <c r="S120" t="s">
        <v>1246</v>
      </c>
      <c r="T120" t="s">
        <v>110</v>
      </c>
      <c r="U120" t="s">
        <v>1211</v>
      </c>
    </row>
    <row r="121" spans="1:21" x14ac:dyDescent="0.25">
      <c r="A121" t="s">
        <v>1473</v>
      </c>
      <c r="B121" s="8">
        <v>45715</v>
      </c>
      <c r="C121" t="s">
        <v>1370</v>
      </c>
      <c r="D121" t="s">
        <v>676</v>
      </c>
      <c r="E121" t="s">
        <v>218</v>
      </c>
      <c r="F121">
        <v>20</v>
      </c>
      <c r="G121" t="s">
        <v>14</v>
      </c>
      <c r="H121" t="s">
        <v>15</v>
      </c>
      <c r="I121" t="s">
        <v>47</v>
      </c>
      <c r="J121" t="s">
        <v>52</v>
      </c>
      <c r="K121" t="s">
        <v>43</v>
      </c>
      <c r="L121">
        <v>4</v>
      </c>
      <c r="M121" s="12">
        <v>42999</v>
      </c>
      <c r="N121" s="12">
        <v>33539.22</v>
      </c>
      <c r="O121">
        <v>6</v>
      </c>
      <c r="P121" s="12">
        <v>161676.24</v>
      </c>
      <c r="Q121" s="12">
        <v>134156.88</v>
      </c>
      <c r="R121" s="12">
        <v>27519.359999999986</v>
      </c>
      <c r="S121" t="s">
        <v>1246</v>
      </c>
      <c r="T121" t="s">
        <v>108</v>
      </c>
      <c r="U121" t="s">
        <v>1199</v>
      </c>
    </row>
    <row r="122" spans="1:21" x14ac:dyDescent="0.25">
      <c r="A122" t="s">
        <v>1475</v>
      </c>
      <c r="B122" s="8">
        <v>45762</v>
      </c>
      <c r="C122" t="s">
        <v>4788</v>
      </c>
      <c r="D122" t="s">
        <v>671</v>
      </c>
      <c r="E122" t="s">
        <v>218</v>
      </c>
      <c r="F122">
        <v>65</v>
      </c>
      <c r="G122" t="s">
        <v>290</v>
      </c>
      <c r="H122" t="s">
        <v>3</v>
      </c>
      <c r="I122" t="s">
        <v>57</v>
      </c>
      <c r="J122" t="s">
        <v>67</v>
      </c>
      <c r="K122" t="s">
        <v>64</v>
      </c>
      <c r="L122">
        <v>2</v>
      </c>
      <c r="M122" s="12">
        <v>150</v>
      </c>
      <c r="N122" s="12">
        <v>97.5</v>
      </c>
      <c r="O122">
        <v>3</v>
      </c>
      <c r="P122" s="12">
        <v>291</v>
      </c>
      <c r="Q122" s="12">
        <v>195</v>
      </c>
      <c r="R122" s="12">
        <v>96</v>
      </c>
      <c r="S122" t="s">
        <v>1246</v>
      </c>
      <c r="T122" t="s">
        <v>108</v>
      </c>
      <c r="U122" t="s">
        <v>1199</v>
      </c>
    </row>
    <row r="123" spans="1:21" x14ac:dyDescent="0.25">
      <c r="A123" t="s">
        <v>1476</v>
      </c>
      <c r="B123" s="8">
        <v>45779</v>
      </c>
      <c r="C123" t="s">
        <v>1751</v>
      </c>
      <c r="D123" t="s">
        <v>795</v>
      </c>
      <c r="E123" t="s">
        <v>198</v>
      </c>
      <c r="F123">
        <v>65</v>
      </c>
      <c r="G123" t="s">
        <v>17</v>
      </c>
      <c r="H123" t="s">
        <v>15</v>
      </c>
      <c r="I123" t="s">
        <v>53</v>
      </c>
      <c r="J123" t="s">
        <v>48</v>
      </c>
      <c r="K123" t="s">
        <v>43</v>
      </c>
      <c r="L123">
        <v>3</v>
      </c>
      <c r="M123" s="12">
        <v>6499</v>
      </c>
      <c r="N123" s="12">
        <v>4549.2999999999993</v>
      </c>
      <c r="O123">
        <v>5</v>
      </c>
      <c r="P123" s="12">
        <v>18522.149999999998</v>
      </c>
      <c r="Q123" s="12">
        <v>13647.899999999998</v>
      </c>
      <c r="R123" s="12">
        <v>4874.25</v>
      </c>
      <c r="S123" t="s">
        <v>113</v>
      </c>
      <c r="T123" t="s">
        <v>108</v>
      </c>
      <c r="U123" t="s">
        <v>1201</v>
      </c>
    </row>
    <row r="124" spans="1:21" x14ac:dyDescent="0.25">
      <c r="A124" t="s">
        <v>1478</v>
      </c>
      <c r="B124" s="8">
        <v>45960</v>
      </c>
      <c r="C124" t="s">
        <v>4260</v>
      </c>
      <c r="D124" t="s">
        <v>620</v>
      </c>
      <c r="E124" t="s">
        <v>218</v>
      </c>
      <c r="F124">
        <v>62</v>
      </c>
      <c r="G124" t="s">
        <v>290</v>
      </c>
      <c r="H124" t="s">
        <v>3</v>
      </c>
      <c r="I124" t="s">
        <v>36</v>
      </c>
      <c r="J124" t="s">
        <v>136</v>
      </c>
      <c r="K124" t="s">
        <v>22</v>
      </c>
      <c r="L124">
        <v>1</v>
      </c>
      <c r="M124" s="12">
        <v>3590</v>
      </c>
      <c r="N124" s="12">
        <v>2333.5</v>
      </c>
      <c r="O124">
        <v>5</v>
      </c>
      <c r="P124" s="12">
        <v>3410.5</v>
      </c>
      <c r="Q124" s="12">
        <v>2333.5</v>
      </c>
      <c r="R124" s="12">
        <v>1077</v>
      </c>
      <c r="S124" t="s">
        <v>1246</v>
      </c>
      <c r="T124" t="s">
        <v>107</v>
      </c>
      <c r="U124" t="s">
        <v>1203</v>
      </c>
    </row>
    <row r="125" spans="1:21" x14ac:dyDescent="0.25">
      <c r="A125" t="s">
        <v>1480</v>
      </c>
      <c r="B125" s="8">
        <v>45832</v>
      </c>
      <c r="C125" t="s">
        <v>3177</v>
      </c>
      <c r="D125" t="s">
        <v>564</v>
      </c>
      <c r="E125" t="s">
        <v>198</v>
      </c>
      <c r="F125">
        <v>22</v>
      </c>
      <c r="G125" t="s">
        <v>289</v>
      </c>
      <c r="H125" t="s">
        <v>3</v>
      </c>
      <c r="I125" t="s">
        <v>55</v>
      </c>
      <c r="J125" t="s">
        <v>65</v>
      </c>
      <c r="K125" t="s">
        <v>64</v>
      </c>
      <c r="L125">
        <v>4</v>
      </c>
      <c r="M125" s="12">
        <v>80</v>
      </c>
      <c r="N125" s="12">
        <v>56</v>
      </c>
      <c r="O125">
        <v>14</v>
      </c>
      <c r="P125" s="12">
        <v>275.2</v>
      </c>
      <c r="Q125" s="12">
        <v>224</v>
      </c>
      <c r="R125" s="12">
        <v>51.199999999999989</v>
      </c>
      <c r="S125" t="s">
        <v>1246</v>
      </c>
      <c r="T125" t="s">
        <v>111</v>
      </c>
      <c r="U125" t="s">
        <v>1194</v>
      </c>
    </row>
    <row r="126" spans="1:21" x14ac:dyDescent="0.25">
      <c r="A126" t="s">
        <v>1482</v>
      </c>
      <c r="B126" s="8">
        <v>45730</v>
      </c>
      <c r="C126" t="s">
        <v>2152</v>
      </c>
      <c r="D126" t="s">
        <v>852</v>
      </c>
      <c r="E126" t="s">
        <v>198</v>
      </c>
      <c r="F126">
        <v>57</v>
      </c>
      <c r="G126" t="s">
        <v>14</v>
      </c>
      <c r="H126" t="s">
        <v>15</v>
      </c>
      <c r="I126" t="s">
        <v>34</v>
      </c>
      <c r="J126" t="s">
        <v>137</v>
      </c>
      <c r="K126" t="s">
        <v>22</v>
      </c>
      <c r="L126">
        <v>2</v>
      </c>
      <c r="M126" s="12">
        <v>6900</v>
      </c>
      <c r="N126" s="12">
        <v>5727</v>
      </c>
      <c r="O126">
        <v>7</v>
      </c>
      <c r="P126" s="12">
        <v>12834</v>
      </c>
      <c r="Q126" s="12">
        <v>11454</v>
      </c>
      <c r="R126" s="12">
        <v>1380</v>
      </c>
      <c r="S126" t="s">
        <v>1246</v>
      </c>
      <c r="T126" t="s">
        <v>107</v>
      </c>
      <c r="U126" t="s">
        <v>1203</v>
      </c>
    </row>
    <row r="127" spans="1:21" x14ac:dyDescent="0.25">
      <c r="A127" t="s">
        <v>1484</v>
      </c>
      <c r="B127" s="8">
        <v>46019</v>
      </c>
      <c r="C127" t="s">
        <v>4780</v>
      </c>
      <c r="D127" t="s">
        <v>1056</v>
      </c>
      <c r="E127" t="s">
        <v>218</v>
      </c>
      <c r="F127">
        <v>31</v>
      </c>
      <c r="G127" t="s">
        <v>10</v>
      </c>
      <c r="H127" t="s">
        <v>8</v>
      </c>
      <c r="I127" t="s">
        <v>42</v>
      </c>
      <c r="J127" t="s">
        <v>44</v>
      </c>
      <c r="K127" t="s">
        <v>43</v>
      </c>
      <c r="L127">
        <v>5</v>
      </c>
      <c r="M127" s="12">
        <v>8999</v>
      </c>
      <c r="N127" s="12">
        <v>6479.28</v>
      </c>
      <c r="O127">
        <v>13</v>
      </c>
      <c r="P127" s="12">
        <v>39145.65</v>
      </c>
      <c r="Q127" s="12">
        <v>32396.399999999998</v>
      </c>
      <c r="R127" s="12">
        <v>6749.2500000000036</v>
      </c>
      <c r="S127" t="s">
        <v>113</v>
      </c>
      <c r="T127" t="s">
        <v>109</v>
      </c>
      <c r="U127" t="s">
        <v>1194</v>
      </c>
    </row>
    <row r="128" spans="1:21" x14ac:dyDescent="0.25">
      <c r="A128" t="s">
        <v>1486</v>
      </c>
      <c r="B128" s="8">
        <v>45706</v>
      </c>
      <c r="C128" t="s">
        <v>2079</v>
      </c>
      <c r="D128" t="s">
        <v>612</v>
      </c>
      <c r="E128" t="s">
        <v>198</v>
      </c>
      <c r="F128">
        <v>23</v>
      </c>
      <c r="G128" t="s">
        <v>14</v>
      </c>
      <c r="H128" t="s">
        <v>15</v>
      </c>
      <c r="I128" t="s">
        <v>32</v>
      </c>
      <c r="J128" t="s">
        <v>29</v>
      </c>
      <c r="K128" t="s">
        <v>22</v>
      </c>
      <c r="L128">
        <v>2</v>
      </c>
      <c r="M128" s="12">
        <v>9500</v>
      </c>
      <c r="N128" s="12">
        <v>6650</v>
      </c>
      <c r="O128">
        <v>8</v>
      </c>
      <c r="P128" s="12">
        <v>17480</v>
      </c>
      <c r="Q128" s="12">
        <v>13300</v>
      </c>
      <c r="R128" s="12">
        <v>4180</v>
      </c>
      <c r="S128" t="s">
        <v>113</v>
      </c>
      <c r="T128" t="s">
        <v>107</v>
      </c>
      <c r="U128" t="s">
        <v>1205</v>
      </c>
    </row>
    <row r="129" spans="1:21" x14ac:dyDescent="0.25">
      <c r="A129" t="s">
        <v>1487</v>
      </c>
      <c r="B129" s="8">
        <v>45659</v>
      </c>
      <c r="C129" t="s">
        <v>3701</v>
      </c>
      <c r="D129" t="s">
        <v>372</v>
      </c>
      <c r="E129" t="s">
        <v>218</v>
      </c>
      <c r="F129">
        <v>28</v>
      </c>
      <c r="G129" t="s">
        <v>289</v>
      </c>
      <c r="H129" t="s">
        <v>3</v>
      </c>
      <c r="I129" t="s">
        <v>21</v>
      </c>
      <c r="J129" t="s">
        <v>23</v>
      </c>
      <c r="K129" t="s">
        <v>22</v>
      </c>
      <c r="L129">
        <v>2</v>
      </c>
      <c r="M129" s="12">
        <v>54999</v>
      </c>
      <c r="N129" s="12">
        <v>45099.18</v>
      </c>
      <c r="O129">
        <v>6</v>
      </c>
      <c r="P129" s="12">
        <v>103398.12</v>
      </c>
      <c r="Q129" s="12">
        <v>90198.36</v>
      </c>
      <c r="R129" s="12">
        <v>13199.759999999995</v>
      </c>
      <c r="S129" t="s">
        <v>113</v>
      </c>
      <c r="T129" t="s">
        <v>108</v>
      </c>
      <c r="U129" t="s">
        <v>1198</v>
      </c>
    </row>
    <row r="130" spans="1:21" x14ac:dyDescent="0.25">
      <c r="A130" t="s">
        <v>1489</v>
      </c>
      <c r="B130" s="8">
        <v>45815</v>
      </c>
      <c r="C130" t="s">
        <v>2034</v>
      </c>
      <c r="D130" t="s">
        <v>446</v>
      </c>
      <c r="E130" t="s">
        <v>218</v>
      </c>
      <c r="F130">
        <v>32</v>
      </c>
      <c r="G130" t="s">
        <v>14</v>
      </c>
      <c r="H130" t="s">
        <v>15</v>
      </c>
      <c r="I130" t="s">
        <v>53</v>
      </c>
      <c r="J130" t="s">
        <v>48</v>
      </c>
      <c r="K130" t="s">
        <v>43</v>
      </c>
      <c r="L130">
        <v>2</v>
      </c>
      <c r="M130" s="12">
        <v>6499</v>
      </c>
      <c r="N130" s="12">
        <v>4549.2999999999993</v>
      </c>
      <c r="O130">
        <v>5</v>
      </c>
      <c r="P130" s="12">
        <v>12348.099999999999</v>
      </c>
      <c r="Q130" s="12">
        <v>9098.5999999999985</v>
      </c>
      <c r="R130" s="12">
        <v>3249.5</v>
      </c>
      <c r="S130" t="s">
        <v>113</v>
      </c>
      <c r="T130" t="s">
        <v>109</v>
      </c>
      <c r="U130" t="s">
        <v>1209</v>
      </c>
    </row>
    <row r="131" spans="1:21" x14ac:dyDescent="0.25">
      <c r="A131" t="s">
        <v>1490</v>
      </c>
      <c r="B131" s="8">
        <v>46004</v>
      </c>
      <c r="C131" t="s">
        <v>2388</v>
      </c>
      <c r="D131" t="s">
        <v>933</v>
      </c>
      <c r="E131" t="s">
        <v>218</v>
      </c>
      <c r="F131">
        <v>26</v>
      </c>
      <c r="G131" t="s">
        <v>4</v>
      </c>
      <c r="H131" t="s">
        <v>3</v>
      </c>
      <c r="I131" t="s">
        <v>51</v>
      </c>
      <c r="J131" t="s">
        <v>54</v>
      </c>
      <c r="K131" t="s">
        <v>43</v>
      </c>
      <c r="L131">
        <v>4</v>
      </c>
      <c r="M131" s="12">
        <v>27499</v>
      </c>
      <c r="N131" s="12">
        <v>21724.210000000003</v>
      </c>
      <c r="O131">
        <v>13</v>
      </c>
      <c r="P131" s="12">
        <v>95696.52</v>
      </c>
      <c r="Q131" s="12">
        <v>86896.840000000011</v>
      </c>
      <c r="R131" s="12">
        <v>8799.679999999993</v>
      </c>
      <c r="S131" t="s">
        <v>113</v>
      </c>
      <c r="T131" t="s">
        <v>109</v>
      </c>
      <c r="U131" t="s">
        <v>1199</v>
      </c>
    </row>
    <row r="132" spans="1:21" x14ac:dyDescent="0.25">
      <c r="A132" t="s">
        <v>1492</v>
      </c>
      <c r="B132" s="8">
        <v>45720</v>
      </c>
      <c r="C132" t="s">
        <v>3882</v>
      </c>
      <c r="D132" t="s">
        <v>568</v>
      </c>
      <c r="E132" t="s">
        <v>218</v>
      </c>
      <c r="F132">
        <v>45</v>
      </c>
      <c r="G132" t="s">
        <v>17</v>
      </c>
      <c r="H132" t="s">
        <v>15</v>
      </c>
      <c r="I132" t="s">
        <v>26</v>
      </c>
      <c r="J132" t="s">
        <v>27</v>
      </c>
      <c r="K132" t="s">
        <v>22</v>
      </c>
      <c r="L132">
        <v>2</v>
      </c>
      <c r="M132" s="12">
        <v>27499</v>
      </c>
      <c r="N132" s="12">
        <v>23374.149999999998</v>
      </c>
      <c r="O132">
        <v>7</v>
      </c>
      <c r="P132" s="12">
        <v>51148.14</v>
      </c>
      <c r="Q132" s="12">
        <v>46748.299999999996</v>
      </c>
      <c r="R132" s="12">
        <v>4399.8400000000038</v>
      </c>
      <c r="S132" t="s">
        <v>113</v>
      </c>
      <c r="T132" t="s">
        <v>108</v>
      </c>
      <c r="U132" t="s">
        <v>1203</v>
      </c>
    </row>
    <row r="133" spans="1:21" x14ac:dyDescent="0.25">
      <c r="A133" t="s">
        <v>1493</v>
      </c>
      <c r="B133" s="8">
        <v>45946</v>
      </c>
      <c r="C133" t="s">
        <v>5075</v>
      </c>
      <c r="D133" t="s">
        <v>407</v>
      </c>
      <c r="E133" t="s">
        <v>218</v>
      </c>
      <c r="F133">
        <v>37</v>
      </c>
      <c r="G133" t="s">
        <v>289</v>
      </c>
      <c r="H133" t="s">
        <v>3</v>
      </c>
      <c r="I133" t="s">
        <v>63</v>
      </c>
      <c r="J133" t="s">
        <v>77</v>
      </c>
      <c r="K133" t="s">
        <v>64</v>
      </c>
      <c r="L133">
        <v>1</v>
      </c>
      <c r="M133" s="12">
        <v>650</v>
      </c>
      <c r="N133" s="12">
        <v>468</v>
      </c>
      <c r="O133">
        <v>4</v>
      </c>
      <c r="P133" s="12">
        <v>624</v>
      </c>
      <c r="Q133" s="12">
        <v>468</v>
      </c>
      <c r="R133" s="12">
        <v>156</v>
      </c>
      <c r="S133" t="s">
        <v>113</v>
      </c>
      <c r="T133" t="s">
        <v>109</v>
      </c>
      <c r="U133" t="s">
        <v>1196</v>
      </c>
    </row>
    <row r="134" spans="1:21" x14ac:dyDescent="0.25">
      <c r="A134" t="s">
        <v>1495</v>
      </c>
      <c r="B134" s="8">
        <v>45829</v>
      </c>
      <c r="C134" t="s">
        <v>2971</v>
      </c>
      <c r="D134" t="s">
        <v>955</v>
      </c>
      <c r="E134" t="s">
        <v>198</v>
      </c>
      <c r="F134">
        <v>64</v>
      </c>
      <c r="G134" t="s">
        <v>4</v>
      </c>
      <c r="H134" t="s">
        <v>3</v>
      </c>
      <c r="I134" t="s">
        <v>26</v>
      </c>
      <c r="J134" t="s">
        <v>27</v>
      </c>
      <c r="K134" t="s">
        <v>22</v>
      </c>
      <c r="L134">
        <v>4</v>
      </c>
      <c r="M134" s="12">
        <v>27499</v>
      </c>
      <c r="N134" s="12">
        <v>23374.149999999998</v>
      </c>
      <c r="O134">
        <v>9</v>
      </c>
      <c r="P134" s="12">
        <v>100096.36</v>
      </c>
      <c r="Q134" s="12">
        <v>93496.599999999991</v>
      </c>
      <c r="R134" s="12">
        <v>6599.7600000000093</v>
      </c>
      <c r="S134" t="s">
        <v>1246</v>
      </c>
      <c r="T134" t="s">
        <v>109</v>
      </c>
      <c r="U134" t="s">
        <v>1205</v>
      </c>
    </row>
    <row r="135" spans="1:21" x14ac:dyDescent="0.25">
      <c r="A135" t="s">
        <v>1497</v>
      </c>
      <c r="B135" s="8">
        <v>45861</v>
      </c>
      <c r="C135" t="s">
        <v>1619</v>
      </c>
      <c r="D135" t="s">
        <v>403</v>
      </c>
      <c r="E135" t="s">
        <v>218</v>
      </c>
      <c r="F135">
        <v>41</v>
      </c>
      <c r="G135" t="s">
        <v>17</v>
      </c>
      <c r="H135" t="s">
        <v>15</v>
      </c>
      <c r="I135" t="s">
        <v>57</v>
      </c>
      <c r="J135" t="s">
        <v>67</v>
      </c>
      <c r="K135" t="s">
        <v>64</v>
      </c>
      <c r="L135">
        <v>4</v>
      </c>
      <c r="M135" s="12">
        <v>150</v>
      </c>
      <c r="N135" s="12">
        <v>97.5</v>
      </c>
      <c r="O135">
        <v>0</v>
      </c>
      <c r="P135" s="12">
        <v>600</v>
      </c>
      <c r="Q135" s="12">
        <v>390</v>
      </c>
      <c r="R135" s="12">
        <v>210</v>
      </c>
      <c r="S135" t="s">
        <v>1246</v>
      </c>
      <c r="T135" t="s">
        <v>108</v>
      </c>
      <c r="U135" t="s">
        <v>1198</v>
      </c>
    </row>
    <row r="136" spans="1:21" x14ac:dyDescent="0.25">
      <c r="A136" t="s">
        <v>1499</v>
      </c>
      <c r="B136" s="8">
        <v>46013</v>
      </c>
      <c r="C136" t="s">
        <v>1781</v>
      </c>
      <c r="D136" t="s">
        <v>871</v>
      </c>
      <c r="E136" t="s">
        <v>218</v>
      </c>
      <c r="F136">
        <v>35</v>
      </c>
      <c r="G136" t="s">
        <v>10</v>
      </c>
      <c r="H136" t="s">
        <v>8</v>
      </c>
      <c r="I136" t="s">
        <v>55</v>
      </c>
      <c r="J136" t="s">
        <v>65</v>
      </c>
      <c r="K136" t="s">
        <v>64</v>
      </c>
      <c r="L136">
        <v>1</v>
      </c>
      <c r="M136" s="12">
        <v>80</v>
      </c>
      <c r="N136" s="12">
        <v>56</v>
      </c>
      <c r="O136">
        <v>6</v>
      </c>
      <c r="P136" s="12">
        <v>75.199999999999989</v>
      </c>
      <c r="Q136" s="12">
        <v>56</v>
      </c>
      <c r="R136" s="12">
        <v>19.199999999999989</v>
      </c>
      <c r="S136" t="s">
        <v>1246</v>
      </c>
      <c r="T136" t="s">
        <v>108</v>
      </c>
      <c r="U136" t="s">
        <v>1207</v>
      </c>
    </row>
    <row r="137" spans="1:21" x14ac:dyDescent="0.25">
      <c r="A137" t="s">
        <v>1501</v>
      </c>
      <c r="B137" s="8">
        <v>45698</v>
      </c>
      <c r="C137" t="s">
        <v>5085</v>
      </c>
      <c r="D137" t="s">
        <v>1159</v>
      </c>
      <c r="E137" t="s">
        <v>198</v>
      </c>
      <c r="F137">
        <v>37</v>
      </c>
      <c r="G137" t="s">
        <v>9</v>
      </c>
      <c r="H137" t="s">
        <v>8</v>
      </c>
      <c r="I137" t="s">
        <v>26</v>
      </c>
      <c r="J137" t="s">
        <v>27</v>
      </c>
      <c r="K137" t="s">
        <v>22</v>
      </c>
      <c r="L137">
        <v>1</v>
      </c>
      <c r="M137" s="12">
        <v>27499</v>
      </c>
      <c r="N137" s="12">
        <v>23374.149999999998</v>
      </c>
      <c r="O137">
        <v>8</v>
      </c>
      <c r="P137" s="12">
        <v>25299.08</v>
      </c>
      <c r="Q137" s="12">
        <v>23374.149999999998</v>
      </c>
      <c r="R137" s="12">
        <v>1924.9300000000039</v>
      </c>
      <c r="S137" t="s">
        <v>113</v>
      </c>
      <c r="T137" t="s">
        <v>107</v>
      </c>
      <c r="U137" t="s">
        <v>1199</v>
      </c>
    </row>
    <row r="138" spans="1:21" x14ac:dyDescent="0.25">
      <c r="A138" t="s">
        <v>1503</v>
      </c>
      <c r="B138" s="8">
        <v>45757</v>
      </c>
      <c r="C138" t="s">
        <v>1630</v>
      </c>
      <c r="D138" t="s">
        <v>1044</v>
      </c>
      <c r="E138" t="s">
        <v>198</v>
      </c>
      <c r="F138">
        <v>20</v>
      </c>
      <c r="G138" t="s">
        <v>5</v>
      </c>
      <c r="H138" t="s">
        <v>3</v>
      </c>
      <c r="I138" t="s">
        <v>61</v>
      </c>
      <c r="J138" t="s">
        <v>146</v>
      </c>
      <c r="K138" t="s">
        <v>64</v>
      </c>
      <c r="L138">
        <v>2</v>
      </c>
      <c r="M138" s="12">
        <v>250</v>
      </c>
      <c r="N138" s="12">
        <v>155</v>
      </c>
      <c r="O138">
        <v>2</v>
      </c>
      <c r="P138" s="12">
        <v>490</v>
      </c>
      <c r="Q138" s="12">
        <v>310</v>
      </c>
      <c r="R138" s="12">
        <v>180</v>
      </c>
      <c r="S138" t="s">
        <v>1246</v>
      </c>
      <c r="T138" t="s">
        <v>109</v>
      </c>
      <c r="U138" t="s">
        <v>1211</v>
      </c>
    </row>
    <row r="139" spans="1:21" x14ac:dyDescent="0.25">
      <c r="A139" t="s">
        <v>1505</v>
      </c>
      <c r="B139" s="8">
        <v>46017</v>
      </c>
      <c r="C139" t="s">
        <v>1764</v>
      </c>
      <c r="D139" t="s">
        <v>475</v>
      </c>
      <c r="E139" t="s">
        <v>218</v>
      </c>
      <c r="F139">
        <v>65</v>
      </c>
      <c r="G139" t="s">
        <v>16</v>
      </c>
      <c r="H139" t="s">
        <v>15</v>
      </c>
      <c r="I139" t="s">
        <v>51</v>
      </c>
      <c r="J139" t="s">
        <v>54</v>
      </c>
      <c r="K139" t="s">
        <v>43</v>
      </c>
      <c r="L139">
        <v>5</v>
      </c>
      <c r="M139" s="12">
        <v>27499</v>
      </c>
      <c r="N139" s="12">
        <v>21724.210000000003</v>
      </c>
      <c r="O139">
        <v>18</v>
      </c>
      <c r="P139" s="12">
        <v>112745.90000000001</v>
      </c>
      <c r="Q139" s="12">
        <v>108621.05000000002</v>
      </c>
      <c r="R139" s="12">
        <v>4124.8499999999913</v>
      </c>
      <c r="S139" t="s">
        <v>1246</v>
      </c>
      <c r="T139" t="s">
        <v>110</v>
      </c>
      <c r="U139" t="s">
        <v>1207</v>
      </c>
    </row>
    <row r="140" spans="1:21" x14ac:dyDescent="0.25">
      <c r="A140" t="s">
        <v>1507</v>
      </c>
      <c r="B140" s="8">
        <v>45849</v>
      </c>
      <c r="C140" t="s">
        <v>2454</v>
      </c>
      <c r="D140" t="s">
        <v>478</v>
      </c>
      <c r="E140" t="s">
        <v>198</v>
      </c>
      <c r="F140">
        <v>42</v>
      </c>
      <c r="G140" t="s">
        <v>10</v>
      </c>
      <c r="H140" t="s">
        <v>8</v>
      </c>
      <c r="I140" t="s">
        <v>24</v>
      </c>
      <c r="J140" t="s">
        <v>25</v>
      </c>
      <c r="K140" t="s">
        <v>22</v>
      </c>
      <c r="L140">
        <v>3</v>
      </c>
      <c r="M140" s="12">
        <v>35800</v>
      </c>
      <c r="N140" s="12">
        <v>28640</v>
      </c>
      <c r="O140">
        <v>5</v>
      </c>
      <c r="P140" s="12">
        <v>102030</v>
      </c>
      <c r="Q140" s="12">
        <v>85920</v>
      </c>
      <c r="R140" s="12">
        <v>16110</v>
      </c>
      <c r="S140" t="s">
        <v>1246</v>
      </c>
      <c r="T140" t="s">
        <v>108</v>
      </c>
      <c r="U140" t="s">
        <v>1199</v>
      </c>
    </row>
    <row r="141" spans="1:21" x14ac:dyDescent="0.25">
      <c r="A141" t="s">
        <v>1508</v>
      </c>
      <c r="B141" s="8">
        <v>45932</v>
      </c>
      <c r="C141" t="s">
        <v>3773</v>
      </c>
      <c r="D141" t="s">
        <v>618</v>
      </c>
      <c r="E141" t="s">
        <v>218</v>
      </c>
      <c r="F141">
        <v>26</v>
      </c>
      <c r="G141" t="s">
        <v>289</v>
      </c>
      <c r="H141" t="s">
        <v>3</v>
      </c>
      <c r="I141" t="s">
        <v>28</v>
      </c>
      <c r="J141" t="s">
        <v>35</v>
      </c>
      <c r="K141" t="s">
        <v>22</v>
      </c>
      <c r="L141">
        <v>3</v>
      </c>
      <c r="M141" s="12">
        <v>16499</v>
      </c>
      <c r="N141" s="12">
        <v>14519.12</v>
      </c>
      <c r="O141">
        <v>8</v>
      </c>
      <c r="P141" s="12">
        <v>45537.240000000005</v>
      </c>
      <c r="Q141" s="12">
        <v>43557.36</v>
      </c>
      <c r="R141" s="12">
        <v>1979.8800000000047</v>
      </c>
      <c r="S141" t="s">
        <v>113</v>
      </c>
      <c r="T141" t="s">
        <v>109</v>
      </c>
      <c r="U141" t="s">
        <v>1203</v>
      </c>
    </row>
    <row r="142" spans="1:21" x14ac:dyDescent="0.25">
      <c r="A142" t="s">
        <v>1510</v>
      </c>
      <c r="B142" s="8">
        <v>45731</v>
      </c>
      <c r="C142" t="s">
        <v>4197</v>
      </c>
      <c r="D142" t="s">
        <v>1007</v>
      </c>
      <c r="E142" t="s">
        <v>198</v>
      </c>
      <c r="F142">
        <v>20</v>
      </c>
      <c r="G142" t="s">
        <v>10</v>
      </c>
      <c r="H142" t="s">
        <v>8</v>
      </c>
      <c r="I142" t="s">
        <v>61</v>
      </c>
      <c r="J142" t="s">
        <v>146</v>
      </c>
      <c r="K142" t="s">
        <v>64</v>
      </c>
      <c r="L142">
        <v>4</v>
      </c>
      <c r="M142" s="12">
        <v>250</v>
      </c>
      <c r="N142" s="12">
        <v>155</v>
      </c>
      <c r="O142">
        <v>0</v>
      </c>
      <c r="P142" s="12">
        <v>1000</v>
      </c>
      <c r="Q142" s="12">
        <v>620</v>
      </c>
      <c r="R142" s="12">
        <v>380</v>
      </c>
      <c r="S142" t="s">
        <v>1246</v>
      </c>
      <c r="T142" t="s">
        <v>111</v>
      </c>
      <c r="U142" t="s">
        <v>1198</v>
      </c>
    </row>
    <row r="143" spans="1:21" x14ac:dyDescent="0.25">
      <c r="A143" t="s">
        <v>1512</v>
      </c>
      <c r="B143" s="8">
        <v>45744</v>
      </c>
      <c r="C143" t="s">
        <v>2441</v>
      </c>
      <c r="D143" t="s">
        <v>735</v>
      </c>
      <c r="E143" t="s">
        <v>198</v>
      </c>
      <c r="F143">
        <v>36</v>
      </c>
      <c r="G143" t="s">
        <v>14</v>
      </c>
      <c r="H143" t="s">
        <v>15</v>
      </c>
      <c r="I143" t="s">
        <v>61</v>
      </c>
      <c r="J143" t="s">
        <v>146</v>
      </c>
      <c r="K143" t="s">
        <v>64</v>
      </c>
      <c r="L143">
        <v>1</v>
      </c>
      <c r="M143" s="12">
        <v>250</v>
      </c>
      <c r="N143" s="12">
        <v>155</v>
      </c>
      <c r="O143">
        <v>1</v>
      </c>
      <c r="P143" s="12">
        <v>247.5</v>
      </c>
      <c r="Q143" s="12">
        <v>155</v>
      </c>
      <c r="R143" s="12">
        <v>92.5</v>
      </c>
      <c r="S143" t="s">
        <v>113</v>
      </c>
      <c r="T143" t="s">
        <v>107</v>
      </c>
      <c r="U143" t="s">
        <v>1201</v>
      </c>
    </row>
    <row r="144" spans="1:21" x14ac:dyDescent="0.25">
      <c r="A144" t="s">
        <v>1514</v>
      </c>
      <c r="B144" s="8">
        <v>45796</v>
      </c>
      <c r="C144" t="s">
        <v>2926</v>
      </c>
      <c r="D144" t="s">
        <v>929</v>
      </c>
      <c r="E144" t="s">
        <v>218</v>
      </c>
      <c r="F144">
        <v>44</v>
      </c>
      <c r="G144" t="s">
        <v>16</v>
      </c>
      <c r="H144" t="s">
        <v>15</v>
      </c>
      <c r="I144" t="s">
        <v>30</v>
      </c>
      <c r="J144" t="s">
        <v>41</v>
      </c>
      <c r="K144" t="s">
        <v>22</v>
      </c>
      <c r="L144">
        <v>1</v>
      </c>
      <c r="M144" s="12">
        <v>13749</v>
      </c>
      <c r="N144" s="12">
        <v>10999.2</v>
      </c>
      <c r="O144">
        <v>7</v>
      </c>
      <c r="P144" s="12">
        <v>12786.57</v>
      </c>
      <c r="Q144" s="12">
        <v>10999.2</v>
      </c>
      <c r="R144" s="12">
        <v>1787.369999999999</v>
      </c>
      <c r="S144" t="s">
        <v>1249</v>
      </c>
      <c r="T144" t="s">
        <v>108</v>
      </c>
      <c r="U144" t="s">
        <v>1203</v>
      </c>
    </row>
    <row r="145" spans="1:21" x14ac:dyDescent="0.25">
      <c r="A145" t="s">
        <v>1516</v>
      </c>
      <c r="B145" s="8">
        <v>45868</v>
      </c>
      <c r="C145" t="s">
        <v>2234</v>
      </c>
      <c r="D145" t="s">
        <v>570</v>
      </c>
      <c r="E145" t="s">
        <v>198</v>
      </c>
      <c r="F145">
        <v>29</v>
      </c>
      <c r="G145" t="s">
        <v>4</v>
      </c>
      <c r="H145" t="s">
        <v>3</v>
      </c>
      <c r="I145" t="s">
        <v>26</v>
      </c>
      <c r="J145" t="s">
        <v>27</v>
      </c>
      <c r="K145" t="s">
        <v>22</v>
      </c>
      <c r="L145">
        <v>5</v>
      </c>
      <c r="M145" s="12">
        <v>27499</v>
      </c>
      <c r="N145" s="12">
        <v>23374.149999999998</v>
      </c>
      <c r="O145">
        <v>8</v>
      </c>
      <c r="P145" s="12">
        <v>126495.40000000001</v>
      </c>
      <c r="Q145" s="12">
        <v>116870.74999999999</v>
      </c>
      <c r="R145" s="12">
        <v>9624.6500000000233</v>
      </c>
      <c r="S145" t="s">
        <v>113</v>
      </c>
      <c r="T145" t="s">
        <v>108</v>
      </c>
      <c r="U145" t="s">
        <v>1205</v>
      </c>
    </row>
    <row r="146" spans="1:21" x14ac:dyDescent="0.25">
      <c r="A146" t="s">
        <v>1518</v>
      </c>
      <c r="B146" s="8">
        <v>45995</v>
      </c>
      <c r="C146" t="s">
        <v>1454</v>
      </c>
      <c r="D146" t="s">
        <v>1043</v>
      </c>
      <c r="E146" t="s">
        <v>218</v>
      </c>
      <c r="F146">
        <v>57</v>
      </c>
      <c r="G146" t="s">
        <v>10</v>
      </c>
      <c r="H146" t="s">
        <v>8</v>
      </c>
      <c r="I146" t="s">
        <v>28</v>
      </c>
      <c r="J146" t="s">
        <v>35</v>
      </c>
      <c r="K146" t="s">
        <v>22</v>
      </c>
      <c r="L146">
        <v>1</v>
      </c>
      <c r="M146" s="12">
        <v>16499</v>
      </c>
      <c r="N146" s="12">
        <v>14519.12</v>
      </c>
      <c r="O146">
        <v>11</v>
      </c>
      <c r="P146" s="12">
        <v>14684.11</v>
      </c>
      <c r="Q146" s="12">
        <v>14519.12</v>
      </c>
      <c r="R146" s="12">
        <v>164.98999999999978</v>
      </c>
      <c r="S146" t="s">
        <v>1246</v>
      </c>
      <c r="T146" t="s">
        <v>107</v>
      </c>
      <c r="U146" t="s">
        <v>1209</v>
      </c>
    </row>
    <row r="147" spans="1:21" x14ac:dyDescent="0.25">
      <c r="A147" t="s">
        <v>1520</v>
      </c>
      <c r="B147" s="8">
        <v>46010</v>
      </c>
      <c r="C147" t="s">
        <v>1322</v>
      </c>
      <c r="D147" t="s">
        <v>737</v>
      </c>
      <c r="E147" t="s">
        <v>198</v>
      </c>
      <c r="F147">
        <v>56</v>
      </c>
      <c r="G147" t="s">
        <v>2</v>
      </c>
      <c r="H147" t="s">
        <v>3</v>
      </c>
      <c r="I147" t="s">
        <v>21</v>
      </c>
      <c r="J147" t="s">
        <v>23</v>
      </c>
      <c r="K147" t="s">
        <v>22</v>
      </c>
      <c r="L147">
        <v>2</v>
      </c>
      <c r="M147" s="12">
        <v>54999</v>
      </c>
      <c r="N147" s="12">
        <v>45099.18</v>
      </c>
      <c r="O147">
        <v>14</v>
      </c>
      <c r="P147" s="12">
        <v>94598.28</v>
      </c>
      <c r="Q147" s="12">
        <v>90198.36</v>
      </c>
      <c r="R147" s="12">
        <v>4399.9199999999983</v>
      </c>
      <c r="S147" t="s">
        <v>1246</v>
      </c>
      <c r="T147" t="s">
        <v>108</v>
      </c>
      <c r="U147" t="s">
        <v>1207</v>
      </c>
    </row>
    <row r="148" spans="1:21" x14ac:dyDescent="0.25">
      <c r="A148" t="s">
        <v>1521</v>
      </c>
      <c r="B148" s="8">
        <v>45971</v>
      </c>
      <c r="C148" t="s">
        <v>1253</v>
      </c>
      <c r="D148" t="s">
        <v>1055</v>
      </c>
      <c r="E148" t="s">
        <v>218</v>
      </c>
      <c r="F148">
        <v>63</v>
      </c>
      <c r="G148" t="s">
        <v>7</v>
      </c>
      <c r="H148" t="s">
        <v>8</v>
      </c>
      <c r="I148" t="s">
        <v>45</v>
      </c>
      <c r="J148" t="s">
        <v>46</v>
      </c>
      <c r="K148" t="s">
        <v>43</v>
      </c>
      <c r="L148">
        <v>5</v>
      </c>
      <c r="M148" s="12">
        <v>11999</v>
      </c>
      <c r="N148" s="12">
        <v>8999.25</v>
      </c>
      <c r="O148">
        <v>15</v>
      </c>
      <c r="P148" s="12">
        <v>50995.75</v>
      </c>
      <c r="Q148" s="12">
        <v>44996.25</v>
      </c>
      <c r="R148" s="12">
        <v>5999.5</v>
      </c>
      <c r="S148" t="s">
        <v>1246</v>
      </c>
      <c r="T148" t="s">
        <v>108</v>
      </c>
      <c r="U148" t="s">
        <v>1196</v>
      </c>
    </row>
    <row r="149" spans="1:21" x14ac:dyDescent="0.25">
      <c r="A149" t="s">
        <v>1523</v>
      </c>
      <c r="B149" s="8">
        <v>45731</v>
      </c>
      <c r="C149" t="s">
        <v>1541</v>
      </c>
      <c r="D149" t="s">
        <v>994</v>
      </c>
      <c r="E149" t="s">
        <v>218</v>
      </c>
      <c r="F149">
        <v>23</v>
      </c>
      <c r="G149" t="s">
        <v>7</v>
      </c>
      <c r="H149" t="s">
        <v>8</v>
      </c>
      <c r="I149" t="s">
        <v>55</v>
      </c>
      <c r="J149" t="s">
        <v>65</v>
      </c>
      <c r="K149" t="s">
        <v>64</v>
      </c>
      <c r="L149">
        <v>2</v>
      </c>
      <c r="M149" s="12">
        <v>80</v>
      </c>
      <c r="N149" s="12">
        <v>56</v>
      </c>
      <c r="O149">
        <v>4</v>
      </c>
      <c r="P149" s="12">
        <v>153.6</v>
      </c>
      <c r="Q149" s="12">
        <v>112</v>
      </c>
      <c r="R149" s="12">
        <v>41.599999999999994</v>
      </c>
      <c r="S149" t="s">
        <v>113</v>
      </c>
      <c r="T149" t="s">
        <v>107</v>
      </c>
      <c r="U149" t="s">
        <v>1198</v>
      </c>
    </row>
    <row r="150" spans="1:21" x14ac:dyDescent="0.25">
      <c r="A150" t="s">
        <v>1525</v>
      </c>
      <c r="B150" s="8">
        <v>45919</v>
      </c>
      <c r="C150" t="s">
        <v>1802</v>
      </c>
      <c r="D150" t="s">
        <v>932</v>
      </c>
      <c r="E150" t="s">
        <v>198</v>
      </c>
      <c r="F150">
        <v>42</v>
      </c>
      <c r="G150" t="s">
        <v>289</v>
      </c>
      <c r="H150" t="s">
        <v>3</v>
      </c>
      <c r="I150" t="s">
        <v>34</v>
      </c>
      <c r="J150" t="s">
        <v>137</v>
      </c>
      <c r="K150" t="s">
        <v>22</v>
      </c>
      <c r="L150">
        <v>4</v>
      </c>
      <c r="M150" s="12">
        <v>6900</v>
      </c>
      <c r="N150" s="12">
        <v>5727</v>
      </c>
      <c r="O150">
        <v>3</v>
      </c>
      <c r="P150" s="12">
        <v>26772</v>
      </c>
      <c r="Q150" s="12">
        <v>22908</v>
      </c>
      <c r="R150" s="12">
        <v>3864</v>
      </c>
      <c r="S150" t="s">
        <v>113</v>
      </c>
      <c r="T150" t="s">
        <v>107</v>
      </c>
      <c r="U150" t="s">
        <v>1209</v>
      </c>
    </row>
    <row r="151" spans="1:21" x14ac:dyDescent="0.25">
      <c r="A151" t="s">
        <v>1527</v>
      </c>
      <c r="B151" s="8">
        <v>45812</v>
      </c>
      <c r="C151" t="s">
        <v>1619</v>
      </c>
      <c r="D151" t="s">
        <v>403</v>
      </c>
      <c r="E151" t="s">
        <v>218</v>
      </c>
      <c r="F151">
        <v>41</v>
      </c>
      <c r="G151" t="s">
        <v>17</v>
      </c>
      <c r="H151" t="s">
        <v>15</v>
      </c>
      <c r="I151" t="s">
        <v>21</v>
      </c>
      <c r="J151" t="s">
        <v>23</v>
      </c>
      <c r="K151" t="s">
        <v>22</v>
      </c>
      <c r="L151">
        <v>4</v>
      </c>
      <c r="M151" s="12">
        <v>54999</v>
      </c>
      <c r="N151" s="12">
        <v>45099.18</v>
      </c>
      <c r="O151">
        <v>5</v>
      </c>
      <c r="P151" s="12">
        <v>208996.19999999998</v>
      </c>
      <c r="Q151" s="12">
        <v>180396.72</v>
      </c>
      <c r="R151" s="12">
        <v>28599.479999999981</v>
      </c>
      <c r="S151" t="s">
        <v>1246</v>
      </c>
      <c r="T151" t="s">
        <v>107</v>
      </c>
      <c r="U151" t="s">
        <v>1207</v>
      </c>
    </row>
    <row r="152" spans="1:21" x14ac:dyDescent="0.25">
      <c r="A152" t="s">
        <v>1529</v>
      </c>
      <c r="B152" s="8">
        <v>45906</v>
      </c>
      <c r="C152" t="s">
        <v>3095</v>
      </c>
      <c r="D152" t="s">
        <v>804</v>
      </c>
      <c r="E152" t="s">
        <v>198</v>
      </c>
      <c r="F152">
        <v>31</v>
      </c>
      <c r="G152" t="s">
        <v>2</v>
      </c>
      <c r="H152" t="s">
        <v>3</v>
      </c>
      <c r="I152" t="s">
        <v>24</v>
      </c>
      <c r="J152" t="s">
        <v>25</v>
      </c>
      <c r="K152" t="s">
        <v>22</v>
      </c>
      <c r="L152">
        <v>1</v>
      </c>
      <c r="M152" s="12">
        <v>35800</v>
      </c>
      <c r="N152" s="12">
        <v>28640</v>
      </c>
      <c r="O152">
        <v>8</v>
      </c>
      <c r="P152" s="12">
        <v>32936</v>
      </c>
      <c r="Q152" s="12">
        <v>28640</v>
      </c>
      <c r="R152" s="12">
        <v>4296</v>
      </c>
      <c r="S152" t="s">
        <v>1246</v>
      </c>
      <c r="T152" t="s">
        <v>108</v>
      </c>
      <c r="U152" t="s">
        <v>1207</v>
      </c>
    </row>
    <row r="153" spans="1:21" x14ac:dyDescent="0.25">
      <c r="A153" t="s">
        <v>1531</v>
      </c>
      <c r="B153" s="8">
        <v>45759</v>
      </c>
      <c r="C153" t="s">
        <v>3162</v>
      </c>
      <c r="D153" t="s">
        <v>1144</v>
      </c>
      <c r="E153" t="s">
        <v>198</v>
      </c>
      <c r="F153">
        <v>45</v>
      </c>
      <c r="G153" t="s">
        <v>290</v>
      </c>
      <c r="H153" t="s">
        <v>3</v>
      </c>
      <c r="I153" t="s">
        <v>59</v>
      </c>
      <c r="J153" t="s">
        <v>73</v>
      </c>
      <c r="K153" t="s">
        <v>64</v>
      </c>
      <c r="L153">
        <v>1</v>
      </c>
      <c r="M153" s="12">
        <v>120</v>
      </c>
      <c r="N153" s="12">
        <v>81.599999999999994</v>
      </c>
      <c r="O153">
        <v>0</v>
      </c>
      <c r="P153" s="12">
        <v>120</v>
      </c>
      <c r="Q153" s="12">
        <v>81.599999999999994</v>
      </c>
      <c r="R153" s="12">
        <v>38.400000000000006</v>
      </c>
      <c r="S153" t="s">
        <v>1246</v>
      </c>
      <c r="T153" t="s">
        <v>110</v>
      </c>
      <c r="U153" t="s">
        <v>1199</v>
      </c>
    </row>
    <row r="154" spans="1:21" x14ac:dyDescent="0.25">
      <c r="A154" t="s">
        <v>1533</v>
      </c>
      <c r="B154" s="8">
        <v>45951</v>
      </c>
      <c r="C154" t="s">
        <v>1396</v>
      </c>
      <c r="D154" t="s">
        <v>1153</v>
      </c>
      <c r="E154" t="s">
        <v>218</v>
      </c>
      <c r="F154">
        <v>49</v>
      </c>
      <c r="G154" t="s">
        <v>10</v>
      </c>
      <c r="H154" t="s">
        <v>8</v>
      </c>
      <c r="I154" t="s">
        <v>63</v>
      </c>
      <c r="J154" t="s">
        <v>77</v>
      </c>
      <c r="K154" t="s">
        <v>64</v>
      </c>
      <c r="L154">
        <v>3</v>
      </c>
      <c r="M154" s="12">
        <v>650</v>
      </c>
      <c r="N154" s="12">
        <v>468</v>
      </c>
      <c r="O154">
        <v>4</v>
      </c>
      <c r="P154" s="12">
        <v>1872</v>
      </c>
      <c r="Q154" s="12">
        <v>1404</v>
      </c>
      <c r="R154" s="12">
        <v>468</v>
      </c>
      <c r="S154" t="s">
        <v>113</v>
      </c>
      <c r="T154" t="s">
        <v>107</v>
      </c>
      <c r="U154" t="s">
        <v>1196</v>
      </c>
    </row>
    <row r="155" spans="1:21" x14ac:dyDescent="0.25">
      <c r="A155" t="s">
        <v>1535</v>
      </c>
      <c r="B155" s="8">
        <v>45964</v>
      </c>
      <c r="C155" t="s">
        <v>1714</v>
      </c>
      <c r="D155" t="s">
        <v>521</v>
      </c>
      <c r="E155" t="s">
        <v>218</v>
      </c>
      <c r="F155">
        <v>55</v>
      </c>
      <c r="G155" t="s">
        <v>5</v>
      </c>
      <c r="H155" t="s">
        <v>3</v>
      </c>
      <c r="I155" t="s">
        <v>38</v>
      </c>
      <c r="J155" t="s">
        <v>37</v>
      </c>
      <c r="K155" t="s">
        <v>22</v>
      </c>
      <c r="L155">
        <v>3</v>
      </c>
      <c r="M155" s="12">
        <v>1650</v>
      </c>
      <c r="N155" s="12">
        <v>990</v>
      </c>
      <c r="O155">
        <v>13</v>
      </c>
      <c r="P155" s="12">
        <v>4306.5</v>
      </c>
      <c r="Q155" s="12">
        <v>2970</v>
      </c>
      <c r="R155" s="12">
        <v>1336.5</v>
      </c>
      <c r="S155" t="s">
        <v>1246</v>
      </c>
      <c r="T155" t="s">
        <v>109</v>
      </c>
      <c r="U155" t="s">
        <v>1203</v>
      </c>
    </row>
    <row r="156" spans="1:21" x14ac:dyDescent="0.25">
      <c r="A156" t="s">
        <v>1537</v>
      </c>
      <c r="B156" s="8">
        <v>45805</v>
      </c>
      <c r="C156" t="s">
        <v>5086</v>
      </c>
      <c r="D156" t="s">
        <v>560</v>
      </c>
      <c r="E156" t="s">
        <v>198</v>
      </c>
      <c r="F156">
        <v>21</v>
      </c>
      <c r="G156" t="s">
        <v>290</v>
      </c>
      <c r="H156" t="s">
        <v>3</v>
      </c>
      <c r="I156" t="s">
        <v>26</v>
      </c>
      <c r="J156" t="s">
        <v>27</v>
      </c>
      <c r="K156" t="s">
        <v>22</v>
      </c>
      <c r="L156">
        <v>2</v>
      </c>
      <c r="M156" s="12">
        <v>27499</v>
      </c>
      <c r="N156" s="12">
        <v>23374.149999999998</v>
      </c>
      <c r="O156">
        <v>10</v>
      </c>
      <c r="P156" s="12">
        <v>49498.200000000004</v>
      </c>
      <c r="Q156" s="12">
        <v>46748.299999999996</v>
      </c>
      <c r="R156" s="12">
        <v>2749.9000000000087</v>
      </c>
      <c r="S156" t="s">
        <v>1246</v>
      </c>
      <c r="T156" t="s">
        <v>110</v>
      </c>
      <c r="U156" t="s">
        <v>1198</v>
      </c>
    </row>
    <row r="157" spans="1:21" x14ac:dyDescent="0.25">
      <c r="A157" t="s">
        <v>1538</v>
      </c>
      <c r="B157" s="8">
        <v>45691</v>
      </c>
      <c r="C157" t="s">
        <v>1353</v>
      </c>
      <c r="D157" t="s">
        <v>854</v>
      </c>
      <c r="E157" t="s">
        <v>218</v>
      </c>
      <c r="F157">
        <v>28</v>
      </c>
      <c r="G157" t="s">
        <v>2</v>
      </c>
      <c r="H157" t="s">
        <v>3</v>
      </c>
      <c r="I157" t="s">
        <v>53</v>
      </c>
      <c r="J157" t="s">
        <v>48</v>
      </c>
      <c r="K157" t="s">
        <v>43</v>
      </c>
      <c r="L157">
        <v>2</v>
      </c>
      <c r="M157" s="12">
        <v>6499</v>
      </c>
      <c r="N157" s="12">
        <v>4549.2999999999993</v>
      </c>
      <c r="O157">
        <v>5</v>
      </c>
      <c r="P157" s="12">
        <v>12348.099999999999</v>
      </c>
      <c r="Q157" s="12">
        <v>9098.5999999999985</v>
      </c>
      <c r="R157" s="12">
        <v>3249.5</v>
      </c>
      <c r="S157" t="s">
        <v>1246</v>
      </c>
      <c r="T157" t="s">
        <v>107</v>
      </c>
      <c r="U157" t="s">
        <v>1207</v>
      </c>
    </row>
    <row r="158" spans="1:21" x14ac:dyDescent="0.25">
      <c r="A158" t="s">
        <v>1540</v>
      </c>
      <c r="B158" s="8">
        <v>45697</v>
      </c>
      <c r="C158" t="s">
        <v>1745</v>
      </c>
      <c r="D158" t="s">
        <v>1046</v>
      </c>
      <c r="E158" t="s">
        <v>198</v>
      </c>
      <c r="F158">
        <v>53</v>
      </c>
      <c r="G158" t="s">
        <v>9</v>
      </c>
      <c r="H158" t="s">
        <v>8</v>
      </c>
      <c r="I158" t="s">
        <v>36</v>
      </c>
      <c r="J158" t="s">
        <v>136</v>
      </c>
      <c r="K158" t="s">
        <v>22</v>
      </c>
      <c r="L158">
        <v>4</v>
      </c>
      <c r="M158" s="12">
        <v>3590</v>
      </c>
      <c r="N158" s="12">
        <v>2333.5</v>
      </c>
      <c r="O158">
        <v>8</v>
      </c>
      <c r="P158" s="12">
        <v>13211.2</v>
      </c>
      <c r="Q158" s="12">
        <v>9334</v>
      </c>
      <c r="R158" s="12">
        <v>3877.2000000000007</v>
      </c>
      <c r="S158" t="s">
        <v>113</v>
      </c>
      <c r="T158" t="s">
        <v>109</v>
      </c>
      <c r="U158" t="s">
        <v>1211</v>
      </c>
    </row>
    <row r="159" spans="1:21" x14ac:dyDescent="0.25">
      <c r="A159" t="s">
        <v>1542</v>
      </c>
      <c r="B159" s="8">
        <v>46003</v>
      </c>
      <c r="C159" t="s">
        <v>5087</v>
      </c>
      <c r="D159" t="s">
        <v>913</v>
      </c>
      <c r="E159" t="s">
        <v>218</v>
      </c>
      <c r="F159">
        <v>46</v>
      </c>
      <c r="G159" t="s">
        <v>4</v>
      </c>
      <c r="H159" t="s">
        <v>3</v>
      </c>
      <c r="I159" t="s">
        <v>55</v>
      </c>
      <c r="J159" t="s">
        <v>65</v>
      </c>
      <c r="K159" t="s">
        <v>64</v>
      </c>
      <c r="L159">
        <v>1</v>
      </c>
      <c r="M159" s="12">
        <v>80</v>
      </c>
      <c r="N159" s="12">
        <v>56</v>
      </c>
      <c r="O159">
        <v>3</v>
      </c>
      <c r="P159" s="12">
        <v>77.599999999999994</v>
      </c>
      <c r="Q159" s="12">
        <v>56</v>
      </c>
      <c r="R159" s="12">
        <v>21.599999999999994</v>
      </c>
      <c r="S159" t="s">
        <v>1246</v>
      </c>
      <c r="T159" t="s">
        <v>109</v>
      </c>
      <c r="U159" t="s">
        <v>1194</v>
      </c>
    </row>
    <row r="160" spans="1:21" x14ac:dyDescent="0.25">
      <c r="A160" t="s">
        <v>1543</v>
      </c>
      <c r="B160" s="8">
        <v>45807</v>
      </c>
      <c r="C160" t="s">
        <v>2324</v>
      </c>
      <c r="D160" t="s">
        <v>1130</v>
      </c>
      <c r="E160" t="s">
        <v>198</v>
      </c>
      <c r="F160">
        <v>34</v>
      </c>
      <c r="G160" t="s">
        <v>17</v>
      </c>
      <c r="H160" t="s">
        <v>15</v>
      </c>
      <c r="I160" t="s">
        <v>59</v>
      </c>
      <c r="J160" t="s">
        <v>73</v>
      </c>
      <c r="K160" t="s">
        <v>64</v>
      </c>
      <c r="L160">
        <v>5</v>
      </c>
      <c r="M160" s="12">
        <v>120</v>
      </c>
      <c r="N160" s="12">
        <v>81.599999999999994</v>
      </c>
      <c r="O160">
        <v>13</v>
      </c>
      <c r="P160" s="12">
        <v>522</v>
      </c>
      <c r="Q160" s="12">
        <v>408</v>
      </c>
      <c r="R160" s="12">
        <v>114</v>
      </c>
      <c r="S160" t="s">
        <v>1246</v>
      </c>
      <c r="T160" t="s">
        <v>109</v>
      </c>
      <c r="U160" t="s">
        <v>1205</v>
      </c>
    </row>
    <row r="161" spans="1:21" x14ac:dyDescent="0.25">
      <c r="A161" t="s">
        <v>1545</v>
      </c>
      <c r="B161" s="8">
        <v>45872</v>
      </c>
      <c r="C161" t="s">
        <v>1625</v>
      </c>
      <c r="D161" t="s">
        <v>615</v>
      </c>
      <c r="E161" t="s">
        <v>198</v>
      </c>
      <c r="F161">
        <v>44</v>
      </c>
      <c r="G161" t="s">
        <v>290</v>
      </c>
      <c r="H161" t="s">
        <v>3</v>
      </c>
      <c r="I161" t="s">
        <v>26</v>
      </c>
      <c r="J161" t="s">
        <v>27</v>
      </c>
      <c r="K161" t="s">
        <v>22</v>
      </c>
      <c r="L161">
        <v>3</v>
      </c>
      <c r="M161" s="12">
        <v>27499</v>
      </c>
      <c r="N161" s="12">
        <v>23374.149999999998</v>
      </c>
      <c r="O161">
        <v>7</v>
      </c>
      <c r="P161" s="12">
        <v>76722.209999999992</v>
      </c>
      <c r="Q161" s="12">
        <v>70122.45</v>
      </c>
      <c r="R161" s="12">
        <v>6599.7599999999948</v>
      </c>
      <c r="S161" t="s">
        <v>1249</v>
      </c>
      <c r="T161" t="s">
        <v>107</v>
      </c>
      <c r="U161" t="s">
        <v>1203</v>
      </c>
    </row>
    <row r="162" spans="1:21" x14ac:dyDescent="0.25">
      <c r="A162" t="s">
        <v>1547</v>
      </c>
      <c r="B162" s="8">
        <v>45955</v>
      </c>
      <c r="C162" t="s">
        <v>1819</v>
      </c>
      <c r="D162" t="s">
        <v>1180</v>
      </c>
      <c r="E162" t="s">
        <v>198</v>
      </c>
      <c r="F162">
        <v>53</v>
      </c>
      <c r="G162" t="s">
        <v>16</v>
      </c>
      <c r="H162" t="s">
        <v>15</v>
      </c>
      <c r="I162" t="s">
        <v>21</v>
      </c>
      <c r="J162" t="s">
        <v>23</v>
      </c>
      <c r="K162" t="s">
        <v>22</v>
      </c>
      <c r="L162">
        <v>4</v>
      </c>
      <c r="M162" s="12">
        <v>54999</v>
      </c>
      <c r="N162" s="12">
        <v>45099.18</v>
      </c>
      <c r="O162">
        <v>7</v>
      </c>
      <c r="P162" s="12">
        <v>204596.28</v>
      </c>
      <c r="Q162" s="12">
        <v>180396.72</v>
      </c>
      <c r="R162" s="12">
        <v>24199.559999999998</v>
      </c>
      <c r="S162" t="s">
        <v>113</v>
      </c>
      <c r="T162" t="s">
        <v>107</v>
      </c>
      <c r="U162" t="s">
        <v>1209</v>
      </c>
    </row>
    <row r="163" spans="1:21" x14ac:dyDescent="0.25">
      <c r="A163" t="s">
        <v>1549</v>
      </c>
      <c r="B163" s="8">
        <v>45664</v>
      </c>
      <c r="C163" t="s">
        <v>2997</v>
      </c>
      <c r="D163" t="s">
        <v>510</v>
      </c>
      <c r="E163" t="s">
        <v>198</v>
      </c>
      <c r="F163">
        <v>35</v>
      </c>
      <c r="G163" t="s">
        <v>7</v>
      </c>
      <c r="H163" t="s">
        <v>8</v>
      </c>
      <c r="I163" t="s">
        <v>42</v>
      </c>
      <c r="J163" t="s">
        <v>44</v>
      </c>
      <c r="K163" t="s">
        <v>43</v>
      </c>
      <c r="L163">
        <v>4</v>
      </c>
      <c r="M163" s="12">
        <v>8999</v>
      </c>
      <c r="N163" s="12">
        <v>6479.28</v>
      </c>
      <c r="O163">
        <v>4</v>
      </c>
      <c r="P163" s="12">
        <v>34556.159999999996</v>
      </c>
      <c r="Q163" s="12">
        <v>25917.119999999999</v>
      </c>
      <c r="R163" s="12">
        <v>8639.0399999999972</v>
      </c>
      <c r="S163" t="s">
        <v>113</v>
      </c>
      <c r="T163" t="s">
        <v>107</v>
      </c>
      <c r="U163" t="s">
        <v>1199</v>
      </c>
    </row>
    <row r="164" spans="1:21" x14ac:dyDescent="0.25">
      <c r="A164" t="s">
        <v>1550</v>
      </c>
      <c r="B164" s="8">
        <v>45704</v>
      </c>
      <c r="C164" t="s">
        <v>2718</v>
      </c>
      <c r="D164" t="s">
        <v>812</v>
      </c>
      <c r="E164" t="s">
        <v>198</v>
      </c>
      <c r="F164">
        <v>39</v>
      </c>
      <c r="G164" t="s">
        <v>14</v>
      </c>
      <c r="H164" t="s">
        <v>15</v>
      </c>
      <c r="I164" t="s">
        <v>45</v>
      </c>
      <c r="J164" t="s">
        <v>46</v>
      </c>
      <c r="K164" t="s">
        <v>43</v>
      </c>
      <c r="L164">
        <v>2</v>
      </c>
      <c r="M164" s="12">
        <v>11999</v>
      </c>
      <c r="N164" s="12">
        <v>8999.25</v>
      </c>
      <c r="O164">
        <v>7</v>
      </c>
      <c r="P164" s="12">
        <v>22318.14</v>
      </c>
      <c r="Q164" s="12">
        <v>17998.5</v>
      </c>
      <c r="R164" s="12">
        <v>4319.6399999999994</v>
      </c>
      <c r="S164" t="s">
        <v>1246</v>
      </c>
      <c r="T164" t="s">
        <v>107</v>
      </c>
      <c r="U164" t="s">
        <v>1211</v>
      </c>
    </row>
    <row r="165" spans="1:21" x14ac:dyDescent="0.25">
      <c r="A165" t="s">
        <v>1552</v>
      </c>
      <c r="B165" s="8">
        <v>45945</v>
      </c>
      <c r="C165" t="s">
        <v>2551</v>
      </c>
      <c r="D165" t="s">
        <v>541</v>
      </c>
      <c r="E165" t="s">
        <v>198</v>
      </c>
      <c r="F165">
        <v>22</v>
      </c>
      <c r="G165" t="s">
        <v>14</v>
      </c>
      <c r="H165" t="s">
        <v>15</v>
      </c>
      <c r="I165" t="s">
        <v>45</v>
      </c>
      <c r="J165" t="s">
        <v>46</v>
      </c>
      <c r="K165" t="s">
        <v>43</v>
      </c>
      <c r="L165">
        <v>4</v>
      </c>
      <c r="M165" s="12">
        <v>11999</v>
      </c>
      <c r="N165" s="12">
        <v>8999.25</v>
      </c>
      <c r="O165">
        <v>5</v>
      </c>
      <c r="P165" s="12">
        <v>45596.2</v>
      </c>
      <c r="Q165" s="12">
        <v>35997</v>
      </c>
      <c r="R165" s="12">
        <v>9599.1999999999971</v>
      </c>
      <c r="S165" t="s">
        <v>1246</v>
      </c>
      <c r="T165" t="s">
        <v>108</v>
      </c>
      <c r="U165" t="s">
        <v>1205</v>
      </c>
    </row>
    <row r="166" spans="1:21" x14ac:dyDescent="0.25">
      <c r="A166" t="s">
        <v>1554</v>
      </c>
      <c r="B166" s="8">
        <v>45860</v>
      </c>
      <c r="C166" t="s">
        <v>1755</v>
      </c>
      <c r="D166" t="s">
        <v>908</v>
      </c>
      <c r="E166" t="s">
        <v>218</v>
      </c>
      <c r="F166">
        <v>33</v>
      </c>
      <c r="G166" t="s">
        <v>14</v>
      </c>
      <c r="H166" t="s">
        <v>15</v>
      </c>
      <c r="I166" t="s">
        <v>40</v>
      </c>
      <c r="J166" t="s">
        <v>39</v>
      </c>
      <c r="K166" t="s">
        <v>22</v>
      </c>
      <c r="L166">
        <v>2</v>
      </c>
      <c r="M166" s="12">
        <v>1100</v>
      </c>
      <c r="N166" s="12">
        <v>715</v>
      </c>
      <c r="O166">
        <v>3</v>
      </c>
      <c r="P166" s="12">
        <v>2134</v>
      </c>
      <c r="Q166" s="12">
        <v>1430</v>
      </c>
      <c r="R166" s="12">
        <v>704</v>
      </c>
      <c r="S166" t="s">
        <v>1246</v>
      </c>
      <c r="T166" t="s">
        <v>107</v>
      </c>
      <c r="U166" t="s">
        <v>1203</v>
      </c>
    </row>
    <row r="167" spans="1:21" x14ac:dyDescent="0.25">
      <c r="A167" t="s">
        <v>1556</v>
      </c>
      <c r="B167" s="8">
        <v>45679</v>
      </c>
      <c r="C167" t="s">
        <v>1640</v>
      </c>
      <c r="D167" t="s">
        <v>1107</v>
      </c>
      <c r="E167" t="s">
        <v>218</v>
      </c>
      <c r="F167">
        <v>31</v>
      </c>
      <c r="G167" t="s">
        <v>16</v>
      </c>
      <c r="H167" t="s">
        <v>15</v>
      </c>
      <c r="I167" t="s">
        <v>40</v>
      </c>
      <c r="J167" t="s">
        <v>39</v>
      </c>
      <c r="K167" t="s">
        <v>22</v>
      </c>
      <c r="L167">
        <v>4</v>
      </c>
      <c r="M167" s="12">
        <v>1100</v>
      </c>
      <c r="N167" s="12">
        <v>715</v>
      </c>
      <c r="O167">
        <v>8</v>
      </c>
      <c r="P167" s="12">
        <v>4048</v>
      </c>
      <c r="Q167" s="12">
        <v>2860</v>
      </c>
      <c r="R167" s="12">
        <v>1188</v>
      </c>
      <c r="S167" t="s">
        <v>1246</v>
      </c>
      <c r="T167" t="s">
        <v>109</v>
      </c>
      <c r="U167" t="s">
        <v>1205</v>
      </c>
    </row>
    <row r="168" spans="1:21" x14ac:dyDescent="0.25">
      <c r="A168" t="s">
        <v>1558</v>
      </c>
      <c r="B168" s="8">
        <v>45960</v>
      </c>
      <c r="C168" t="s">
        <v>1694</v>
      </c>
      <c r="D168" t="s">
        <v>1069</v>
      </c>
      <c r="E168" t="s">
        <v>218</v>
      </c>
      <c r="F168">
        <v>40</v>
      </c>
      <c r="G168" t="s">
        <v>5</v>
      </c>
      <c r="H168" t="s">
        <v>3</v>
      </c>
      <c r="I168" t="s">
        <v>34</v>
      </c>
      <c r="J168" t="s">
        <v>137</v>
      </c>
      <c r="K168" t="s">
        <v>22</v>
      </c>
      <c r="L168">
        <v>2</v>
      </c>
      <c r="M168" s="12">
        <v>6900</v>
      </c>
      <c r="N168" s="12">
        <v>5727</v>
      </c>
      <c r="O168">
        <v>5</v>
      </c>
      <c r="P168" s="12">
        <v>13110</v>
      </c>
      <c r="Q168" s="12">
        <v>11454</v>
      </c>
      <c r="R168" s="12">
        <v>1656</v>
      </c>
      <c r="S168" t="s">
        <v>1249</v>
      </c>
      <c r="T168" t="s">
        <v>107</v>
      </c>
      <c r="U168" t="s">
        <v>1207</v>
      </c>
    </row>
    <row r="169" spans="1:21" x14ac:dyDescent="0.25">
      <c r="A169" t="s">
        <v>1560</v>
      </c>
      <c r="B169" s="8">
        <v>45903</v>
      </c>
      <c r="C169" t="s">
        <v>1667</v>
      </c>
      <c r="D169" t="s">
        <v>898</v>
      </c>
      <c r="E169" t="s">
        <v>218</v>
      </c>
      <c r="F169">
        <v>65</v>
      </c>
      <c r="G169" t="s">
        <v>11</v>
      </c>
      <c r="H169" t="s">
        <v>12</v>
      </c>
      <c r="I169" t="s">
        <v>21</v>
      </c>
      <c r="J169" t="s">
        <v>23</v>
      </c>
      <c r="K169" t="s">
        <v>22</v>
      </c>
      <c r="L169">
        <v>4</v>
      </c>
      <c r="M169" s="12">
        <v>54999</v>
      </c>
      <c r="N169" s="12">
        <v>45099.18</v>
      </c>
      <c r="O169">
        <v>4</v>
      </c>
      <c r="P169" s="12">
        <v>211196.16</v>
      </c>
      <c r="Q169" s="12">
        <v>180396.72</v>
      </c>
      <c r="R169" s="12">
        <v>30799.440000000002</v>
      </c>
      <c r="S169" t="s">
        <v>113</v>
      </c>
      <c r="T169" t="s">
        <v>108</v>
      </c>
      <c r="U169" t="s">
        <v>1199</v>
      </c>
    </row>
    <row r="170" spans="1:21" x14ac:dyDescent="0.25">
      <c r="A170" t="s">
        <v>1562</v>
      </c>
      <c r="B170" s="8">
        <v>45973</v>
      </c>
      <c r="C170" t="s">
        <v>1596</v>
      </c>
      <c r="D170" t="s">
        <v>1120</v>
      </c>
      <c r="E170" t="s">
        <v>218</v>
      </c>
      <c r="F170">
        <v>50</v>
      </c>
      <c r="G170" t="s">
        <v>5</v>
      </c>
      <c r="H170" t="s">
        <v>3</v>
      </c>
      <c r="I170" t="s">
        <v>34</v>
      </c>
      <c r="J170" t="s">
        <v>137</v>
      </c>
      <c r="K170" t="s">
        <v>22</v>
      </c>
      <c r="L170">
        <v>3</v>
      </c>
      <c r="M170" s="12">
        <v>6900</v>
      </c>
      <c r="N170" s="12">
        <v>5727</v>
      </c>
      <c r="O170">
        <v>16</v>
      </c>
      <c r="P170" s="12">
        <v>17388</v>
      </c>
      <c r="Q170" s="12">
        <v>17181</v>
      </c>
      <c r="R170" s="12">
        <v>207</v>
      </c>
      <c r="S170" t="s">
        <v>1249</v>
      </c>
      <c r="T170" t="s">
        <v>107</v>
      </c>
      <c r="U170" t="s">
        <v>1194</v>
      </c>
    </row>
    <row r="171" spans="1:21" x14ac:dyDescent="0.25">
      <c r="A171" t="s">
        <v>1564</v>
      </c>
      <c r="B171" s="8">
        <v>45767</v>
      </c>
      <c r="C171" t="s">
        <v>1444</v>
      </c>
      <c r="D171" t="s">
        <v>1058</v>
      </c>
      <c r="E171" t="s">
        <v>218</v>
      </c>
      <c r="F171">
        <v>56</v>
      </c>
      <c r="G171" t="s">
        <v>16</v>
      </c>
      <c r="H171" t="s">
        <v>15</v>
      </c>
      <c r="I171" t="s">
        <v>34</v>
      </c>
      <c r="J171" t="s">
        <v>137</v>
      </c>
      <c r="K171" t="s">
        <v>22</v>
      </c>
      <c r="L171">
        <v>5</v>
      </c>
      <c r="M171" s="12">
        <v>6900</v>
      </c>
      <c r="N171" s="12">
        <v>5727</v>
      </c>
      <c r="O171">
        <v>3</v>
      </c>
      <c r="P171" s="12">
        <v>33465</v>
      </c>
      <c r="Q171" s="12">
        <v>28635</v>
      </c>
      <c r="R171" s="12">
        <v>4830</v>
      </c>
      <c r="S171" t="s">
        <v>113</v>
      </c>
      <c r="T171" t="s">
        <v>108</v>
      </c>
      <c r="U171" t="s">
        <v>1198</v>
      </c>
    </row>
    <row r="172" spans="1:21" x14ac:dyDescent="0.25">
      <c r="A172" t="s">
        <v>1566</v>
      </c>
      <c r="B172" s="8">
        <v>45917</v>
      </c>
      <c r="C172" t="s">
        <v>3385</v>
      </c>
      <c r="D172" t="s">
        <v>1088</v>
      </c>
      <c r="E172" t="s">
        <v>218</v>
      </c>
      <c r="F172">
        <v>30</v>
      </c>
      <c r="G172" t="s">
        <v>11</v>
      </c>
      <c r="H172" t="s">
        <v>12</v>
      </c>
      <c r="I172" t="s">
        <v>59</v>
      </c>
      <c r="J172" t="s">
        <v>73</v>
      </c>
      <c r="K172" t="s">
        <v>64</v>
      </c>
      <c r="L172">
        <v>4</v>
      </c>
      <c r="M172" s="12">
        <v>120</v>
      </c>
      <c r="N172" s="12">
        <v>81.599999999999994</v>
      </c>
      <c r="O172">
        <v>2</v>
      </c>
      <c r="P172" s="12">
        <v>470.4</v>
      </c>
      <c r="Q172" s="12">
        <v>326.39999999999998</v>
      </c>
      <c r="R172" s="12">
        <v>144</v>
      </c>
      <c r="S172" t="s">
        <v>1249</v>
      </c>
      <c r="T172" t="s">
        <v>108</v>
      </c>
      <c r="U172" t="s">
        <v>1209</v>
      </c>
    </row>
    <row r="173" spans="1:21" x14ac:dyDescent="0.25">
      <c r="A173" t="s">
        <v>1568</v>
      </c>
      <c r="B173" s="8">
        <v>45801</v>
      </c>
      <c r="C173" t="s">
        <v>2692</v>
      </c>
      <c r="D173" t="s">
        <v>488</v>
      </c>
      <c r="E173" t="s">
        <v>198</v>
      </c>
      <c r="F173">
        <v>18</v>
      </c>
      <c r="G173" t="s">
        <v>7</v>
      </c>
      <c r="H173" t="s">
        <v>8</v>
      </c>
      <c r="I173" t="s">
        <v>61</v>
      </c>
      <c r="J173" t="s">
        <v>146</v>
      </c>
      <c r="K173" t="s">
        <v>64</v>
      </c>
      <c r="L173">
        <v>1</v>
      </c>
      <c r="M173" s="12">
        <v>250</v>
      </c>
      <c r="N173" s="12">
        <v>155</v>
      </c>
      <c r="O173">
        <v>15</v>
      </c>
      <c r="P173" s="12">
        <v>212.5</v>
      </c>
      <c r="Q173" s="12">
        <v>155</v>
      </c>
      <c r="R173" s="12">
        <v>57.5</v>
      </c>
      <c r="S173" t="s">
        <v>1246</v>
      </c>
      <c r="T173" t="s">
        <v>107</v>
      </c>
      <c r="U173" t="s">
        <v>1198</v>
      </c>
    </row>
    <row r="174" spans="1:21" x14ac:dyDescent="0.25">
      <c r="A174" t="s">
        <v>1570</v>
      </c>
      <c r="B174" s="8">
        <v>45831</v>
      </c>
      <c r="C174" t="s">
        <v>2873</v>
      </c>
      <c r="D174" t="s">
        <v>687</v>
      </c>
      <c r="E174" t="s">
        <v>218</v>
      </c>
      <c r="F174">
        <v>45</v>
      </c>
      <c r="G174" t="s">
        <v>290</v>
      </c>
      <c r="H174" t="s">
        <v>3</v>
      </c>
      <c r="I174" t="s">
        <v>61</v>
      </c>
      <c r="J174" t="s">
        <v>146</v>
      </c>
      <c r="K174" t="s">
        <v>64</v>
      </c>
      <c r="L174">
        <v>5</v>
      </c>
      <c r="M174" s="12">
        <v>250</v>
      </c>
      <c r="N174" s="12">
        <v>155</v>
      </c>
      <c r="O174">
        <v>14</v>
      </c>
      <c r="P174" s="12">
        <v>1075</v>
      </c>
      <c r="Q174" s="12">
        <v>775</v>
      </c>
      <c r="R174" s="12">
        <v>300</v>
      </c>
      <c r="S174" t="s">
        <v>1249</v>
      </c>
      <c r="T174" t="s">
        <v>110</v>
      </c>
      <c r="U174" t="s">
        <v>1205</v>
      </c>
    </row>
    <row r="175" spans="1:21" x14ac:dyDescent="0.25">
      <c r="A175" t="s">
        <v>1571</v>
      </c>
      <c r="B175" s="8">
        <v>45991</v>
      </c>
      <c r="C175" t="s">
        <v>1259</v>
      </c>
      <c r="D175" t="s">
        <v>1156</v>
      </c>
      <c r="E175" t="s">
        <v>198</v>
      </c>
      <c r="F175">
        <v>50</v>
      </c>
      <c r="G175" t="s">
        <v>14</v>
      </c>
      <c r="H175" t="s">
        <v>15</v>
      </c>
      <c r="I175" t="s">
        <v>36</v>
      </c>
      <c r="J175" t="s">
        <v>136</v>
      </c>
      <c r="K175" t="s">
        <v>22</v>
      </c>
      <c r="L175">
        <v>4</v>
      </c>
      <c r="M175" s="12">
        <v>3590</v>
      </c>
      <c r="N175" s="12">
        <v>2333.5</v>
      </c>
      <c r="O175">
        <v>16</v>
      </c>
      <c r="P175" s="12">
        <v>12062.4</v>
      </c>
      <c r="Q175" s="12">
        <v>9334</v>
      </c>
      <c r="R175" s="12">
        <v>2728.3999999999996</v>
      </c>
      <c r="S175" t="s">
        <v>113</v>
      </c>
      <c r="T175" t="s">
        <v>109</v>
      </c>
      <c r="U175" t="s">
        <v>1207</v>
      </c>
    </row>
    <row r="176" spans="1:21" x14ac:dyDescent="0.25">
      <c r="A176" t="s">
        <v>1573</v>
      </c>
      <c r="B176" s="8">
        <v>45932</v>
      </c>
      <c r="C176" t="s">
        <v>1351</v>
      </c>
      <c r="D176" t="s">
        <v>726</v>
      </c>
      <c r="E176" t="s">
        <v>198</v>
      </c>
      <c r="F176">
        <v>54</v>
      </c>
      <c r="G176" t="s">
        <v>2</v>
      </c>
      <c r="H176" t="s">
        <v>3</v>
      </c>
      <c r="I176" t="s">
        <v>51</v>
      </c>
      <c r="J176" t="s">
        <v>54</v>
      </c>
      <c r="K176" t="s">
        <v>43</v>
      </c>
      <c r="L176">
        <v>1</v>
      </c>
      <c r="M176" s="12">
        <v>27499</v>
      </c>
      <c r="N176" s="12">
        <v>21724.210000000003</v>
      </c>
      <c r="O176">
        <v>5</v>
      </c>
      <c r="P176" s="12">
        <v>26124.05</v>
      </c>
      <c r="Q176" s="12">
        <v>21724.210000000003</v>
      </c>
      <c r="R176" s="12">
        <v>4399.8399999999965</v>
      </c>
      <c r="S176" t="s">
        <v>1249</v>
      </c>
      <c r="T176" t="s">
        <v>110</v>
      </c>
      <c r="U176" t="s">
        <v>1203</v>
      </c>
    </row>
    <row r="177" spans="1:21" x14ac:dyDescent="0.25">
      <c r="A177" t="s">
        <v>1575</v>
      </c>
      <c r="B177" s="8">
        <v>45826</v>
      </c>
      <c r="C177" t="s">
        <v>2507</v>
      </c>
      <c r="D177" t="s">
        <v>720</v>
      </c>
      <c r="E177" t="s">
        <v>198</v>
      </c>
      <c r="F177">
        <v>39</v>
      </c>
      <c r="G177" t="s">
        <v>17</v>
      </c>
      <c r="H177" t="s">
        <v>15</v>
      </c>
      <c r="I177" t="s">
        <v>36</v>
      </c>
      <c r="J177" t="s">
        <v>136</v>
      </c>
      <c r="K177" t="s">
        <v>22</v>
      </c>
      <c r="L177">
        <v>2</v>
      </c>
      <c r="M177" s="12">
        <v>3590</v>
      </c>
      <c r="N177" s="12">
        <v>2333.5</v>
      </c>
      <c r="O177">
        <v>7</v>
      </c>
      <c r="P177" s="12">
        <v>6677.4</v>
      </c>
      <c r="Q177" s="12">
        <v>4667</v>
      </c>
      <c r="R177" s="12">
        <v>2010.3999999999996</v>
      </c>
      <c r="S177" t="s">
        <v>1246</v>
      </c>
      <c r="T177" t="s">
        <v>108</v>
      </c>
      <c r="U177" t="s">
        <v>1207</v>
      </c>
    </row>
    <row r="178" spans="1:21" x14ac:dyDescent="0.25">
      <c r="A178" t="s">
        <v>1576</v>
      </c>
      <c r="B178" s="8">
        <v>45887</v>
      </c>
      <c r="C178" t="s">
        <v>2422</v>
      </c>
      <c r="D178" t="s">
        <v>859</v>
      </c>
      <c r="E178" t="s">
        <v>218</v>
      </c>
      <c r="F178">
        <v>61</v>
      </c>
      <c r="G178" t="s">
        <v>11</v>
      </c>
      <c r="H178" t="s">
        <v>12</v>
      </c>
      <c r="I178" t="s">
        <v>59</v>
      </c>
      <c r="J178" t="s">
        <v>73</v>
      </c>
      <c r="K178" t="s">
        <v>64</v>
      </c>
      <c r="L178">
        <v>3</v>
      </c>
      <c r="M178" s="12">
        <v>120</v>
      </c>
      <c r="N178" s="12">
        <v>81.599999999999994</v>
      </c>
      <c r="O178">
        <v>4</v>
      </c>
      <c r="P178" s="12">
        <v>345.59999999999997</v>
      </c>
      <c r="Q178" s="12">
        <v>244.79999999999998</v>
      </c>
      <c r="R178" s="12">
        <v>100.79999999999998</v>
      </c>
      <c r="S178" t="s">
        <v>113</v>
      </c>
      <c r="T178" t="s">
        <v>107</v>
      </c>
      <c r="U178" t="s">
        <v>1194</v>
      </c>
    </row>
    <row r="179" spans="1:21" x14ac:dyDescent="0.25">
      <c r="A179" t="s">
        <v>1578</v>
      </c>
      <c r="B179" s="8">
        <v>45798</v>
      </c>
      <c r="C179" t="s">
        <v>4788</v>
      </c>
      <c r="D179" t="s">
        <v>671</v>
      </c>
      <c r="E179" t="s">
        <v>218</v>
      </c>
      <c r="F179">
        <v>65</v>
      </c>
      <c r="G179" t="s">
        <v>290</v>
      </c>
      <c r="H179" t="s">
        <v>3</v>
      </c>
      <c r="I179" t="s">
        <v>32</v>
      </c>
      <c r="J179" t="s">
        <v>29</v>
      </c>
      <c r="K179" t="s">
        <v>22</v>
      </c>
      <c r="L179">
        <v>4</v>
      </c>
      <c r="M179" s="12">
        <v>9500</v>
      </c>
      <c r="N179" s="12">
        <v>6650</v>
      </c>
      <c r="O179">
        <v>10</v>
      </c>
      <c r="P179" s="12">
        <v>34200</v>
      </c>
      <c r="Q179" s="12">
        <v>26600</v>
      </c>
      <c r="R179" s="12">
        <v>7600</v>
      </c>
      <c r="S179" t="s">
        <v>1246</v>
      </c>
      <c r="T179" t="s">
        <v>107</v>
      </c>
      <c r="U179" t="s">
        <v>1211</v>
      </c>
    </row>
    <row r="180" spans="1:21" x14ac:dyDescent="0.25">
      <c r="A180" t="s">
        <v>1580</v>
      </c>
      <c r="B180" s="8">
        <v>45731</v>
      </c>
      <c r="C180" t="s">
        <v>3185</v>
      </c>
      <c r="D180" t="s">
        <v>848</v>
      </c>
      <c r="E180" t="s">
        <v>218</v>
      </c>
      <c r="F180">
        <v>47</v>
      </c>
      <c r="G180" t="s">
        <v>10</v>
      </c>
      <c r="H180" t="s">
        <v>8</v>
      </c>
      <c r="I180" t="s">
        <v>26</v>
      </c>
      <c r="J180" t="s">
        <v>27</v>
      </c>
      <c r="K180" t="s">
        <v>22</v>
      </c>
      <c r="L180">
        <v>1</v>
      </c>
      <c r="M180" s="12">
        <v>27499</v>
      </c>
      <c r="N180" s="12">
        <v>23374.149999999998</v>
      </c>
      <c r="O180">
        <v>6</v>
      </c>
      <c r="P180" s="12">
        <v>25849.059999999998</v>
      </c>
      <c r="Q180" s="12">
        <v>23374.149999999998</v>
      </c>
      <c r="R180" s="12">
        <v>2474.91</v>
      </c>
      <c r="S180" t="s">
        <v>1246</v>
      </c>
      <c r="T180" t="s">
        <v>108</v>
      </c>
      <c r="U180" t="s">
        <v>1198</v>
      </c>
    </row>
    <row r="181" spans="1:21" x14ac:dyDescent="0.25">
      <c r="A181" t="s">
        <v>1581</v>
      </c>
      <c r="B181" s="8">
        <v>45923</v>
      </c>
      <c r="C181" t="s">
        <v>1680</v>
      </c>
      <c r="D181" t="s">
        <v>966</v>
      </c>
      <c r="E181" t="s">
        <v>198</v>
      </c>
      <c r="F181">
        <v>18</v>
      </c>
      <c r="G181" t="s">
        <v>14</v>
      </c>
      <c r="H181" t="s">
        <v>15</v>
      </c>
      <c r="I181" t="s">
        <v>40</v>
      </c>
      <c r="J181" t="s">
        <v>39</v>
      </c>
      <c r="K181" t="s">
        <v>22</v>
      </c>
      <c r="L181">
        <v>5</v>
      </c>
      <c r="M181" s="12">
        <v>1100</v>
      </c>
      <c r="N181" s="12">
        <v>715</v>
      </c>
      <c r="O181">
        <v>8</v>
      </c>
      <c r="P181" s="12">
        <v>5060</v>
      </c>
      <c r="Q181" s="12">
        <v>3575</v>
      </c>
      <c r="R181" s="12">
        <v>1485</v>
      </c>
      <c r="S181" t="s">
        <v>113</v>
      </c>
      <c r="T181" t="s">
        <v>110</v>
      </c>
      <c r="U181" t="s">
        <v>1199</v>
      </c>
    </row>
    <row r="182" spans="1:21" x14ac:dyDescent="0.25">
      <c r="A182" t="s">
        <v>1583</v>
      </c>
      <c r="B182" s="8">
        <v>45860</v>
      </c>
      <c r="C182" t="s">
        <v>3993</v>
      </c>
      <c r="D182" t="s">
        <v>1192</v>
      </c>
      <c r="E182" t="s">
        <v>218</v>
      </c>
      <c r="F182">
        <v>59</v>
      </c>
      <c r="G182" t="s">
        <v>14</v>
      </c>
      <c r="H182" t="s">
        <v>15</v>
      </c>
      <c r="I182" t="s">
        <v>26</v>
      </c>
      <c r="J182" t="s">
        <v>27</v>
      </c>
      <c r="K182" t="s">
        <v>22</v>
      </c>
      <c r="L182">
        <v>4</v>
      </c>
      <c r="M182" s="12">
        <v>27499</v>
      </c>
      <c r="N182" s="12">
        <v>23374.149999999998</v>
      </c>
      <c r="O182">
        <v>3</v>
      </c>
      <c r="P182" s="12">
        <v>106696.12</v>
      </c>
      <c r="Q182" s="12">
        <v>93496.599999999991</v>
      </c>
      <c r="R182" s="12">
        <v>13199.520000000004</v>
      </c>
      <c r="S182" t="s">
        <v>1246</v>
      </c>
      <c r="T182" t="s">
        <v>108</v>
      </c>
      <c r="U182" t="s">
        <v>1194</v>
      </c>
    </row>
    <row r="183" spans="1:21" x14ac:dyDescent="0.25">
      <c r="A183" t="s">
        <v>1585</v>
      </c>
      <c r="B183" s="8">
        <v>45837</v>
      </c>
      <c r="C183" t="s">
        <v>1472</v>
      </c>
      <c r="D183" t="s">
        <v>778</v>
      </c>
      <c r="E183" t="s">
        <v>218</v>
      </c>
      <c r="F183">
        <v>62</v>
      </c>
      <c r="G183" t="s">
        <v>16</v>
      </c>
      <c r="H183" t="s">
        <v>15</v>
      </c>
      <c r="I183" t="s">
        <v>34</v>
      </c>
      <c r="J183" t="s">
        <v>137</v>
      </c>
      <c r="K183" t="s">
        <v>22</v>
      </c>
      <c r="L183">
        <v>5</v>
      </c>
      <c r="M183" s="12">
        <v>6900</v>
      </c>
      <c r="N183" s="12">
        <v>5727</v>
      </c>
      <c r="O183">
        <v>10</v>
      </c>
      <c r="P183" s="12">
        <v>31050</v>
      </c>
      <c r="Q183" s="12">
        <v>28635</v>
      </c>
      <c r="R183" s="12">
        <v>2415</v>
      </c>
      <c r="S183" t="s">
        <v>113</v>
      </c>
      <c r="T183" t="s">
        <v>110</v>
      </c>
      <c r="U183" t="s">
        <v>1211</v>
      </c>
    </row>
    <row r="184" spans="1:21" x14ac:dyDescent="0.25">
      <c r="A184" t="s">
        <v>1586</v>
      </c>
      <c r="B184" s="8">
        <v>45844</v>
      </c>
      <c r="C184" t="s">
        <v>2365</v>
      </c>
      <c r="D184" t="s">
        <v>1003</v>
      </c>
      <c r="E184" t="s">
        <v>218</v>
      </c>
      <c r="F184">
        <v>25</v>
      </c>
      <c r="G184" t="s">
        <v>5</v>
      </c>
      <c r="H184" t="s">
        <v>3</v>
      </c>
      <c r="I184" t="s">
        <v>24</v>
      </c>
      <c r="J184" t="s">
        <v>25</v>
      </c>
      <c r="K184" t="s">
        <v>22</v>
      </c>
      <c r="L184">
        <v>4</v>
      </c>
      <c r="M184" s="12">
        <v>35800</v>
      </c>
      <c r="N184" s="12">
        <v>28640</v>
      </c>
      <c r="O184">
        <v>8</v>
      </c>
      <c r="P184" s="12">
        <v>131744</v>
      </c>
      <c r="Q184" s="12">
        <v>114560</v>
      </c>
      <c r="R184" s="12">
        <v>17184</v>
      </c>
      <c r="S184" t="s">
        <v>1246</v>
      </c>
      <c r="T184" t="s">
        <v>111</v>
      </c>
      <c r="U184" t="s">
        <v>1209</v>
      </c>
    </row>
    <row r="185" spans="1:21" x14ac:dyDescent="0.25">
      <c r="A185" t="s">
        <v>1588</v>
      </c>
      <c r="B185" s="8">
        <v>45843</v>
      </c>
      <c r="C185" t="s">
        <v>2062</v>
      </c>
      <c r="D185" t="s">
        <v>544</v>
      </c>
      <c r="E185" t="s">
        <v>198</v>
      </c>
      <c r="F185">
        <v>51</v>
      </c>
      <c r="G185" t="s">
        <v>17</v>
      </c>
      <c r="H185" t="s">
        <v>15</v>
      </c>
      <c r="I185" t="s">
        <v>28</v>
      </c>
      <c r="J185" t="s">
        <v>35</v>
      </c>
      <c r="K185" t="s">
        <v>22</v>
      </c>
      <c r="L185">
        <v>5</v>
      </c>
      <c r="M185" s="12">
        <v>16499</v>
      </c>
      <c r="N185" s="12">
        <v>14519.12</v>
      </c>
      <c r="O185">
        <v>4</v>
      </c>
      <c r="P185" s="12">
        <v>79195.199999999997</v>
      </c>
      <c r="Q185" s="12">
        <v>72595.600000000006</v>
      </c>
      <c r="R185" s="12">
        <v>6599.5999999999913</v>
      </c>
      <c r="S185" t="s">
        <v>1246</v>
      </c>
      <c r="T185" t="s">
        <v>110</v>
      </c>
      <c r="U185" t="s">
        <v>1207</v>
      </c>
    </row>
    <row r="186" spans="1:21" x14ac:dyDescent="0.25">
      <c r="A186" t="s">
        <v>1589</v>
      </c>
      <c r="B186" s="8">
        <v>45685</v>
      </c>
      <c r="C186" t="s">
        <v>3177</v>
      </c>
      <c r="D186" t="s">
        <v>564</v>
      </c>
      <c r="E186" t="s">
        <v>198</v>
      </c>
      <c r="F186">
        <v>22</v>
      </c>
      <c r="G186" t="s">
        <v>289</v>
      </c>
      <c r="H186" t="s">
        <v>3</v>
      </c>
      <c r="I186" t="s">
        <v>42</v>
      </c>
      <c r="J186" t="s">
        <v>44</v>
      </c>
      <c r="K186" t="s">
        <v>43</v>
      </c>
      <c r="L186">
        <v>4</v>
      </c>
      <c r="M186" s="12">
        <v>8999</v>
      </c>
      <c r="N186" s="12">
        <v>6479.28</v>
      </c>
      <c r="O186">
        <v>3</v>
      </c>
      <c r="P186" s="12">
        <v>34916.120000000003</v>
      </c>
      <c r="Q186" s="12">
        <v>25917.119999999999</v>
      </c>
      <c r="R186" s="12">
        <v>8999.0000000000036</v>
      </c>
      <c r="S186" t="s">
        <v>1246</v>
      </c>
      <c r="T186" t="s">
        <v>111</v>
      </c>
      <c r="U186" t="s">
        <v>1196</v>
      </c>
    </row>
    <row r="187" spans="1:21" x14ac:dyDescent="0.25">
      <c r="A187" t="s">
        <v>1591</v>
      </c>
      <c r="B187" s="8">
        <v>45806</v>
      </c>
      <c r="C187" t="s">
        <v>2873</v>
      </c>
      <c r="D187" t="s">
        <v>687</v>
      </c>
      <c r="E187" t="s">
        <v>218</v>
      </c>
      <c r="F187">
        <v>45</v>
      </c>
      <c r="G187" t="s">
        <v>290</v>
      </c>
      <c r="H187" t="s">
        <v>3</v>
      </c>
      <c r="I187" t="s">
        <v>24</v>
      </c>
      <c r="J187" t="s">
        <v>25</v>
      </c>
      <c r="K187" t="s">
        <v>22</v>
      </c>
      <c r="L187">
        <v>1</v>
      </c>
      <c r="M187" s="12">
        <v>35800</v>
      </c>
      <c r="N187" s="12">
        <v>28640</v>
      </c>
      <c r="O187">
        <v>10</v>
      </c>
      <c r="P187" s="12">
        <v>32220</v>
      </c>
      <c r="Q187" s="12">
        <v>28640</v>
      </c>
      <c r="R187" s="12">
        <v>3580</v>
      </c>
      <c r="S187" t="s">
        <v>113</v>
      </c>
      <c r="T187" t="s">
        <v>108</v>
      </c>
      <c r="U187" t="s">
        <v>1201</v>
      </c>
    </row>
    <row r="188" spans="1:21" x14ac:dyDescent="0.25">
      <c r="A188" t="s">
        <v>1593</v>
      </c>
      <c r="B188" s="8">
        <v>45813</v>
      </c>
      <c r="C188" t="s">
        <v>3547</v>
      </c>
      <c r="D188" t="s">
        <v>1071</v>
      </c>
      <c r="E188" t="s">
        <v>198</v>
      </c>
      <c r="F188">
        <v>32</v>
      </c>
      <c r="G188" t="s">
        <v>14</v>
      </c>
      <c r="H188" t="s">
        <v>15</v>
      </c>
      <c r="I188" t="s">
        <v>49</v>
      </c>
      <c r="J188" t="s">
        <v>56</v>
      </c>
      <c r="K188" t="s">
        <v>43</v>
      </c>
      <c r="L188">
        <v>1</v>
      </c>
      <c r="M188" s="12">
        <v>31999</v>
      </c>
      <c r="N188" s="12">
        <v>25599.200000000001</v>
      </c>
      <c r="O188">
        <v>2</v>
      </c>
      <c r="P188" s="12">
        <v>31359.02</v>
      </c>
      <c r="Q188" s="12">
        <v>25599.200000000001</v>
      </c>
      <c r="R188" s="12">
        <v>5759.82</v>
      </c>
      <c r="S188" t="s">
        <v>113</v>
      </c>
      <c r="T188" t="s">
        <v>108</v>
      </c>
      <c r="U188" t="s">
        <v>1194</v>
      </c>
    </row>
    <row r="189" spans="1:21" x14ac:dyDescent="0.25">
      <c r="A189" t="s">
        <v>1595</v>
      </c>
      <c r="B189" s="8">
        <v>45687</v>
      </c>
      <c r="C189" t="s">
        <v>1359</v>
      </c>
      <c r="D189" t="s">
        <v>942</v>
      </c>
      <c r="E189" t="s">
        <v>198</v>
      </c>
      <c r="F189">
        <v>49</v>
      </c>
      <c r="G189" t="s">
        <v>11</v>
      </c>
      <c r="H189" t="s">
        <v>12</v>
      </c>
      <c r="I189" t="s">
        <v>57</v>
      </c>
      <c r="J189" t="s">
        <v>67</v>
      </c>
      <c r="K189" t="s">
        <v>64</v>
      </c>
      <c r="L189">
        <v>4</v>
      </c>
      <c r="M189" s="12">
        <v>150</v>
      </c>
      <c r="N189" s="12">
        <v>97.5</v>
      </c>
      <c r="O189">
        <v>12</v>
      </c>
      <c r="P189" s="12">
        <v>528</v>
      </c>
      <c r="Q189" s="12">
        <v>390</v>
      </c>
      <c r="R189" s="12">
        <v>138</v>
      </c>
      <c r="S189" t="s">
        <v>1246</v>
      </c>
      <c r="T189" t="s">
        <v>107</v>
      </c>
      <c r="U189" t="s">
        <v>1198</v>
      </c>
    </row>
    <row r="190" spans="1:21" x14ac:dyDescent="0.25">
      <c r="A190" t="s">
        <v>1597</v>
      </c>
      <c r="B190" s="8">
        <v>45950</v>
      </c>
      <c r="C190" t="s">
        <v>3012</v>
      </c>
      <c r="D190" t="s">
        <v>896</v>
      </c>
      <c r="E190" t="s">
        <v>198</v>
      </c>
      <c r="F190">
        <v>53</v>
      </c>
      <c r="G190" t="s">
        <v>16</v>
      </c>
      <c r="H190" t="s">
        <v>15</v>
      </c>
      <c r="I190" t="s">
        <v>32</v>
      </c>
      <c r="J190" t="s">
        <v>29</v>
      </c>
      <c r="K190" t="s">
        <v>22</v>
      </c>
      <c r="L190">
        <v>5</v>
      </c>
      <c r="M190" s="12">
        <v>9500</v>
      </c>
      <c r="N190" s="12">
        <v>6650</v>
      </c>
      <c r="O190">
        <v>8</v>
      </c>
      <c r="P190" s="12">
        <v>43700</v>
      </c>
      <c r="Q190" s="12">
        <v>33250</v>
      </c>
      <c r="R190" s="12">
        <v>10450</v>
      </c>
      <c r="S190" t="s">
        <v>1246</v>
      </c>
      <c r="T190" t="s">
        <v>107</v>
      </c>
      <c r="U190" t="s">
        <v>1194</v>
      </c>
    </row>
    <row r="191" spans="1:21" x14ac:dyDescent="0.25">
      <c r="A191" t="s">
        <v>1598</v>
      </c>
      <c r="B191" s="8">
        <v>45938</v>
      </c>
      <c r="C191" t="s">
        <v>2723</v>
      </c>
      <c r="D191" t="s">
        <v>468</v>
      </c>
      <c r="E191" t="s">
        <v>198</v>
      </c>
      <c r="F191">
        <v>52</v>
      </c>
      <c r="G191" t="s">
        <v>5</v>
      </c>
      <c r="H191" t="s">
        <v>3</v>
      </c>
      <c r="I191" t="s">
        <v>30</v>
      </c>
      <c r="J191" t="s">
        <v>41</v>
      </c>
      <c r="K191" t="s">
        <v>22</v>
      </c>
      <c r="L191">
        <v>5</v>
      </c>
      <c r="M191" s="12">
        <v>13749</v>
      </c>
      <c r="N191" s="12">
        <v>10999.2</v>
      </c>
      <c r="O191">
        <v>8</v>
      </c>
      <c r="P191" s="12">
        <v>63245.4</v>
      </c>
      <c r="Q191" s="12">
        <v>54996</v>
      </c>
      <c r="R191" s="12">
        <v>8249.4000000000015</v>
      </c>
      <c r="S191" t="s">
        <v>113</v>
      </c>
      <c r="T191" t="s">
        <v>109</v>
      </c>
      <c r="U191" t="s">
        <v>1201</v>
      </c>
    </row>
    <row r="192" spans="1:21" x14ac:dyDescent="0.25">
      <c r="A192" t="s">
        <v>1600</v>
      </c>
      <c r="B192" s="8">
        <v>45957</v>
      </c>
      <c r="C192" t="s">
        <v>2507</v>
      </c>
      <c r="D192" t="s">
        <v>720</v>
      </c>
      <c r="E192" t="s">
        <v>198</v>
      </c>
      <c r="F192">
        <v>39</v>
      </c>
      <c r="G192" t="s">
        <v>17</v>
      </c>
      <c r="H192" t="s">
        <v>15</v>
      </c>
      <c r="I192" t="s">
        <v>63</v>
      </c>
      <c r="J192" t="s">
        <v>77</v>
      </c>
      <c r="K192" t="s">
        <v>64</v>
      </c>
      <c r="L192">
        <v>2</v>
      </c>
      <c r="M192" s="12">
        <v>650</v>
      </c>
      <c r="N192" s="12">
        <v>468</v>
      </c>
      <c r="O192">
        <v>4</v>
      </c>
      <c r="P192" s="12">
        <v>1248</v>
      </c>
      <c r="Q192" s="12">
        <v>936</v>
      </c>
      <c r="R192" s="12">
        <v>312</v>
      </c>
      <c r="S192" t="s">
        <v>113</v>
      </c>
      <c r="T192" t="s">
        <v>111</v>
      </c>
      <c r="U192" t="s">
        <v>1198</v>
      </c>
    </row>
    <row r="193" spans="1:21" x14ac:dyDescent="0.25">
      <c r="A193" t="s">
        <v>1602</v>
      </c>
      <c r="B193" s="8">
        <v>46010</v>
      </c>
      <c r="C193" t="s">
        <v>1402</v>
      </c>
      <c r="D193" t="s">
        <v>996</v>
      </c>
      <c r="E193" t="s">
        <v>198</v>
      </c>
      <c r="F193">
        <v>51</v>
      </c>
      <c r="G193" t="s">
        <v>290</v>
      </c>
      <c r="H193" t="s">
        <v>3</v>
      </c>
      <c r="I193" t="s">
        <v>30</v>
      </c>
      <c r="J193" t="s">
        <v>41</v>
      </c>
      <c r="K193" t="s">
        <v>22</v>
      </c>
      <c r="L193">
        <v>2</v>
      </c>
      <c r="M193" s="12">
        <v>13749</v>
      </c>
      <c r="N193" s="12">
        <v>10999.2</v>
      </c>
      <c r="O193">
        <v>11</v>
      </c>
      <c r="P193" s="12">
        <v>24473.22</v>
      </c>
      <c r="Q193" s="12">
        <v>21998.400000000001</v>
      </c>
      <c r="R193" s="12">
        <v>2474.8199999999997</v>
      </c>
      <c r="S193" t="s">
        <v>113</v>
      </c>
      <c r="T193" t="s">
        <v>109</v>
      </c>
      <c r="U193" t="s">
        <v>1211</v>
      </c>
    </row>
    <row r="194" spans="1:21" x14ac:dyDescent="0.25">
      <c r="A194" t="s">
        <v>1604</v>
      </c>
      <c r="B194" s="8">
        <v>45675</v>
      </c>
      <c r="C194" t="s">
        <v>3698</v>
      </c>
      <c r="D194" t="s">
        <v>1177</v>
      </c>
      <c r="E194" t="s">
        <v>218</v>
      </c>
      <c r="F194">
        <v>47</v>
      </c>
      <c r="G194" t="s">
        <v>17</v>
      </c>
      <c r="H194" t="s">
        <v>15</v>
      </c>
      <c r="I194" t="s">
        <v>26</v>
      </c>
      <c r="J194" t="s">
        <v>27</v>
      </c>
      <c r="K194" t="s">
        <v>22</v>
      </c>
      <c r="L194">
        <v>5</v>
      </c>
      <c r="M194" s="12">
        <v>27499</v>
      </c>
      <c r="N194" s="12">
        <v>23374.149999999998</v>
      </c>
      <c r="O194">
        <v>5</v>
      </c>
      <c r="P194" s="12">
        <v>130620.25</v>
      </c>
      <c r="Q194" s="12">
        <v>116870.74999999999</v>
      </c>
      <c r="R194" s="12">
        <v>13749.500000000015</v>
      </c>
      <c r="S194" t="s">
        <v>113</v>
      </c>
      <c r="T194" t="s">
        <v>109</v>
      </c>
      <c r="U194" t="s">
        <v>1194</v>
      </c>
    </row>
    <row r="195" spans="1:21" x14ac:dyDescent="0.25">
      <c r="A195" t="s">
        <v>1606</v>
      </c>
      <c r="B195" s="8">
        <v>45781</v>
      </c>
      <c r="C195" t="s">
        <v>3853</v>
      </c>
      <c r="D195" t="s">
        <v>477</v>
      </c>
      <c r="E195" t="s">
        <v>198</v>
      </c>
      <c r="F195">
        <v>64</v>
      </c>
      <c r="G195" t="s">
        <v>10</v>
      </c>
      <c r="H195" t="s">
        <v>8</v>
      </c>
      <c r="I195" t="s">
        <v>55</v>
      </c>
      <c r="J195" t="s">
        <v>65</v>
      </c>
      <c r="K195" t="s">
        <v>64</v>
      </c>
      <c r="L195">
        <v>3</v>
      </c>
      <c r="M195" s="12">
        <v>80</v>
      </c>
      <c r="N195" s="12">
        <v>56</v>
      </c>
      <c r="O195">
        <v>11</v>
      </c>
      <c r="P195" s="12">
        <v>213.6</v>
      </c>
      <c r="Q195" s="12">
        <v>168</v>
      </c>
      <c r="R195" s="12">
        <v>45.599999999999994</v>
      </c>
      <c r="S195" t="s">
        <v>113</v>
      </c>
      <c r="T195" t="s">
        <v>109</v>
      </c>
      <c r="U195" t="s">
        <v>1198</v>
      </c>
    </row>
    <row r="196" spans="1:21" x14ac:dyDescent="0.25">
      <c r="A196" t="s">
        <v>1608</v>
      </c>
      <c r="B196" s="8">
        <v>45795</v>
      </c>
      <c r="C196" t="s">
        <v>3710</v>
      </c>
      <c r="D196" t="s">
        <v>901</v>
      </c>
      <c r="E196" t="s">
        <v>218</v>
      </c>
      <c r="F196">
        <v>59</v>
      </c>
      <c r="G196" t="s">
        <v>289</v>
      </c>
      <c r="H196" t="s">
        <v>3</v>
      </c>
      <c r="I196" t="s">
        <v>26</v>
      </c>
      <c r="J196" t="s">
        <v>27</v>
      </c>
      <c r="K196" t="s">
        <v>22</v>
      </c>
      <c r="L196">
        <v>1</v>
      </c>
      <c r="M196" s="12">
        <v>27499</v>
      </c>
      <c r="N196" s="12">
        <v>23374.149999999998</v>
      </c>
      <c r="O196">
        <v>10</v>
      </c>
      <c r="P196" s="12">
        <v>24749.100000000002</v>
      </c>
      <c r="Q196" s="12">
        <v>23374.149999999998</v>
      </c>
      <c r="R196" s="12">
        <v>1374.9500000000044</v>
      </c>
      <c r="S196" t="s">
        <v>1249</v>
      </c>
      <c r="T196" t="s">
        <v>109</v>
      </c>
      <c r="U196" t="s">
        <v>1211</v>
      </c>
    </row>
    <row r="197" spans="1:21" x14ac:dyDescent="0.25">
      <c r="A197" t="s">
        <v>1610</v>
      </c>
      <c r="B197" s="8">
        <v>45977</v>
      </c>
      <c r="C197" t="s">
        <v>2245</v>
      </c>
      <c r="D197" t="s">
        <v>732</v>
      </c>
      <c r="E197" t="s">
        <v>198</v>
      </c>
      <c r="F197">
        <v>24</v>
      </c>
      <c r="G197" t="s">
        <v>290</v>
      </c>
      <c r="H197" t="s">
        <v>3</v>
      </c>
      <c r="I197" t="s">
        <v>30</v>
      </c>
      <c r="J197" t="s">
        <v>41</v>
      </c>
      <c r="K197" t="s">
        <v>22</v>
      </c>
      <c r="L197">
        <v>1</v>
      </c>
      <c r="M197" s="12">
        <v>13749</v>
      </c>
      <c r="N197" s="12">
        <v>10999.2</v>
      </c>
      <c r="O197">
        <v>17</v>
      </c>
      <c r="P197" s="12">
        <v>11411.67</v>
      </c>
      <c r="Q197" s="12">
        <v>10999.2</v>
      </c>
      <c r="R197" s="12">
        <v>412.46999999999935</v>
      </c>
      <c r="S197" t="s">
        <v>1246</v>
      </c>
      <c r="T197" t="s">
        <v>108</v>
      </c>
      <c r="U197" t="s">
        <v>1203</v>
      </c>
    </row>
    <row r="198" spans="1:21" x14ac:dyDescent="0.25">
      <c r="A198" t="s">
        <v>1612</v>
      </c>
      <c r="B198" s="8">
        <v>45910</v>
      </c>
      <c r="C198" t="s">
        <v>2615</v>
      </c>
      <c r="D198" t="s">
        <v>766</v>
      </c>
      <c r="E198" t="s">
        <v>218</v>
      </c>
      <c r="F198">
        <v>18</v>
      </c>
      <c r="G198" t="s">
        <v>5</v>
      </c>
      <c r="H198" t="s">
        <v>3</v>
      </c>
      <c r="I198" t="s">
        <v>38</v>
      </c>
      <c r="J198" t="s">
        <v>37</v>
      </c>
      <c r="K198" t="s">
        <v>22</v>
      </c>
      <c r="L198">
        <v>3</v>
      </c>
      <c r="M198" s="12">
        <v>1650</v>
      </c>
      <c r="N198" s="12">
        <v>990</v>
      </c>
      <c r="O198">
        <v>5</v>
      </c>
      <c r="P198" s="12">
        <v>4702.5</v>
      </c>
      <c r="Q198" s="12">
        <v>2970</v>
      </c>
      <c r="R198" s="12">
        <v>1732.5</v>
      </c>
      <c r="S198" t="s">
        <v>113</v>
      </c>
      <c r="T198" t="s">
        <v>107</v>
      </c>
      <c r="U198" t="s">
        <v>1201</v>
      </c>
    </row>
    <row r="199" spans="1:21" x14ac:dyDescent="0.25">
      <c r="A199" t="s">
        <v>1614</v>
      </c>
      <c r="B199" s="8">
        <v>45676</v>
      </c>
      <c r="C199" t="s">
        <v>1971</v>
      </c>
      <c r="D199" t="s">
        <v>393</v>
      </c>
      <c r="E199" t="s">
        <v>198</v>
      </c>
      <c r="F199">
        <v>46</v>
      </c>
      <c r="G199" t="s">
        <v>14</v>
      </c>
      <c r="H199" t="s">
        <v>15</v>
      </c>
      <c r="I199" t="s">
        <v>36</v>
      </c>
      <c r="J199" t="s">
        <v>136</v>
      </c>
      <c r="K199" t="s">
        <v>22</v>
      </c>
      <c r="L199">
        <v>1</v>
      </c>
      <c r="M199" s="12">
        <v>3590</v>
      </c>
      <c r="N199" s="12">
        <v>2333.5</v>
      </c>
      <c r="O199">
        <v>5</v>
      </c>
      <c r="P199" s="12">
        <v>3410.5</v>
      </c>
      <c r="Q199" s="12">
        <v>2333.5</v>
      </c>
      <c r="R199" s="12">
        <v>1077</v>
      </c>
      <c r="S199" t="s">
        <v>113</v>
      </c>
      <c r="T199" t="s">
        <v>107</v>
      </c>
      <c r="U199" t="s">
        <v>1194</v>
      </c>
    </row>
    <row r="200" spans="1:21" x14ac:dyDescent="0.25">
      <c r="A200" t="s">
        <v>1615</v>
      </c>
      <c r="B200" s="8">
        <v>46009</v>
      </c>
      <c r="C200" t="s">
        <v>1251</v>
      </c>
      <c r="D200" t="s">
        <v>585</v>
      </c>
      <c r="E200" t="s">
        <v>218</v>
      </c>
      <c r="F200">
        <v>20</v>
      </c>
      <c r="G200" t="s">
        <v>2</v>
      </c>
      <c r="H200" t="s">
        <v>3</v>
      </c>
      <c r="I200" t="s">
        <v>45</v>
      </c>
      <c r="J200" t="s">
        <v>46</v>
      </c>
      <c r="K200" t="s">
        <v>43</v>
      </c>
      <c r="L200">
        <v>2</v>
      </c>
      <c r="M200" s="12">
        <v>11999</v>
      </c>
      <c r="N200" s="12">
        <v>8999.25</v>
      </c>
      <c r="O200">
        <v>20</v>
      </c>
      <c r="P200" s="12">
        <v>19198.400000000001</v>
      </c>
      <c r="Q200" s="12">
        <v>17998.5</v>
      </c>
      <c r="R200" s="12">
        <v>1199.9000000000015</v>
      </c>
      <c r="S200" t="s">
        <v>113</v>
      </c>
      <c r="T200" t="s">
        <v>109</v>
      </c>
      <c r="U200" t="s">
        <v>1194</v>
      </c>
    </row>
    <row r="201" spans="1:21" x14ac:dyDescent="0.25">
      <c r="A201" t="s">
        <v>1617</v>
      </c>
      <c r="B201" s="8">
        <v>45888</v>
      </c>
      <c r="C201" t="s">
        <v>2383</v>
      </c>
      <c r="D201" t="s">
        <v>1162</v>
      </c>
      <c r="E201" t="s">
        <v>218</v>
      </c>
      <c r="F201">
        <v>50</v>
      </c>
      <c r="G201" t="s">
        <v>4</v>
      </c>
      <c r="H201" t="s">
        <v>3</v>
      </c>
      <c r="I201" t="s">
        <v>21</v>
      </c>
      <c r="J201" t="s">
        <v>23</v>
      </c>
      <c r="K201" t="s">
        <v>22</v>
      </c>
      <c r="L201">
        <v>2</v>
      </c>
      <c r="M201" s="12">
        <v>54999</v>
      </c>
      <c r="N201" s="12">
        <v>45099.18</v>
      </c>
      <c r="O201">
        <v>5</v>
      </c>
      <c r="P201" s="12">
        <v>104498.09999999999</v>
      </c>
      <c r="Q201" s="12">
        <v>90198.36</v>
      </c>
      <c r="R201" s="12">
        <v>14299.739999999991</v>
      </c>
      <c r="S201" t="s">
        <v>113</v>
      </c>
      <c r="T201" t="s">
        <v>107</v>
      </c>
      <c r="U201" t="s">
        <v>1198</v>
      </c>
    </row>
    <row r="202" spans="1:21" x14ac:dyDescent="0.25">
      <c r="A202" t="s">
        <v>1618</v>
      </c>
      <c r="B202" s="8">
        <v>45778</v>
      </c>
      <c r="C202" t="s">
        <v>1890</v>
      </c>
      <c r="D202" t="s">
        <v>926</v>
      </c>
      <c r="E202" t="s">
        <v>198</v>
      </c>
      <c r="F202">
        <v>58</v>
      </c>
      <c r="G202" t="s">
        <v>17</v>
      </c>
      <c r="H202" t="s">
        <v>15</v>
      </c>
      <c r="I202" t="s">
        <v>21</v>
      </c>
      <c r="J202" t="s">
        <v>23</v>
      </c>
      <c r="K202" t="s">
        <v>22</v>
      </c>
      <c r="L202">
        <v>1</v>
      </c>
      <c r="M202" s="12">
        <v>54999</v>
      </c>
      <c r="N202" s="12">
        <v>45099.18</v>
      </c>
      <c r="O202">
        <v>7</v>
      </c>
      <c r="P202" s="12">
        <v>51149.07</v>
      </c>
      <c r="Q202" s="12">
        <v>45099.18</v>
      </c>
      <c r="R202" s="12">
        <v>6049.8899999999994</v>
      </c>
      <c r="S202" t="s">
        <v>113</v>
      </c>
      <c r="T202" t="s">
        <v>108</v>
      </c>
      <c r="U202" t="s">
        <v>1205</v>
      </c>
    </row>
    <row r="203" spans="1:21" x14ac:dyDescent="0.25">
      <c r="A203" t="s">
        <v>1620</v>
      </c>
      <c r="B203" s="8">
        <v>45854</v>
      </c>
      <c r="C203" t="s">
        <v>1318</v>
      </c>
      <c r="D203" t="s">
        <v>653</v>
      </c>
      <c r="E203" t="s">
        <v>218</v>
      </c>
      <c r="F203">
        <v>41</v>
      </c>
      <c r="G203" t="s">
        <v>10</v>
      </c>
      <c r="H203" t="s">
        <v>8</v>
      </c>
      <c r="I203" t="s">
        <v>36</v>
      </c>
      <c r="J203" t="s">
        <v>136</v>
      </c>
      <c r="K203" t="s">
        <v>22</v>
      </c>
      <c r="L203">
        <v>3</v>
      </c>
      <c r="M203" s="12">
        <v>3590</v>
      </c>
      <c r="N203" s="12">
        <v>2333.5</v>
      </c>
      <c r="O203">
        <v>3</v>
      </c>
      <c r="P203" s="12">
        <v>10446.9</v>
      </c>
      <c r="Q203" s="12">
        <v>7000.5</v>
      </c>
      <c r="R203" s="12">
        <v>3446.3999999999996</v>
      </c>
      <c r="S203" t="s">
        <v>1246</v>
      </c>
      <c r="T203" t="s">
        <v>107</v>
      </c>
      <c r="U203" t="s">
        <v>1203</v>
      </c>
    </row>
    <row r="204" spans="1:21" x14ac:dyDescent="0.25">
      <c r="A204" t="s">
        <v>1622</v>
      </c>
      <c r="B204" s="8">
        <v>45820</v>
      </c>
      <c r="C204" t="s">
        <v>2388</v>
      </c>
      <c r="D204" t="s">
        <v>933</v>
      </c>
      <c r="E204" t="s">
        <v>218</v>
      </c>
      <c r="F204">
        <v>26</v>
      </c>
      <c r="G204" t="s">
        <v>4</v>
      </c>
      <c r="H204" t="s">
        <v>3</v>
      </c>
      <c r="I204" t="s">
        <v>59</v>
      </c>
      <c r="J204" t="s">
        <v>73</v>
      </c>
      <c r="K204" t="s">
        <v>64</v>
      </c>
      <c r="L204">
        <v>3</v>
      </c>
      <c r="M204" s="12">
        <v>120</v>
      </c>
      <c r="N204" s="12">
        <v>81.599999999999994</v>
      </c>
      <c r="O204">
        <v>12</v>
      </c>
      <c r="P204" s="12">
        <v>316.8</v>
      </c>
      <c r="Q204" s="12">
        <v>244.79999999999998</v>
      </c>
      <c r="R204" s="12">
        <v>72.000000000000028</v>
      </c>
      <c r="S204" t="s">
        <v>1246</v>
      </c>
      <c r="T204" t="s">
        <v>108</v>
      </c>
      <c r="U204" t="s">
        <v>1203</v>
      </c>
    </row>
    <row r="205" spans="1:21" x14ac:dyDescent="0.25">
      <c r="A205" t="s">
        <v>1624</v>
      </c>
      <c r="B205" s="8">
        <v>45801</v>
      </c>
      <c r="C205" t="s">
        <v>2941</v>
      </c>
      <c r="D205" t="s">
        <v>646</v>
      </c>
      <c r="E205" t="s">
        <v>218</v>
      </c>
      <c r="F205">
        <v>64</v>
      </c>
      <c r="G205" t="s">
        <v>4</v>
      </c>
      <c r="H205" t="s">
        <v>3</v>
      </c>
      <c r="I205" t="s">
        <v>38</v>
      </c>
      <c r="J205" t="s">
        <v>37</v>
      </c>
      <c r="K205" t="s">
        <v>22</v>
      </c>
      <c r="L205">
        <v>3</v>
      </c>
      <c r="M205" s="12">
        <v>1650</v>
      </c>
      <c r="N205" s="12">
        <v>990</v>
      </c>
      <c r="O205">
        <v>5</v>
      </c>
      <c r="P205" s="12">
        <v>4702.5</v>
      </c>
      <c r="Q205" s="12">
        <v>2970</v>
      </c>
      <c r="R205" s="12">
        <v>1732.5</v>
      </c>
      <c r="S205" t="s">
        <v>113</v>
      </c>
      <c r="T205" t="s">
        <v>107</v>
      </c>
      <c r="U205" t="s">
        <v>1194</v>
      </c>
    </row>
    <row r="206" spans="1:21" x14ac:dyDescent="0.25">
      <c r="A206" t="s">
        <v>1626</v>
      </c>
      <c r="B206" s="8">
        <v>45877</v>
      </c>
      <c r="C206" t="s">
        <v>3061</v>
      </c>
      <c r="D206" t="s">
        <v>709</v>
      </c>
      <c r="E206" t="s">
        <v>218</v>
      </c>
      <c r="F206">
        <v>28</v>
      </c>
      <c r="G206" t="s">
        <v>17</v>
      </c>
      <c r="H206" t="s">
        <v>15</v>
      </c>
      <c r="I206" t="s">
        <v>55</v>
      </c>
      <c r="J206" t="s">
        <v>65</v>
      </c>
      <c r="K206" t="s">
        <v>64</v>
      </c>
      <c r="L206">
        <v>1</v>
      </c>
      <c r="M206" s="12">
        <v>80</v>
      </c>
      <c r="N206" s="12">
        <v>56</v>
      </c>
      <c r="O206">
        <v>1</v>
      </c>
      <c r="P206" s="12">
        <v>79.2</v>
      </c>
      <c r="Q206" s="12">
        <v>56</v>
      </c>
      <c r="R206" s="12">
        <v>23.200000000000003</v>
      </c>
      <c r="S206" t="s">
        <v>1246</v>
      </c>
      <c r="T206" t="s">
        <v>108</v>
      </c>
      <c r="U206" t="s">
        <v>1205</v>
      </c>
    </row>
    <row r="207" spans="1:21" x14ac:dyDescent="0.25">
      <c r="A207" t="s">
        <v>1627</v>
      </c>
      <c r="B207" s="8">
        <v>45953</v>
      </c>
      <c r="C207" t="s">
        <v>1607</v>
      </c>
      <c r="D207" t="s">
        <v>1061</v>
      </c>
      <c r="E207" t="s">
        <v>218</v>
      </c>
      <c r="F207">
        <v>65</v>
      </c>
      <c r="G207" t="s">
        <v>14</v>
      </c>
      <c r="H207" t="s">
        <v>15</v>
      </c>
      <c r="I207" t="s">
        <v>47</v>
      </c>
      <c r="J207" t="s">
        <v>52</v>
      </c>
      <c r="K207" t="s">
        <v>43</v>
      </c>
      <c r="L207">
        <v>2</v>
      </c>
      <c r="M207" s="12">
        <v>42999</v>
      </c>
      <c r="N207" s="12">
        <v>33539.22</v>
      </c>
      <c r="O207">
        <v>9</v>
      </c>
      <c r="P207" s="12">
        <v>78258.180000000008</v>
      </c>
      <c r="Q207" s="12">
        <v>67078.44</v>
      </c>
      <c r="R207" s="12">
        <v>11179.740000000005</v>
      </c>
      <c r="S207" t="s">
        <v>113</v>
      </c>
      <c r="T207" t="s">
        <v>107</v>
      </c>
      <c r="U207" t="s">
        <v>1194</v>
      </c>
    </row>
    <row r="208" spans="1:21" x14ac:dyDescent="0.25">
      <c r="A208" t="s">
        <v>1629</v>
      </c>
      <c r="B208" s="8">
        <v>45906</v>
      </c>
      <c r="C208" t="s">
        <v>4666</v>
      </c>
      <c r="D208" t="s">
        <v>1173</v>
      </c>
      <c r="E208" t="s">
        <v>218</v>
      </c>
      <c r="F208">
        <v>18</v>
      </c>
      <c r="G208" t="s">
        <v>11</v>
      </c>
      <c r="H208" t="s">
        <v>12</v>
      </c>
      <c r="I208" t="s">
        <v>30</v>
      </c>
      <c r="J208" t="s">
        <v>41</v>
      </c>
      <c r="K208" t="s">
        <v>22</v>
      </c>
      <c r="L208">
        <v>5</v>
      </c>
      <c r="M208" s="12">
        <v>13749</v>
      </c>
      <c r="N208" s="12">
        <v>10999.2</v>
      </c>
      <c r="O208">
        <v>3</v>
      </c>
      <c r="P208" s="12">
        <v>66682.649999999994</v>
      </c>
      <c r="Q208" s="12">
        <v>54996</v>
      </c>
      <c r="R208" s="12">
        <v>11686.649999999994</v>
      </c>
      <c r="S208" t="s">
        <v>1246</v>
      </c>
      <c r="T208" t="s">
        <v>110</v>
      </c>
      <c r="U208" t="s">
        <v>1203</v>
      </c>
    </row>
    <row r="209" spans="1:21" x14ac:dyDescent="0.25">
      <c r="A209" t="s">
        <v>1631</v>
      </c>
      <c r="B209" s="8">
        <v>45770</v>
      </c>
      <c r="C209" t="s">
        <v>4601</v>
      </c>
      <c r="D209" t="s">
        <v>1147</v>
      </c>
      <c r="E209" t="s">
        <v>218</v>
      </c>
      <c r="F209">
        <v>39</v>
      </c>
      <c r="G209" t="s">
        <v>9</v>
      </c>
      <c r="H209" t="s">
        <v>8</v>
      </c>
      <c r="I209" t="s">
        <v>57</v>
      </c>
      <c r="J209" t="s">
        <v>67</v>
      </c>
      <c r="K209" t="s">
        <v>64</v>
      </c>
      <c r="L209">
        <v>2</v>
      </c>
      <c r="M209" s="12">
        <v>150</v>
      </c>
      <c r="N209" s="12">
        <v>97.5</v>
      </c>
      <c r="O209">
        <v>1</v>
      </c>
      <c r="P209" s="12">
        <v>297</v>
      </c>
      <c r="Q209" s="12">
        <v>195</v>
      </c>
      <c r="R209" s="12">
        <v>102</v>
      </c>
      <c r="S209" t="s">
        <v>1246</v>
      </c>
      <c r="T209" t="s">
        <v>108</v>
      </c>
      <c r="U209" t="s">
        <v>1194</v>
      </c>
    </row>
    <row r="210" spans="1:21" x14ac:dyDescent="0.25">
      <c r="A210" t="s">
        <v>1633</v>
      </c>
      <c r="B210" s="8">
        <v>45765</v>
      </c>
      <c r="C210" t="s">
        <v>5088</v>
      </c>
      <c r="D210" t="s">
        <v>965</v>
      </c>
      <c r="E210" t="s">
        <v>198</v>
      </c>
      <c r="F210">
        <v>54</v>
      </c>
      <c r="G210" t="s">
        <v>2</v>
      </c>
      <c r="H210" t="s">
        <v>3</v>
      </c>
      <c r="I210" t="s">
        <v>21</v>
      </c>
      <c r="J210" t="s">
        <v>23</v>
      </c>
      <c r="K210" t="s">
        <v>22</v>
      </c>
      <c r="L210">
        <v>3</v>
      </c>
      <c r="M210" s="12">
        <v>54999</v>
      </c>
      <c r="N210" s="12">
        <v>45099.18</v>
      </c>
      <c r="O210">
        <v>4</v>
      </c>
      <c r="P210" s="12">
        <v>158397.12</v>
      </c>
      <c r="Q210" s="12">
        <v>135297.54</v>
      </c>
      <c r="R210" s="12">
        <v>23099.579999999987</v>
      </c>
      <c r="S210" t="s">
        <v>1249</v>
      </c>
      <c r="T210" t="s">
        <v>109</v>
      </c>
      <c r="U210" t="s">
        <v>1209</v>
      </c>
    </row>
    <row r="211" spans="1:21" x14ac:dyDescent="0.25">
      <c r="A211" t="s">
        <v>1634</v>
      </c>
      <c r="B211" s="8">
        <v>45869</v>
      </c>
      <c r="C211" t="s">
        <v>5075</v>
      </c>
      <c r="D211" t="s">
        <v>407</v>
      </c>
      <c r="E211" t="s">
        <v>218</v>
      </c>
      <c r="F211">
        <v>37</v>
      </c>
      <c r="G211" t="s">
        <v>289</v>
      </c>
      <c r="H211" t="s">
        <v>3</v>
      </c>
      <c r="I211" t="s">
        <v>55</v>
      </c>
      <c r="J211" t="s">
        <v>65</v>
      </c>
      <c r="K211" t="s">
        <v>64</v>
      </c>
      <c r="L211">
        <v>3</v>
      </c>
      <c r="M211" s="12">
        <v>80</v>
      </c>
      <c r="N211" s="12">
        <v>56</v>
      </c>
      <c r="O211">
        <v>2</v>
      </c>
      <c r="P211" s="12">
        <v>235.2</v>
      </c>
      <c r="Q211" s="12">
        <v>168</v>
      </c>
      <c r="R211" s="12">
        <v>67.199999999999989</v>
      </c>
      <c r="S211" t="s">
        <v>113</v>
      </c>
      <c r="T211" t="s">
        <v>107</v>
      </c>
      <c r="U211" t="s">
        <v>1201</v>
      </c>
    </row>
    <row r="212" spans="1:21" x14ac:dyDescent="0.25">
      <c r="A212" t="s">
        <v>1636</v>
      </c>
      <c r="B212" s="8">
        <v>45829</v>
      </c>
      <c r="C212" t="s">
        <v>1680</v>
      </c>
      <c r="D212" t="s">
        <v>966</v>
      </c>
      <c r="E212" t="s">
        <v>198</v>
      </c>
      <c r="F212">
        <v>18</v>
      </c>
      <c r="G212" t="s">
        <v>14</v>
      </c>
      <c r="H212" t="s">
        <v>15</v>
      </c>
      <c r="I212" t="s">
        <v>47</v>
      </c>
      <c r="J212" t="s">
        <v>52</v>
      </c>
      <c r="K212" t="s">
        <v>43</v>
      </c>
      <c r="L212">
        <v>2</v>
      </c>
      <c r="M212" s="12">
        <v>42999</v>
      </c>
      <c r="N212" s="12">
        <v>33539.22</v>
      </c>
      <c r="O212">
        <v>4</v>
      </c>
      <c r="P212" s="12">
        <v>82558.080000000002</v>
      </c>
      <c r="Q212" s="12">
        <v>67078.44</v>
      </c>
      <c r="R212" s="12">
        <v>15479.64</v>
      </c>
      <c r="S212" t="s">
        <v>1246</v>
      </c>
      <c r="T212" t="s">
        <v>108</v>
      </c>
      <c r="U212" t="s">
        <v>1201</v>
      </c>
    </row>
    <row r="213" spans="1:21" x14ac:dyDescent="0.25">
      <c r="A213" t="s">
        <v>1637</v>
      </c>
      <c r="B213" s="8">
        <v>45754</v>
      </c>
      <c r="C213" t="s">
        <v>1762</v>
      </c>
      <c r="D213" t="s">
        <v>501</v>
      </c>
      <c r="E213" t="s">
        <v>218</v>
      </c>
      <c r="F213">
        <v>62</v>
      </c>
      <c r="G213" t="s">
        <v>5</v>
      </c>
      <c r="H213" t="s">
        <v>3</v>
      </c>
      <c r="I213" t="s">
        <v>28</v>
      </c>
      <c r="J213" t="s">
        <v>35</v>
      </c>
      <c r="K213" t="s">
        <v>22</v>
      </c>
      <c r="L213">
        <v>1</v>
      </c>
      <c r="M213" s="12">
        <v>16499</v>
      </c>
      <c r="N213" s="12">
        <v>14519.12</v>
      </c>
      <c r="O213">
        <v>4</v>
      </c>
      <c r="P213" s="12">
        <v>15839.039999999999</v>
      </c>
      <c r="Q213" s="12">
        <v>14519.12</v>
      </c>
      <c r="R213" s="12">
        <v>1319.9199999999983</v>
      </c>
      <c r="S213" t="s">
        <v>1249</v>
      </c>
      <c r="T213" t="s">
        <v>108</v>
      </c>
      <c r="U213" t="s">
        <v>1203</v>
      </c>
    </row>
    <row r="214" spans="1:21" x14ac:dyDescent="0.25">
      <c r="A214" t="s">
        <v>1638</v>
      </c>
      <c r="B214" s="8">
        <v>45670</v>
      </c>
      <c r="C214" t="s">
        <v>4095</v>
      </c>
      <c r="D214" t="s">
        <v>1014</v>
      </c>
      <c r="E214" t="s">
        <v>218</v>
      </c>
      <c r="F214">
        <v>63</v>
      </c>
      <c r="G214" t="s">
        <v>290</v>
      </c>
      <c r="H214" t="s">
        <v>3</v>
      </c>
      <c r="I214" t="s">
        <v>55</v>
      </c>
      <c r="J214" t="s">
        <v>65</v>
      </c>
      <c r="K214" t="s">
        <v>64</v>
      </c>
      <c r="L214">
        <v>1</v>
      </c>
      <c r="M214" s="12">
        <v>80</v>
      </c>
      <c r="N214" s="12">
        <v>56</v>
      </c>
      <c r="O214">
        <v>13</v>
      </c>
      <c r="P214" s="12">
        <v>69.599999999999994</v>
      </c>
      <c r="Q214" s="12">
        <v>56</v>
      </c>
      <c r="R214" s="12">
        <v>13.599999999999994</v>
      </c>
      <c r="S214" t="s">
        <v>1246</v>
      </c>
      <c r="T214" t="s">
        <v>110</v>
      </c>
      <c r="U214" t="s">
        <v>1201</v>
      </c>
    </row>
    <row r="215" spans="1:21" x14ac:dyDescent="0.25">
      <c r="A215" t="s">
        <v>1639</v>
      </c>
      <c r="B215" s="8">
        <v>45789</v>
      </c>
      <c r="C215" t="s">
        <v>1429</v>
      </c>
      <c r="D215" t="s">
        <v>552</v>
      </c>
      <c r="E215" t="s">
        <v>218</v>
      </c>
      <c r="F215">
        <v>41</v>
      </c>
      <c r="G215" t="s">
        <v>2</v>
      </c>
      <c r="H215" t="s">
        <v>3</v>
      </c>
      <c r="I215" t="s">
        <v>49</v>
      </c>
      <c r="J215" t="s">
        <v>56</v>
      </c>
      <c r="K215" t="s">
        <v>43</v>
      </c>
      <c r="L215">
        <v>1</v>
      </c>
      <c r="M215" s="12">
        <v>31999</v>
      </c>
      <c r="N215" s="12">
        <v>25599.200000000001</v>
      </c>
      <c r="O215">
        <v>2</v>
      </c>
      <c r="P215" s="12">
        <v>31359.02</v>
      </c>
      <c r="Q215" s="12">
        <v>25599.200000000001</v>
      </c>
      <c r="R215" s="12">
        <v>5759.82</v>
      </c>
      <c r="S215" t="s">
        <v>113</v>
      </c>
      <c r="T215" t="s">
        <v>111</v>
      </c>
      <c r="U215" t="s">
        <v>1205</v>
      </c>
    </row>
    <row r="216" spans="1:21" x14ac:dyDescent="0.25">
      <c r="A216" t="s">
        <v>1641</v>
      </c>
      <c r="B216" s="8">
        <v>45688</v>
      </c>
      <c r="C216" t="s">
        <v>4617</v>
      </c>
      <c r="D216" t="s">
        <v>617</v>
      </c>
      <c r="E216" t="s">
        <v>198</v>
      </c>
      <c r="F216">
        <v>42</v>
      </c>
      <c r="G216" t="s">
        <v>16</v>
      </c>
      <c r="H216" t="s">
        <v>15</v>
      </c>
      <c r="I216" t="s">
        <v>57</v>
      </c>
      <c r="J216" t="s">
        <v>67</v>
      </c>
      <c r="K216" t="s">
        <v>64</v>
      </c>
      <c r="L216">
        <v>5</v>
      </c>
      <c r="M216" s="12">
        <v>150</v>
      </c>
      <c r="N216" s="12">
        <v>97.5</v>
      </c>
      <c r="O216">
        <v>10</v>
      </c>
      <c r="P216" s="12">
        <v>675</v>
      </c>
      <c r="Q216" s="12">
        <v>487.5</v>
      </c>
      <c r="R216" s="12">
        <v>187.5</v>
      </c>
      <c r="S216" t="s">
        <v>1246</v>
      </c>
      <c r="T216" t="s">
        <v>109</v>
      </c>
      <c r="U216" t="s">
        <v>1207</v>
      </c>
    </row>
    <row r="217" spans="1:21" x14ac:dyDescent="0.25">
      <c r="A217" t="s">
        <v>1643</v>
      </c>
      <c r="B217" s="8">
        <v>45663</v>
      </c>
      <c r="C217" t="s">
        <v>1925</v>
      </c>
      <c r="D217" t="s">
        <v>765</v>
      </c>
      <c r="E217" t="s">
        <v>218</v>
      </c>
      <c r="F217">
        <v>25</v>
      </c>
      <c r="G217" t="s">
        <v>14</v>
      </c>
      <c r="H217" t="s">
        <v>15</v>
      </c>
      <c r="I217" t="s">
        <v>21</v>
      </c>
      <c r="J217" t="s">
        <v>23</v>
      </c>
      <c r="K217" t="s">
        <v>22</v>
      </c>
      <c r="L217">
        <v>3</v>
      </c>
      <c r="M217" s="12">
        <v>54999</v>
      </c>
      <c r="N217" s="12">
        <v>45099.18</v>
      </c>
      <c r="O217">
        <v>8</v>
      </c>
      <c r="P217" s="12">
        <v>151797.24000000002</v>
      </c>
      <c r="Q217" s="12">
        <v>135297.54</v>
      </c>
      <c r="R217" s="12">
        <v>16499.700000000012</v>
      </c>
      <c r="S217" t="s">
        <v>1246</v>
      </c>
      <c r="T217" t="s">
        <v>109</v>
      </c>
      <c r="U217" t="s">
        <v>1211</v>
      </c>
    </row>
    <row r="218" spans="1:21" x14ac:dyDescent="0.25">
      <c r="A218" t="s">
        <v>1645</v>
      </c>
      <c r="B218" s="8">
        <v>45980</v>
      </c>
      <c r="C218" t="s">
        <v>1988</v>
      </c>
      <c r="D218" t="s">
        <v>703</v>
      </c>
      <c r="E218" t="s">
        <v>198</v>
      </c>
      <c r="F218">
        <v>38</v>
      </c>
      <c r="G218" t="s">
        <v>16</v>
      </c>
      <c r="H218" t="s">
        <v>15</v>
      </c>
      <c r="I218" t="s">
        <v>53</v>
      </c>
      <c r="J218" t="s">
        <v>48</v>
      </c>
      <c r="K218" t="s">
        <v>43</v>
      </c>
      <c r="L218">
        <v>1</v>
      </c>
      <c r="M218" s="12">
        <v>6499</v>
      </c>
      <c r="N218" s="12">
        <v>4549.2999999999993</v>
      </c>
      <c r="O218">
        <v>18</v>
      </c>
      <c r="P218" s="12">
        <v>5329.18</v>
      </c>
      <c r="Q218" s="12">
        <v>4549.2999999999993</v>
      </c>
      <c r="R218" s="12">
        <v>779.88000000000102</v>
      </c>
      <c r="S218" t="s">
        <v>1249</v>
      </c>
      <c r="T218" t="s">
        <v>111</v>
      </c>
      <c r="U218" t="s">
        <v>1198</v>
      </c>
    </row>
    <row r="219" spans="1:21" x14ac:dyDescent="0.25">
      <c r="A219" t="s">
        <v>1647</v>
      </c>
      <c r="B219" s="8">
        <v>45948</v>
      </c>
      <c r="C219" t="s">
        <v>1829</v>
      </c>
      <c r="D219" t="s">
        <v>657</v>
      </c>
      <c r="E219" t="s">
        <v>198</v>
      </c>
      <c r="F219">
        <v>49</v>
      </c>
      <c r="G219" t="s">
        <v>14</v>
      </c>
      <c r="H219" t="s">
        <v>15</v>
      </c>
      <c r="I219" t="s">
        <v>51</v>
      </c>
      <c r="J219" t="s">
        <v>54</v>
      </c>
      <c r="K219" t="s">
        <v>43</v>
      </c>
      <c r="L219">
        <v>1</v>
      </c>
      <c r="M219" s="12">
        <v>27499</v>
      </c>
      <c r="N219" s="12">
        <v>21724.210000000003</v>
      </c>
      <c r="O219">
        <v>5</v>
      </c>
      <c r="P219" s="12">
        <v>26124.05</v>
      </c>
      <c r="Q219" s="12">
        <v>21724.210000000003</v>
      </c>
      <c r="R219" s="12">
        <v>4399.8399999999965</v>
      </c>
      <c r="S219" t="s">
        <v>1246</v>
      </c>
      <c r="T219" t="s">
        <v>108</v>
      </c>
      <c r="U219" t="s">
        <v>1205</v>
      </c>
    </row>
    <row r="220" spans="1:21" x14ac:dyDescent="0.25">
      <c r="A220" t="s">
        <v>1649</v>
      </c>
      <c r="B220" s="8">
        <v>45984</v>
      </c>
      <c r="C220" t="s">
        <v>1366</v>
      </c>
      <c r="D220" t="s">
        <v>381</v>
      </c>
      <c r="E220" t="s">
        <v>218</v>
      </c>
      <c r="F220">
        <v>55</v>
      </c>
      <c r="G220" t="s">
        <v>2</v>
      </c>
      <c r="H220" t="s">
        <v>3</v>
      </c>
      <c r="I220" t="s">
        <v>45</v>
      </c>
      <c r="J220" t="s">
        <v>46</v>
      </c>
      <c r="K220" t="s">
        <v>43</v>
      </c>
      <c r="L220">
        <v>1</v>
      </c>
      <c r="M220" s="12">
        <v>11999</v>
      </c>
      <c r="N220" s="12">
        <v>8999.25</v>
      </c>
      <c r="O220">
        <v>18</v>
      </c>
      <c r="P220" s="12">
        <v>9839.18</v>
      </c>
      <c r="Q220" s="12">
        <v>8999.25</v>
      </c>
      <c r="R220" s="12">
        <v>839.93000000000029</v>
      </c>
      <c r="S220" t="s">
        <v>1246</v>
      </c>
      <c r="T220" t="s">
        <v>111</v>
      </c>
      <c r="U220" t="s">
        <v>1196</v>
      </c>
    </row>
    <row r="221" spans="1:21" x14ac:dyDescent="0.25">
      <c r="A221" t="s">
        <v>1651</v>
      </c>
      <c r="B221" s="8">
        <v>45835</v>
      </c>
      <c r="C221" t="s">
        <v>1971</v>
      </c>
      <c r="D221" t="s">
        <v>393</v>
      </c>
      <c r="E221" t="s">
        <v>198</v>
      </c>
      <c r="F221">
        <v>46</v>
      </c>
      <c r="G221" t="s">
        <v>14</v>
      </c>
      <c r="H221" t="s">
        <v>15</v>
      </c>
      <c r="I221" t="s">
        <v>28</v>
      </c>
      <c r="J221" t="s">
        <v>35</v>
      </c>
      <c r="K221" t="s">
        <v>22</v>
      </c>
      <c r="L221">
        <v>4</v>
      </c>
      <c r="M221" s="12">
        <v>16499</v>
      </c>
      <c r="N221" s="12">
        <v>14519.12</v>
      </c>
      <c r="O221">
        <v>5</v>
      </c>
      <c r="P221" s="12">
        <v>62696.2</v>
      </c>
      <c r="Q221" s="12">
        <v>58076.480000000003</v>
      </c>
      <c r="R221" s="12">
        <v>4619.7199999999939</v>
      </c>
      <c r="S221" t="s">
        <v>113</v>
      </c>
      <c r="T221" t="s">
        <v>107</v>
      </c>
      <c r="U221" t="s">
        <v>1205</v>
      </c>
    </row>
    <row r="222" spans="1:21" x14ac:dyDescent="0.25">
      <c r="A222" t="s">
        <v>1653</v>
      </c>
      <c r="B222" s="8">
        <v>45865</v>
      </c>
      <c r="C222" t="s">
        <v>3827</v>
      </c>
      <c r="D222" t="s">
        <v>982</v>
      </c>
      <c r="E222" t="s">
        <v>218</v>
      </c>
      <c r="F222">
        <v>29</v>
      </c>
      <c r="G222" t="s">
        <v>14</v>
      </c>
      <c r="H222" t="s">
        <v>15</v>
      </c>
      <c r="I222" t="s">
        <v>40</v>
      </c>
      <c r="J222" t="s">
        <v>39</v>
      </c>
      <c r="K222" t="s">
        <v>22</v>
      </c>
      <c r="L222">
        <v>3</v>
      </c>
      <c r="M222" s="12">
        <v>1100</v>
      </c>
      <c r="N222" s="12">
        <v>715</v>
      </c>
      <c r="O222">
        <v>8</v>
      </c>
      <c r="P222" s="12">
        <v>3036</v>
      </c>
      <c r="Q222" s="12">
        <v>2145</v>
      </c>
      <c r="R222" s="12">
        <v>891</v>
      </c>
      <c r="S222" t="s">
        <v>1246</v>
      </c>
      <c r="T222" t="s">
        <v>109</v>
      </c>
      <c r="U222" t="s">
        <v>1199</v>
      </c>
    </row>
    <row r="223" spans="1:21" x14ac:dyDescent="0.25">
      <c r="A223" t="s">
        <v>1655</v>
      </c>
      <c r="B223" s="8">
        <v>45911</v>
      </c>
      <c r="C223" t="s">
        <v>1454</v>
      </c>
      <c r="D223" t="s">
        <v>1043</v>
      </c>
      <c r="E223" t="s">
        <v>218</v>
      </c>
      <c r="F223">
        <v>57</v>
      </c>
      <c r="G223" t="s">
        <v>10</v>
      </c>
      <c r="H223" t="s">
        <v>8</v>
      </c>
      <c r="I223" t="s">
        <v>40</v>
      </c>
      <c r="J223" t="s">
        <v>39</v>
      </c>
      <c r="K223" t="s">
        <v>22</v>
      </c>
      <c r="L223">
        <v>2</v>
      </c>
      <c r="M223" s="12">
        <v>1100</v>
      </c>
      <c r="N223" s="12">
        <v>715</v>
      </c>
      <c r="O223">
        <v>7</v>
      </c>
      <c r="P223" s="12">
        <v>2045.9999999999998</v>
      </c>
      <c r="Q223" s="12">
        <v>1430</v>
      </c>
      <c r="R223" s="12">
        <v>615.99999999999977</v>
      </c>
      <c r="S223" t="s">
        <v>1246</v>
      </c>
      <c r="T223" t="s">
        <v>109</v>
      </c>
      <c r="U223" t="s">
        <v>1209</v>
      </c>
    </row>
    <row r="224" spans="1:21" x14ac:dyDescent="0.25">
      <c r="A224" t="s">
        <v>1657</v>
      </c>
      <c r="B224" s="8">
        <v>45779</v>
      </c>
      <c r="C224" t="s">
        <v>1852</v>
      </c>
      <c r="D224" t="s">
        <v>439</v>
      </c>
      <c r="E224" t="s">
        <v>198</v>
      </c>
      <c r="F224">
        <v>57</v>
      </c>
      <c r="G224" t="s">
        <v>10</v>
      </c>
      <c r="H224" t="s">
        <v>8</v>
      </c>
      <c r="I224" t="s">
        <v>30</v>
      </c>
      <c r="J224" t="s">
        <v>41</v>
      </c>
      <c r="K224" t="s">
        <v>22</v>
      </c>
      <c r="L224">
        <v>3</v>
      </c>
      <c r="M224" s="12">
        <v>13749</v>
      </c>
      <c r="N224" s="12">
        <v>10999.2</v>
      </c>
      <c r="O224">
        <v>9</v>
      </c>
      <c r="P224" s="12">
        <v>37534.770000000004</v>
      </c>
      <c r="Q224" s="12">
        <v>32997.600000000006</v>
      </c>
      <c r="R224" s="12">
        <v>4537.1699999999983</v>
      </c>
      <c r="S224" t="s">
        <v>1249</v>
      </c>
      <c r="T224" t="s">
        <v>107</v>
      </c>
      <c r="U224" t="s">
        <v>1201</v>
      </c>
    </row>
    <row r="225" spans="1:21" x14ac:dyDescent="0.25">
      <c r="A225" t="s">
        <v>1658</v>
      </c>
      <c r="B225" s="8">
        <v>45786</v>
      </c>
      <c r="C225" t="s">
        <v>2449</v>
      </c>
      <c r="D225" t="s">
        <v>867</v>
      </c>
      <c r="E225" t="s">
        <v>218</v>
      </c>
      <c r="F225">
        <v>33</v>
      </c>
      <c r="G225" t="s">
        <v>5</v>
      </c>
      <c r="H225" t="s">
        <v>3</v>
      </c>
      <c r="I225" t="s">
        <v>49</v>
      </c>
      <c r="J225" t="s">
        <v>56</v>
      </c>
      <c r="K225" t="s">
        <v>43</v>
      </c>
      <c r="L225">
        <v>2</v>
      </c>
      <c r="M225" s="12">
        <v>31999</v>
      </c>
      <c r="N225" s="12">
        <v>25599.200000000001</v>
      </c>
      <c r="O225">
        <v>4</v>
      </c>
      <c r="P225" s="12">
        <v>61438.079999999994</v>
      </c>
      <c r="Q225" s="12">
        <v>51198.400000000001</v>
      </c>
      <c r="R225" s="12">
        <v>10239.679999999993</v>
      </c>
      <c r="S225" t="s">
        <v>113</v>
      </c>
      <c r="T225" t="s">
        <v>109</v>
      </c>
      <c r="U225" t="s">
        <v>1198</v>
      </c>
    </row>
    <row r="226" spans="1:21" x14ac:dyDescent="0.25">
      <c r="A226" t="s">
        <v>1660</v>
      </c>
      <c r="B226" s="8">
        <v>45985</v>
      </c>
      <c r="C226" t="s">
        <v>1897</v>
      </c>
      <c r="D226" t="s">
        <v>409</v>
      </c>
      <c r="E226" t="s">
        <v>198</v>
      </c>
      <c r="F226">
        <v>62</v>
      </c>
      <c r="G226" t="s">
        <v>10</v>
      </c>
      <c r="H226" t="s">
        <v>8</v>
      </c>
      <c r="I226" t="s">
        <v>32</v>
      </c>
      <c r="J226" t="s">
        <v>29</v>
      </c>
      <c r="K226" t="s">
        <v>22</v>
      </c>
      <c r="L226">
        <v>3</v>
      </c>
      <c r="M226" s="12">
        <v>9500</v>
      </c>
      <c r="N226" s="12">
        <v>6650</v>
      </c>
      <c r="O226">
        <v>16</v>
      </c>
      <c r="P226" s="12">
        <v>23940</v>
      </c>
      <c r="Q226" s="12">
        <v>19950</v>
      </c>
      <c r="R226" s="12">
        <v>3990</v>
      </c>
      <c r="S226" t="s">
        <v>1246</v>
      </c>
      <c r="T226" t="s">
        <v>107</v>
      </c>
      <c r="U226" t="s">
        <v>1205</v>
      </c>
    </row>
    <row r="227" spans="1:21" x14ac:dyDescent="0.25">
      <c r="A227" t="s">
        <v>1662</v>
      </c>
      <c r="B227" s="8">
        <v>46005</v>
      </c>
      <c r="C227" t="s">
        <v>1436</v>
      </c>
      <c r="D227" t="s">
        <v>1148</v>
      </c>
      <c r="E227" t="s">
        <v>218</v>
      </c>
      <c r="F227">
        <v>43</v>
      </c>
      <c r="G227" t="s">
        <v>289</v>
      </c>
      <c r="H227" t="s">
        <v>3</v>
      </c>
      <c r="I227" t="s">
        <v>55</v>
      </c>
      <c r="J227" t="s">
        <v>65</v>
      </c>
      <c r="K227" t="s">
        <v>64</v>
      </c>
      <c r="L227">
        <v>2</v>
      </c>
      <c r="M227" s="12">
        <v>80</v>
      </c>
      <c r="N227" s="12">
        <v>56</v>
      </c>
      <c r="O227">
        <v>6</v>
      </c>
      <c r="P227" s="12">
        <v>150.39999999999998</v>
      </c>
      <c r="Q227" s="12">
        <v>112</v>
      </c>
      <c r="R227" s="12">
        <v>38.399999999999977</v>
      </c>
      <c r="S227" t="s">
        <v>1246</v>
      </c>
      <c r="T227" t="s">
        <v>108</v>
      </c>
      <c r="U227" t="s">
        <v>1201</v>
      </c>
    </row>
    <row r="228" spans="1:21" x14ac:dyDescent="0.25">
      <c r="A228" t="s">
        <v>1664</v>
      </c>
      <c r="B228" s="8">
        <v>45773</v>
      </c>
      <c r="C228" t="s">
        <v>3153</v>
      </c>
      <c r="D228" t="s">
        <v>644</v>
      </c>
      <c r="E228" t="s">
        <v>218</v>
      </c>
      <c r="F228">
        <v>54</v>
      </c>
      <c r="G228" t="s">
        <v>9</v>
      </c>
      <c r="H228" t="s">
        <v>8</v>
      </c>
      <c r="I228" t="s">
        <v>38</v>
      </c>
      <c r="J228" t="s">
        <v>37</v>
      </c>
      <c r="K228" t="s">
        <v>22</v>
      </c>
      <c r="L228">
        <v>2</v>
      </c>
      <c r="M228" s="12">
        <v>1650</v>
      </c>
      <c r="N228" s="12">
        <v>990</v>
      </c>
      <c r="O228">
        <v>5</v>
      </c>
      <c r="P228" s="12">
        <v>3135</v>
      </c>
      <c r="Q228" s="12">
        <v>1980</v>
      </c>
      <c r="R228" s="12">
        <v>1155</v>
      </c>
      <c r="S228" t="s">
        <v>1246</v>
      </c>
      <c r="T228" t="s">
        <v>107</v>
      </c>
      <c r="U228" t="s">
        <v>1198</v>
      </c>
    </row>
    <row r="229" spans="1:21" x14ac:dyDescent="0.25">
      <c r="A229" t="s">
        <v>1666</v>
      </c>
      <c r="B229" s="8">
        <v>46019</v>
      </c>
      <c r="C229" t="s">
        <v>4152</v>
      </c>
      <c r="D229" t="s">
        <v>747</v>
      </c>
      <c r="E229" t="s">
        <v>218</v>
      </c>
      <c r="F229">
        <v>39</v>
      </c>
      <c r="G229" t="s">
        <v>16</v>
      </c>
      <c r="H229" t="s">
        <v>15</v>
      </c>
      <c r="I229" t="s">
        <v>26</v>
      </c>
      <c r="J229" t="s">
        <v>27</v>
      </c>
      <c r="K229" t="s">
        <v>22</v>
      </c>
      <c r="L229">
        <v>4</v>
      </c>
      <c r="M229" s="12">
        <v>27499</v>
      </c>
      <c r="N229" s="12">
        <v>23374.149999999998</v>
      </c>
      <c r="O229">
        <v>14</v>
      </c>
      <c r="P229" s="12">
        <v>94596.56</v>
      </c>
      <c r="Q229" s="12">
        <v>93496.599999999991</v>
      </c>
      <c r="R229" s="12">
        <v>1099.9600000000064</v>
      </c>
      <c r="S229" t="s">
        <v>113</v>
      </c>
      <c r="T229" t="s">
        <v>107</v>
      </c>
      <c r="U229" t="s">
        <v>1198</v>
      </c>
    </row>
    <row r="230" spans="1:21" x14ac:dyDescent="0.25">
      <c r="A230" t="s">
        <v>1668</v>
      </c>
      <c r="B230" s="8">
        <v>45978</v>
      </c>
      <c r="C230" t="s">
        <v>2036</v>
      </c>
      <c r="D230" t="s">
        <v>1077</v>
      </c>
      <c r="E230" t="s">
        <v>218</v>
      </c>
      <c r="F230">
        <v>32</v>
      </c>
      <c r="G230" t="s">
        <v>16</v>
      </c>
      <c r="H230" t="s">
        <v>15</v>
      </c>
      <c r="I230" t="s">
        <v>21</v>
      </c>
      <c r="J230" t="s">
        <v>23</v>
      </c>
      <c r="K230" t="s">
        <v>22</v>
      </c>
      <c r="L230">
        <v>4</v>
      </c>
      <c r="M230" s="12">
        <v>54999</v>
      </c>
      <c r="N230" s="12">
        <v>45099.18</v>
      </c>
      <c r="O230">
        <v>15</v>
      </c>
      <c r="P230" s="12">
        <v>186996.6</v>
      </c>
      <c r="Q230" s="12">
        <v>180396.72</v>
      </c>
      <c r="R230" s="12">
        <v>6599.8800000000047</v>
      </c>
      <c r="S230" t="s">
        <v>113</v>
      </c>
      <c r="T230" t="s">
        <v>107</v>
      </c>
      <c r="U230" t="s">
        <v>1194</v>
      </c>
    </row>
    <row r="231" spans="1:21" x14ac:dyDescent="0.25">
      <c r="A231" t="s">
        <v>1670</v>
      </c>
      <c r="B231" s="8">
        <v>45735</v>
      </c>
      <c r="C231" t="s">
        <v>3251</v>
      </c>
      <c r="D231" t="s">
        <v>379</v>
      </c>
      <c r="E231" t="s">
        <v>198</v>
      </c>
      <c r="F231">
        <v>53</v>
      </c>
      <c r="G231" t="s">
        <v>2</v>
      </c>
      <c r="H231" t="s">
        <v>3</v>
      </c>
      <c r="I231" t="s">
        <v>47</v>
      </c>
      <c r="J231" t="s">
        <v>52</v>
      </c>
      <c r="K231" t="s">
        <v>43</v>
      </c>
      <c r="L231">
        <v>2</v>
      </c>
      <c r="M231" s="12">
        <v>42999</v>
      </c>
      <c r="N231" s="12">
        <v>33539.22</v>
      </c>
      <c r="O231">
        <v>8</v>
      </c>
      <c r="P231" s="12">
        <v>79118.16</v>
      </c>
      <c r="Q231" s="12">
        <v>67078.44</v>
      </c>
      <c r="R231" s="12">
        <v>12039.720000000001</v>
      </c>
      <c r="S231" t="s">
        <v>113</v>
      </c>
      <c r="T231" t="s">
        <v>108</v>
      </c>
      <c r="U231" t="s">
        <v>1196</v>
      </c>
    </row>
    <row r="232" spans="1:21" x14ac:dyDescent="0.25">
      <c r="A232" t="s">
        <v>1672</v>
      </c>
      <c r="B232" s="8">
        <v>45749</v>
      </c>
      <c r="C232" t="s">
        <v>5075</v>
      </c>
      <c r="D232" t="s">
        <v>407</v>
      </c>
      <c r="E232" t="s">
        <v>218</v>
      </c>
      <c r="F232">
        <v>37</v>
      </c>
      <c r="G232" t="s">
        <v>289</v>
      </c>
      <c r="H232" t="s">
        <v>3</v>
      </c>
      <c r="I232" t="s">
        <v>24</v>
      </c>
      <c r="J232" t="s">
        <v>25</v>
      </c>
      <c r="K232" t="s">
        <v>22</v>
      </c>
      <c r="L232">
        <v>2</v>
      </c>
      <c r="M232" s="12">
        <v>35800</v>
      </c>
      <c r="N232" s="12">
        <v>28640</v>
      </c>
      <c r="O232">
        <v>8</v>
      </c>
      <c r="P232" s="12">
        <v>65872</v>
      </c>
      <c r="Q232" s="12">
        <v>57280</v>
      </c>
      <c r="R232" s="12">
        <v>8592</v>
      </c>
      <c r="S232" t="s">
        <v>113</v>
      </c>
      <c r="T232" t="s">
        <v>109</v>
      </c>
      <c r="U232" t="s">
        <v>1209</v>
      </c>
    </row>
    <row r="233" spans="1:21" x14ac:dyDescent="0.25">
      <c r="A233" t="s">
        <v>1674</v>
      </c>
      <c r="B233" s="8">
        <v>45948</v>
      </c>
      <c r="C233" t="s">
        <v>1870</v>
      </c>
      <c r="D233" t="s">
        <v>831</v>
      </c>
      <c r="E233" t="s">
        <v>198</v>
      </c>
      <c r="F233">
        <v>57</v>
      </c>
      <c r="G233" t="s">
        <v>11</v>
      </c>
      <c r="H233" t="s">
        <v>12</v>
      </c>
      <c r="I233" t="s">
        <v>32</v>
      </c>
      <c r="J233" t="s">
        <v>29</v>
      </c>
      <c r="K233" t="s">
        <v>22</v>
      </c>
      <c r="L233">
        <v>3</v>
      </c>
      <c r="M233" s="12">
        <v>9500</v>
      </c>
      <c r="N233" s="12">
        <v>6650</v>
      </c>
      <c r="O233">
        <v>4</v>
      </c>
      <c r="P233" s="12">
        <v>27360</v>
      </c>
      <c r="Q233" s="12">
        <v>19950</v>
      </c>
      <c r="R233" s="12">
        <v>7410</v>
      </c>
      <c r="S233" t="s">
        <v>113</v>
      </c>
      <c r="T233" t="s">
        <v>108</v>
      </c>
      <c r="U233" t="s">
        <v>1199</v>
      </c>
    </row>
    <row r="234" spans="1:21" x14ac:dyDescent="0.25">
      <c r="A234" t="s">
        <v>1676</v>
      </c>
      <c r="B234" s="8">
        <v>45859</v>
      </c>
      <c r="C234" t="s">
        <v>4051</v>
      </c>
      <c r="D234" t="s">
        <v>768</v>
      </c>
      <c r="E234" t="s">
        <v>198</v>
      </c>
      <c r="F234">
        <v>36</v>
      </c>
      <c r="G234" t="s">
        <v>289</v>
      </c>
      <c r="H234" t="s">
        <v>3</v>
      </c>
      <c r="I234" t="s">
        <v>30</v>
      </c>
      <c r="J234" t="s">
        <v>41</v>
      </c>
      <c r="K234" t="s">
        <v>22</v>
      </c>
      <c r="L234">
        <v>3</v>
      </c>
      <c r="M234" s="12">
        <v>13749</v>
      </c>
      <c r="N234" s="12">
        <v>10999.2</v>
      </c>
      <c r="O234">
        <v>3</v>
      </c>
      <c r="P234" s="12">
        <v>40009.589999999997</v>
      </c>
      <c r="Q234" s="12">
        <v>32997.600000000006</v>
      </c>
      <c r="R234" s="12">
        <v>7011.9899999999907</v>
      </c>
      <c r="S234" t="s">
        <v>1249</v>
      </c>
      <c r="T234" t="s">
        <v>108</v>
      </c>
      <c r="U234" t="s">
        <v>1196</v>
      </c>
    </row>
    <row r="235" spans="1:21" x14ac:dyDescent="0.25">
      <c r="A235" t="s">
        <v>1678</v>
      </c>
      <c r="B235" s="8">
        <v>45871</v>
      </c>
      <c r="C235" t="s">
        <v>3454</v>
      </c>
      <c r="D235" t="s">
        <v>939</v>
      </c>
      <c r="E235" t="s">
        <v>198</v>
      </c>
      <c r="F235">
        <v>51</v>
      </c>
      <c r="G235" t="s">
        <v>9</v>
      </c>
      <c r="H235" t="s">
        <v>8</v>
      </c>
      <c r="I235" t="s">
        <v>49</v>
      </c>
      <c r="J235" t="s">
        <v>56</v>
      </c>
      <c r="K235" t="s">
        <v>43</v>
      </c>
      <c r="L235">
        <v>1</v>
      </c>
      <c r="M235" s="12">
        <v>31999</v>
      </c>
      <c r="N235" s="12">
        <v>25599.200000000001</v>
      </c>
      <c r="O235">
        <v>6</v>
      </c>
      <c r="P235" s="12">
        <v>30079.059999999998</v>
      </c>
      <c r="Q235" s="12">
        <v>25599.200000000001</v>
      </c>
      <c r="R235" s="12">
        <v>4479.8599999999969</v>
      </c>
      <c r="S235" t="s">
        <v>113</v>
      </c>
      <c r="T235" t="s">
        <v>110</v>
      </c>
      <c r="U235" t="s">
        <v>1198</v>
      </c>
    </row>
    <row r="236" spans="1:21" x14ac:dyDescent="0.25">
      <c r="A236" t="s">
        <v>1679</v>
      </c>
      <c r="B236" s="8">
        <v>45908</v>
      </c>
      <c r="C236" t="s">
        <v>2563</v>
      </c>
      <c r="D236" t="s">
        <v>815</v>
      </c>
      <c r="E236" t="s">
        <v>218</v>
      </c>
      <c r="F236">
        <v>37</v>
      </c>
      <c r="G236" t="s">
        <v>9</v>
      </c>
      <c r="H236" t="s">
        <v>8</v>
      </c>
      <c r="I236" t="s">
        <v>55</v>
      </c>
      <c r="J236" t="s">
        <v>65</v>
      </c>
      <c r="K236" t="s">
        <v>64</v>
      </c>
      <c r="L236">
        <v>1</v>
      </c>
      <c r="M236" s="12">
        <v>80</v>
      </c>
      <c r="N236" s="12">
        <v>56</v>
      </c>
      <c r="O236">
        <v>2</v>
      </c>
      <c r="P236" s="12">
        <v>78.400000000000006</v>
      </c>
      <c r="Q236" s="12">
        <v>56</v>
      </c>
      <c r="R236" s="12">
        <v>22.400000000000006</v>
      </c>
      <c r="S236" t="s">
        <v>113</v>
      </c>
      <c r="T236" t="s">
        <v>108</v>
      </c>
      <c r="U236" t="s">
        <v>1198</v>
      </c>
    </row>
    <row r="237" spans="1:21" x14ac:dyDescent="0.25">
      <c r="A237" t="s">
        <v>1681</v>
      </c>
      <c r="B237" s="8">
        <v>45668</v>
      </c>
      <c r="C237" t="s">
        <v>2787</v>
      </c>
      <c r="D237" t="s">
        <v>497</v>
      </c>
      <c r="E237" t="s">
        <v>218</v>
      </c>
      <c r="F237">
        <v>32</v>
      </c>
      <c r="G237" t="s">
        <v>17</v>
      </c>
      <c r="H237" t="s">
        <v>15</v>
      </c>
      <c r="I237" t="s">
        <v>24</v>
      </c>
      <c r="J237" t="s">
        <v>25</v>
      </c>
      <c r="K237" t="s">
        <v>22</v>
      </c>
      <c r="L237">
        <v>4</v>
      </c>
      <c r="M237" s="12">
        <v>35800</v>
      </c>
      <c r="N237" s="12">
        <v>28640</v>
      </c>
      <c r="O237">
        <v>9</v>
      </c>
      <c r="P237" s="12">
        <v>130312</v>
      </c>
      <c r="Q237" s="12">
        <v>114560</v>
      </c>
      <c r="R237" s="12">
        <v>15752</v>
      </c>
      <c r="S237" t="s">
        <v>1246</v>
      </c>
      <c r="T237" t="s">
        <v>107</v>
      </c>
      <c r="U237" t="s">
        <v>1211</v>
      </c>
    </row>
    <row r="238" spans="1:21" x14ac:dyDescent="0.25">
      <c r="A238" t="s">
        <v>1683</v>
      </c>
      <c r="B238" s="8">
        <v>45982</v>
      </c>
      <c r="C238" t="s">
        <v>4028</v>
      </c>
      <c r="D238" t="s">
        <v>1082</v>
      </c>
      <c r="E238" t="s">
        <v>218</v>
      </c>
      <c r="F238">
        <v>22</v>
      </c>
      <c r="G238" t="s">
        <v>11</v>
      </c>
      <c r="H238" t="s">
        <v>12</v>
      </c>
      <c r="I238" t="s">
        <v>38</v>
      </c>
      <c r="J238" t="s">
        <v>37</v>
      </c>
      <c r="K238" t="s">
        <v>22</v>
      </c>
      <c r="L238">
        <v>2</v>
      </c>
      <c r="M238" s="12">
        <v>1650</v>
      </c>
      <c r="N238" s="12">
        <v>990</v>
      </c>
      <c r="O238">
        <v>14</v>
      </c>
      <c r="P238" s="12">
        <v>2838</v>
      </c>
      <c r="Q238" s="12">
        <v>1980</v>
      </c>
      <c r="R238" s="12">
        <v>858</v>
      </c>
      <c r="S238" t="s">
        <v>113</v>
      </c>
      <c r="T238" t="s">
        <v>107</v>
      </c>
      <c r="U238" t="s">
        <v>1199</v>
      </c>
    </row>
    <row r="239" spans="1:21" x14ac:dyDescent="0.25">
      <c r="A239" t="s">
        <v>1685</v>
      </c>
      <c r="B239" s="8">
        <v>45859</v>
      </c>
      <c r="C239" t="s">
        <v>1781</v>
      </c>
      <c r="D239" t="s">
        <v>871</v>
      </c>
      <c r="E239" t="s">
        <v>218</v>
      </c>
      <c r="F239">
        <v>35</v>
      </c>
      <c r="G239" t="s">
        <v>10</v>
      </c>
      <c r="H239" t="s">
        <v>8</v>
      </c>
      <c r="I239" t="s">
        <v>53</v>
      </c>
      <c r="J239" t="s">
        <v>48</v>
      </c>
      <c r="K239" t="s">
        <v>43</v>
      </c>
      <c r="L239">
        <v>1</v>
      </c>
      <c r="M239" s="12">
        <v>6499</v>
      </c>
      <c r="N239" s="12">
        <v>4549.2999999999993</v>
      </c>
      <c r="O239">
        <v>9</v>
      </c>
      <c r="P239" s="12">
        <v>5914.09</v>
      </c>
      <c r="Q239" s="12">
        <v>4549.2999999999993</v>
      </c>
      <c r="R239" s="12">
        <v>1364.7900000000009</v>
      </c>
      <c r="S239" t="s">
        <v>113</v>
      </c>
      <c r="T239" t="s">
        <v>107</v>
      </c>
      <c r="U239" t="s">
        <v>1209</v>
      </c>
    </row>
    <row r="240" spans="1:21" x14ac:dyDescent="0.25">
      <c r="A240" t="s">
        <v>1686</v>
      </c>
      <c r="B240" s="8">
        <v>45768</v>
      </c>
      <c r="C240" t="s">
        <v>1536</v>
      </c>
      <c r="D240" t="s">
        <v>931</v>
      </c>
      <c r="E240" t="s">
        <v>218</v>
      </c>
      <c r="F240">
        <v>53</v>
      </c>
      <c r="G240" t="s">
        <v>10</v>
      </c>
      <c r="H240" t="s">
        <v>8</v>
      </c>
      <c r="I240" t="s">
        <v>32</v>
      </c>
      <c r="J240" t="s">
        <v>29</v>
      </c>
      <c r="K240" t="s">
        <v>22</v>
      </c>
      <c r="L240">
        <v>4</v>
      </c>
      <c r="M240" s="12">
        <v>9500</v>
      </c>
      <c r="N240" s="12">
        <v>6650</v>
      </c>
      <c r="O240">
        <v>5</v>
      </c>
      <c r="P240" s="12">
        <v>36100</v>
      </c>
      <c r="Q240" s="12">
        <v>26600</v>
      </c>
      <c r="R240" s="12">
        <v>9500</v>
      </c>
      <c r="S240" t="s">
        <v>1246</v>
      </c>
      <c r="T240" t="s">
        <v>110</v>
      </c>
      <c r="U240" t="s">
        <v>1198</v>
      </c>
    </row>
    <row r="241" spans="1:21" x14ac:dyDescent="0.25">
      <c r="A241" t="s">
        <v>1687</v>
      </c>
      <c r="B241" s="8">
        <v>45749</v>
      </c>
      <c r="C241" t="s">
        <v>1848</v>
      </c>
      <c r="D241" t="s">
        <v>589</v>
      </c>
      <c r="E241" t="s">
        <v>198</v>
      </c>
      <c r="F241">
        <v>51</v>
      </c>
      <c r="G241" t="s">
        <v>290</v>
      </c>
      <c r="H241" t="s">
        <v>3</v>
      </c>
      <c r="I241" t="s">
        <v>51</v>
      </c>
      <c r="J241" t="s">
        <v>54</v>
      </c>
      <c r="K241" t="s">
        <v>43</v>
      </c>
      <c r="L241">
        <v>5</v>
      </c>
      <c r="M241" s="12">
        <v>27499</v>
      </c>
      <c r="N241" s="12">
        <v>21724.210000000003</v>
      </c>
      <c r="O241">
        <v>9</v>
      </c>
      <c r="P241" s="12">
        <v>125120.45</v>
      </c>
      <c r="Q241" s="12">
        <v>108621.05000000002</v>
      </c>
      <c r="R241" s="12">
        <v>16499.39999999998</v>
      </c>
      <c r="S241" t="s">
        <v>113</v>
      </c>
      <c r="T241" t="s">
        <v>107</v>
      </c>
      <c r="U241" t="s">
        <v>1201</v>
      </c>
    </row>
    <row r="242" spans="1:21" x14ac:dyDescent="0.25">
      <c r="A242" t="s">
        <v>1689</v>
      </c>
      <c r="B242" s="8">
        <v>45887</v>
      </c>
      <c r="C242" t="s">
        <v>1745</v>
      </c>
      <c r="D242" t="s">
        <v>1046</v>
      </c>
      <c r="E242" t="s">
        <v>198</v>
      </c>
      <c r="F242">
        <v>53</v>
      </c>
      <c r="G242" t="s">
        <v>9</v>
      </c>
      <c r="H242" t="s">
        <v>8</v>
      </c>
      <c r="I242" t="s">
        <v>51</v>
      </c>
      <c r="J242" t="s">
        <v>54</v>
      </c>
      <c r="K242" t="s">
        <v>43</v>
      </c>
      <c r="L242">
        <v>1</v>
      </c>
      <c r="M242" s="12">
        <v>27499</v>
      </c>
      <c r="N242" s="12">
        <v>21724.210000000003</v>
      </c>
      <c r="O242">
        <v>5</v>
      </c>
      <c r="P242" s="12">
        <v>26124.05</v>
      </c>
      <c r="Q242" s="12">
        <v>21724.210000000003</v>
      </c>
      <c r="R242" s="12">
        <v>4399.8399999999965</v>
      </c>
      <c r="S242" t="s">
        <v>113</v>
      </c>
      <c r="T242" t="s">
        <v>109</v>
      </c>
      <c r="U242" t="s">
        <v>1198</v>
      </c>
    </row>
    <row r="243" spans="1:21" x14ac:dyDescent="0.25">
      <c r="A243" t="s">
        <v>1691</v>
      </c>
      <c r="B243" s="8">
        <v>45677</v>
      </c>
      <c r="C243" t="s">
        <v>1793</v>
      </c>
      <c r="D243" t="s">
        <v>871</v>
      </c>
      <c r="E243" t="s">
        <v>218</v>
      </c>
      <c r="F243">
        <v>60</v>
      </c>
      <c r="G243" t="s">
        <v>2</v>
      </c>
      <c r="H243" t="s">
        <v>3</v>
      </c>
      <c r="I243" t="s">
        <v>32</v>
      </c>
      <c r="J243" t="s">
        <v>29</v>
      </c>
      <c r="K243" t="s">
        <v>22</v>
      </c>
      <c r="L243">
        <v>2</v>
      </c>
      <c r="M243" s="12">
        <v>9500</v>
      </c>
      <c r="N243" s="12">
        <v>6650</v>
      </c>
      <c r="O243">
        <v>9</v>
      </c>
      <c r="P243" s="12">
        <v>17290</v>
      </c>
      <c r="Q243" s="12">
        <v>13300</v>
      </c>
      <c r="R243" s="12">
        <v>3990</v>
      </c>
      <c r="S243" t="s">
        <v>113</v>
      </c>
      <c r="T243" t="s">
        <v>107</v>
      </c>
      <c r="U243" t="s">
        <v>1211</v>
      </c>
    </row>
    <row r="244" spans="1:21" x14ac:dyDescent="0.25">
      <c r="A244" t="s">
        <v>1693</v>
      </c>
      <c r="B244" s="8">
        <v>45936</v>
      </c>
      <c r="C244" t="s">
        <v>2252</v>
      </c>
      <c r="D244" t="s">
        <v>736</v>
      </c>
      <c r="E244" t="s">
        <v>218</v>
      </c>
      <c r="F244">
        <v>24</v>
      </c>
      <c r="G244" t="s">
        <v>290</v>
      </c>
      <c r="H244" t="s">
        <v>3</v>
      </c>
      <c r="I244" t="s">
        <v>24</v>
      </c>
      <c r="J244" t="s">
        <v>25</v>
      </c>
      <c r="K244" t="s">
        <v>22</v>
      </c>
      <c r="L244">
        <v>4</v>
      </c>
      <c r="M244" s="12">
        <v>35800</v>
      </c>
      <c r="N244" s="12">
        <v>28640</v>
      </c>
      <c r="O244">
        <v>5</v>
      </c>
      <c r="P244" s="12">
        <v>136040</v>
      </c>
      <c r="Q244" s="12">
        <v>114560</v>
      </c>
      <c r="R244" s="12">
        <v>21480</v>
      </c>
      <c r="S244" t="s">
        <v>113</v>
      </c>
      <c r="T244" t="s">
        <v>107</v>
      </c>
      <c r="U244" t="s">
        <v>1199</v>
      </c>
    </row>
    <row r="245" spans="1:21" x14ac:dyDescent="0.25">
      <c r="A245" t="s">
        <v>1695</v>
      </c>
      <c r="B245" s="8">
        <v>45828</v>
      </c>
      <c r="C245" t="s">
        <v>1916</v>
      </c>
      <c r="D245" t="s">
        <v>514</v>
      </c>
      <c r="E245" t="s">
        <v>218</v>
      </c>
      <c r="F245">
        <v>43</v>
      </c>
      <c r="G245" t="s">
        <v>4</v>
      </c>
      <c r="H245" t="s">
        <v>3</v>
      </c>
      <c r="I245" t="s">
        <v>61</v>
      </c>
      <c r="J245" t="s">
        <v>146</v>
      </c>
      <c r="K245" t="s">
        <v>64</v>
      </c>
      <c r="L245">
        <v>2</v>
      </c>
      <c r="M245" s="12">
        <v>250</v>
      </c>
      <c r="N245" s="12">
        <v>155</v>
      </c>
      <c r="O245">
        <v>13</v>
      </c>
      <c r="P245" s="12">
        <v>435</v>
      </c>
      <c r="Q245" s="12">
        <v>310</v>
      </c>
      <c r="R245" s="12">
        <v>125</v>
      </c>
      <c r="S245" t="s">
        <v>1246</v>
      </c>
      <c r="T245" t="s">
        <v>108</v>
      </c>
      <c r="U245" t="s">
        <v>1207</v>
      </c>
    </row>
    <row r="246" spans="1:21" x14ac:dyDescent="0.25">
      <c r="A246" t="s">
        <v>1697</v>
      </c>
      <c r="B246" s="8">
        <v>45755</v>
      </c>
      <c r="C246" t="s">
        <v>2669</v>
      </c>
      <c r="D246" t="s">
        <v>461</v>
      </c>
      <c r="E246" t="s">
        <v>218</v>
      </c>
      <c r="F246">
        <v>24</v>
      </c>
      <c r="G246" t="s">
        <v>11</v>
      </c>
      <c r="H246" t="s">
        <v>12</v>
      </c>
      <c r="I246" t="s">
        <v>55</v>
      </c>
      <c r="J246" t="s">
        <v>65</v>
      </c>
      <c r="K246" t="s">
        <v>64</v>
      </c>
      <c r="L246">
        <v>1</v>
      </c>
      <c r="M246" s="12">
        <v>80</v>
      </c>
      <c r="N246" s="12">
        <v>56</v>
      </c>
      <c r="O246">
        <v>4</v>
      </c>
      <c r="P246" s="12">
        <v>76.8</v>
      </c>
      <c r="Q246" s="12">
        <v>56</v>
      </c>
      <c r="R246" s="12">
        <v>20.799999999999997</v>
      </c>
      <c r="S246" t="s">
        <v>113</v>
      </c>
      <c r="T246" t="s">
        <v>107</v>
      </c>
      <c r="U246" t="s">
        <v>1194</v>
      </c>
    </row>
    <row r="247" spans="1:21" x14ac:dyDescent="0.25">
      <c r="A247" t="s">
        <v>1698</v>
      </c>
      <c r="B247" s="8">
        <v>45869</v>
      </c>
      <c r="C247" t="s">
        <v>2227</v>
      </c>
      <c r="D247" t="s">
        <v>981</v>
      </c>
      <c r="E247" t="s">
        <v>198</v>
      </c>
      <c r="F247">
        <v>19</v>
      </c>
      <c r="G247" t="s">
        <v>7</v>
      </c>
      <c r="H247" t="s">
        <v>8</v>
      </c>
      <c r="I247" t="s">
        <v>59</v>
      </c>
      <c r="J247" t="s">
        <v>73</v>
      </c>
      <c r="K247" t="s">
        <v>64</v>
      </c>
      <c r="L247">
        <v>1</v>
      </c>
      <c r="M247" s="12">
        <v>120</v>
      </c>
      <c r="N247" s="12">
        <v>81.599999999999994</v>
      </c>
      <c r="O247">
        <v>1</v>
      </c>
      <c r="P247" s="12">
        <v>118.8</v>
      </c>
      <c r="Q247" s="12">
        <v>81.599999999999994</v>
      </c>
      <c r="R247" s="12">
        <v>37.200000000000003</v>
      </c>
      <c r="S247" t="s">
        <v>113</v>
      </c>
      <c r="T247" t="s">
        <v>107</v>
      </c>
      <c r="U247" t="s">
        <v>1194</v>
      </c>
    </row>
    <row r="248" spans="1:21" x14ac:dyDescent="0.25">
      <c r="A248" t="s">
        <v>1700</v>
      </c>
      <c r="B248" s="8">
        <v>45686</v>
      </c>
      <c r="C248" t="s">
        <v>3812</v>
      </c>
      <c r="D248" t="s">
        <v>837</v>
      </c>
      <c r="E248" t="s">
        <v>198</v>
      </c>
      <c r="F248">
        <v>47</v>
      </c>
      <c r="G248" t="s">
        <v>290</v>
      </c>
      <c r="H248" t="s">
        <v>3</v>
      </c>
      <c r="I248" t="s">
        <v>57</v>
      </c>
      <c r="J248" t="s">
        <v>67</v>
      </c>
      <c r="K248" t="s">
        <v>64</v>
      </c>
      <c r="L248">
        <v>1</v>
      </c>
      <c r="M248" s="12">
        <v>150</v>
      </c>
      <c r="N248" s="12">
        <v>97.5</v>
      </c>
      <c r="O248">
        <v>10</v>
      </c>
      <c r="P248" s="12">
        <v>135</v>
      </c>
      <c r="Q248" s="12">
        <v>97.5</v>
      </c>
      <c r="R248" s="12">
        <v>37.5</v>
      </c>
      <c r="S248" t="s">
        <v>1246</v>
      </c>
      <c r="T248" t="s">
        <v>109</v>
      </c>
      <c r="U248" t="s">
        <v>1201</v>
      </c>
    </row>
    <row r="249" spans="1:21" x14ac:dyDescent="0.25">
      <c r="A249" t="s">
        <v>1702</v>
      </c>
      <c r="B249" s="8">
        <v>45674</v>
      </c>
      <c r="C249" t="s">
        <v>1760</v>
      </c>
      <c r="D249" t="s">
        <v>414</v>
      </c>
      <c r="E249" t="s">
        <v>198</v>
      </c>
      <c r="F249">
        <v>61</v>
      </c>
      <c r="G249" t="s">
        <v>289</v>
      </c>
      <c r="H249" t="s">
        <v>3</v>
      </c>
      <c r="I249" t="s">
        <v>26</v>
      </c>
      <c r="J249" t="s">
        <v>27</v>
      </c>
      <c r="K249" t="s">
        <v>22</v>
      </c>
      <c r="L249">
        <v>1</v>
      </c>
      <c r="M249" s="12">
        <v>27499</v>
      </c>
      <c r="N249" s="12">
        <v>23374.149999999998</v>
      </c>
      <c r="O249">
        <v>10</v>
      </c>
      <c r="P249" s="12">
        <v>24749.100000000002</v>
      </c>
      <c r="Q249" s="12">
        <v>23374.149999999998</v>
      </c>
      <c r="R249" s="12">
        <v>1374.9500000000044</v>
      </c>
      <c r="S249" t="s">
        <v>1246</v>
      </c>
      <c r="T249" t="s">
        <v>108</v>
      </c>
      <c r="U249" t="s">
        <v>1194</v>
      </c>
    </row>
    <row r="250" spans="1:21" x14ac:dyDescent="0.25">
      <c r="A250" t="s">
        <v>1704</v>
      </c>
      <c r="B250" s="8">
        <v>45690</v>
      </c>
      <c r="C250" t="s">
        <v>2377</v>
      </c>
      <c r="D250" t="s">
        <v>585</v>
      </c>
      <c r="E250" t="s">
        <v>218</v>
      </c>
      <c r="F250">
        <v>39</v>
      </c>
      <c r="G250" t="s">
        <v>9</v>
      </c>
      <c r="H250" t="s">
        <v>8</v>
      </c>
      <c r="I250" t="s">
        <v>24</v>
      </c>
      <c r="J250" t="s">
        <v>25</v>
      </c>
      <c r="K250" t="s">
        <v>22</v>
      </c>
      <c r="L250">
        <v>5</v>
      </c>
      <c r="M250" s="12">
        <v>35800</v>
      </c>
      <c r="N250" s="12">
        <v>28640</v>
      </c>
      <c r="O250">
        <v>8</v>
      </c>
      <c r="P250" s="12">
        <v>164680</v>
      </c>
      <c r="Q250" s="12">
        <v>143200</v>
      </c>
      <c r="R250" s="12">
        <v>21480</v>
      </c>
      <c r="S250" t="s">
        <v>1246</v>
      </c>
      <c r="T250" t="s">
        <v>110</v>
      </c>
      <c r="U250" t="s">
        <v>1196</v>
      </c>
    </row>
    <row r="251" spans="1:21" x14ac:dyDescent="0.25">
      <c r="A251" t="s">
        <v>1706</v>
      </c>
      <c r="B251" s="8">
        <v>45881</v>
      </c>
      <c r="C251" t="s">
        <v>1906</v>
      </c>
      <c r="D251" t="s">
        <v>629</v>
      </c>
      <c r="E251" t="s">
        <v>218</v>
      </c>
      <c r="F251">
        <v>53</v>
      </c>
      <c r="G251" t="s">
        <v>290</v>
      </c>
      <c r="H251" t="s">
        <v>3</v>
      </c>
      <c r="I251" t="s">
        <v>30</v>
      </c>
      <c r="J251" t="s">
        <v>41</v>
      </c>
      <c r="K251" t="s">
        <v>22</v>
      </c>
      <c r="L251">
        <v>1</v>
      </c>
      <c r="M251" s="12">
        <v>13749</v>
      </c>
      <c r="N251" s="12">
        <v>10999.2</v>
      </c>
      <c r="O251">
        <v>4</v>
      </c>
      <c r="P251" s="12">
        <v>13199.039999999999</v>
      </c>
      <c r="Q251" s="12">
        <v>10999.2</v>
      </c>
      <c r="R251" s="12">
        <v>2199.8399999999983</v>
      </c>
      <c r="S251" t="s">
        <v>1246</v>
      </c>
      <c r="T251" t="s">
        <v>108</v>
      </c>
      <c r="U251" t="s">
        <v>1207</v>
      </c>
    </row>
    <row r="252" spans="1:21" x14ac:dyDescent="0.25">
      <c r="A252" t="s">
        <v>1708</v>
      </c>
      <c r="B252" s="8">
        <v>45854</v>
      </c>
      <c r="C252" t="s">
        <v>3035</v>
      </c>
      <c r="D252" t="s">
        <v>553</v>
      </c>
      <c r="E252" t="s">
        <v>198</v>
      </c>
      <c r="F252">
        <v>34</v>
      </c>
      <c r="G252" t="s">
        <v>9</v>
      </c>
      <c r="H252" t="s">
        <v>8</v>
      </c>
      <c r="I252" t="s">
        <v>51</v>
      </c>
      <c r="J252" t="s">
        <v>54</v>
      </c>
      <c r="K252" t="s">
        <v>43</v>
      </c>
      <c r="L252">
        <v>5</v>
      </c>
      <c r="M252" s="12">
        <v>27499</v>
      </c>
      <c r="N252" s="12">
        <v>21724.210000000003</v>
      </c>
      <c r="O252">
        <v>10</v>
      </c>
      <c r="P252" s="12">
        <v>123745.5</v>
      </c>
      <c r="Q252" s="12">
        <v>108621.05000000002</v>
      </c>
      <c r="R252" s="12">
        <v>15124.449999999983</v>
      </c>
      <c r="S252" t="s">
        <v>1246</v>
      </c>
      <c r="T252" t="s">
        <v>107</v>
      </c>
      <c r="U252" t="s">
        <v>1199</v>
      </c>
    </row>
    <row r="253" spans="1:21" x14ac:dyDescent="0.25">
      <c r="A253" t="s">
        <v>1710</v>
      </c>
      <c r="B253" s="8">
        <v>45732</v>
      </c>
      <c r="C253" t="s">
        <v>1835</v>
      </c>
      <c r="D253" t="s">
        <v>576</v>
      </c>
      <c r="E253" t="s">
        <v>218</v>
      </c>
      <c r="F253">
        <v>38</v>
      </c>
      <c r="G253" t="s">
        <v>290</v>
      </c>
      <c r="H253" t="s">
        <v>3</v>
      </c>
      <c r="I253" t="s">
        <v>45</v>
      </c>
      <c r="J253" t="s">
        <v>46</v>
      </c>
      <c r="K253" t="s">
        <v>43</v>
      </c>
      <c r="L253">
        <v>1</v>
      </c>
      <c r="M253" s="12">
        <v>11999</v>
      </c>
      <c r="N253" s="12">
        <v>8999.25</v>
      </c>
      <c r="O253">
        <v>9</v>
      </c>
      <c r="P253" s="12">
        <v>10919.09</v>
      </c>
      <c r="Q253" s="12">
        <v>8999.25</v>
      </c>
      <c r="R253" s="12">
        <v>1919.8400000000001</v>
      </c>
      <c r="S253" t="s">
        <v>1246</v>
      </c>
      <c r="T253" t="s">
        <v>110</v>
      </c>
      <c r="U253" t="s">
        <v>1203</v>
      </c>
    </row>
    <row r="254" spans="1:21" x14ac:dyDescent="0.25">
      <c r="A254" t="s">
        <v>1711</v>
      </c>
      <c r="B254" s="8">
        <v>45911</v>
      </c>
      <c r="C254" t="s">
        <v>2658</v>
      </c>
      <c r="D254" t="s">
        <v>1139</v>
      </c>
      <c r="E254" t="s">
        <v>198</v>
      </c>
      <c r="F254">
        <v>47</v>
      </c>
      <c r="G254" t="s">
        <v>17</v>
      </c>
      <c r="H254" t="s">
        <v>15</v>
      </c>
      <c r="I254" t="s">
        <v>42</v>
      </c>
      <c r="J254" t="s">
        <v>44</v>
      </c>
      <c r="K254" t="s">
        <v>43</v>
      </c>
      <c r="L254">
        <v>4</v>
      </c>
      <c r="M254" s="12">
        <v>8999</v>
      </c>
      <c r="N254" s="12">
        <v>6479.28</v>
      </c>
      <c r="O254">
        <v>6</v>
      </c>
      <c r="P254" s="12">
        <v>33836.239999999998</v>
      </c>
      <c r="Q254" s="12">
        <v>25917.119999999999</v>
      </c>
      <c r="R254" s="12">
        <v>7919.119999999999</v>
      </c>
      <c r="S254" t="s">
        <v>1246</v>
      </c>
      <c r="T254" t="s">
        <v>107</v>
      </c>
      <c r="U254" t="s">
        <v>1199</v>
      </c>
    </row>
    <row r="255" spans="1:21" x14ac:dyDescent="0.25">
      <c r="A255" t="s">
        <v>1712</v>
      </c>
      <c r="B255" s="8">
        <v>45758</v>
      </c>
      <c r="C255" t="s">
        <v>2924</v>
      </c>
      <c r="D255" t="s">
        <v>637</v>
      </c>
      <c r="E255" t="s">
        <v>218</v>
      </c>
      <c r="F255">
        <v>55</v>
      </c>
      <c r="G255" t="s">
        <v>10</v>
      </c>
      <c r="H255" t="s">
        <v>8</v>
      </c>
      <c r="I255" t="s">
        <v>34</v>
      </c>
      <c r="J255" t="s">
        <v>137</v>
      </c>
      <c r="K255" t="s">
        <v>22</v>
      </c>
      <c r="L255">
        <v>1</v>
      </c>
      <c r="M255" s="12">
        <v>6900</v>
      </c>
      <c r="N255" s="12">
        <v>5727</v>
      </c>
      <c r="O255">
        <v>4</v>
      </c>
      <c r="P255" s="12">
        <v>6624</v>
      </c>
      <c r="Q255" s="12">
        <v>5727</v>
      </c>
      <c r="R255" s="12">
        <v>897</v>
      </c>
      <c r="S255" t="s">
        <v>113</v>
      </c>
      <c r="T255" t="s">
        <v>107</v>
      </c>
      <c r="U255" t="s">
        <v>1207</v>
      </c>
    </row>
    <row r="256" spans="1:21" x14ac:dyDescent="0.25">
      <c r="A256" t="s">
        <v>1713</v>
      </c>
      <c r="B256" s="8">
        <v>45962</v>
      </c>
      <c r="C256" t="s">
        <v>2778</v>
      </c>
      <c r="D256" t="s">
        <v>743</v>
      </c>
      <c r="E256" t="s">
        <v>198</v>
      </c>
      <c r="F256">
        <v>43</v>
      </c>
      <c r="G256" t="s">
        <v>16</v>
      </c>
      <c r="H256" t="s">
        <v>15</v>
      </c>
      <c r="I256" t="s">
        <v>59</v>
      </c>
      <c r="J256" t="s">
        <v>73</v>
      </c>
      <c r="K256" t="s">
        <v>64</v>
      </c>
      <c r="L256">
        <v>4</v>
      </c>
      <c r="M256" s="12">
        <v>120</v>
      </c>
      <c r="N256" s="12">
        <v>81.599999999999994</v>
      </c>
      <c r="O256">
        <v>8</v>
      </c>
      <c r="P256" s="12">
        <v>441.6</v>
      </c>
      <c r="Q256" s="12">
        <v>326.39999999999998</v>
      </c>
      <c r="R256" s="12">
        <v>115.20000000000005</v>
      </c>
      <c r="S256" t="s">
        <v>1246</v>
      </c>
      <c r="T256" t="s">
        <v>108</v>
      </c>
      <c r="U256" t="s">
        <v>1201</v>
      </c>
    </row>
    <row r="257" spans="1:21" x14ac:dyDescent="0.25">
      <c r="A257" t="s">
        <v>1715</v>
      </c>
      <c r="B257" s="8">
        <v>45744</v>
      </c>
      <c r="C257" t="s">
        <v>2263</v>
      </c>
      <c r="D257" t="s">
        <v>796</v>
      </c>
      <c r="E257" t="s">
        <v>218</v>
      </c>
      <c r="F257">
        <v>60</v>
      </c>
      <c r="G257" t="s">
        <v>290</v>
      </c>
      <c r="H257" t="s">
        <v>3</v>
      </c>
      <c r="I257" t="s">
        <v>47</v>
      </c>
      <c r="J257" t="s">
        <v>52</v>
      </c>
      <c r="K257" t="s">
        <v>43</v>
      </c>
      <c r="L257">
        <v>5</v>
      </c>
      <c r="M257" s="12">
        <v>42999</v>
      </c>
      <c r="N257" s="12">
        <v>33539.22</v>
      </c>
      <c r="O257">
        <v>7</v>
      </c>
      <c r="P257" s="12">
        <v>199945.34999999998</v>
      </c>
      <c r="Q257" s="12">
        <v>167696.1</v>
      </c>
      <c r="R257" s="12">
        <v>32249.249999999971</v>
      </c>
      <c r="S257" t="s">
        <v>1246</v>
      </c>
      <c r="T257" t="s">
        <v>108</v>
      </c>
      <c r="U257" t="s">
        <v>1196</v>
      </c>
    </row>
    <row r="258" spans="1:21" x14ac:dyDescent="0.25">
      <c r="A258" t="s">
        <v>1717</v>
      </c>
      <c r="B258" s="8">
        <v>45964</v>
      </c>
      <c r="C258" t="s">
        <v>1652</v>
      </c>
      <c r="D258" t="s">
        <v>891</v>
      </c>
      <c r="E258" t="s">
        <v>198</v>
      </c>
      <c r="F258">
        <v>44</v>
      </c>
      <c r="G258" t="s">
        <v>17</v>
      </c>
      <c r="H258" t="s">
        <v>15</v>
      </c>
      <c r="I258" t="s">
        <v>59</v>
      </c>
      <c r="J258" t="s">
        <v>73</v>
      </c>
      <c r="K258" t="s">
        <v>64</v>
      </c>
      <c r="L258">
        <v>5</v>
      </c>
      <c r="M258" s="12">
        <v>120</v>
      </c>
      <c r="N258" s="12">
        <v>81.599999999999994</v>
      </c>
      <c r="O258">
        <v>6</v>
      </c>
      <c r="P258" s="12">
        <v>564</v>
      </c>
      <c r="Q258" s="12">
        <v>408</v>
      </c>
      <c r="R258" s="12">
        <v>156</v>
      </c>
      <c r="S258" t="s">
        <v>113</v>
      </c>
      <c r="T258" t="s">
        <v>107</v>
      </c>
      <c r="U258" t="s">
        <v>1203</v>
      </c>
    </row>
    <row r="259" spans="1:21" x14ac:dyDescent="0.25">
      <c r="A259" t="s">
        <v>1718</v>
      </c>
      <c r="B259" s="8">
        <v>45956</v>
      </c>
      <c r="C259" t="s">
        <v>1884</v>
      </c>
      <c r="D259" t="s">
        <v>797</v>
      </c>
      <c r="E259" t="s">
        <v>218</v>
      </c>
      <c r="F259">
        <v>29</v>
      </c>
      <c r="G259" t="s">
        <v>10</v>
      </c>
      <c r="H259" t="s">
        <v>8</v>
      </c>
      <c r="I259" t="s">
        <v>47</v>
      </c>
      <c r="J259" t="s">
        <v>52</v>
      </c>
      <c r="K259" t="s">
        <v>43</v>
      </c>
      <c r="L259">
        <v>3</v>
      </c>
      <c r="M259" s="12">
        <v>42999</v>
      </c>
      <c r="N259" s="12">
        <v>33539.22</v>
      </c>
      <c r="O259">
        <v>10</v>
      </c>
      <c r="P259" s="12">
        <v>116097.3</v>
      </c>
      <c r="Q259" s="12">
        <v>100617.66</v>
      </c>
      <c r="R259" s="12">
        <v>15479.64</v>
      </c>
      <c r="S259" t="s">
        <v>1246</v>
      </c>
      <c r="T259" t="s">
        <v>111</v>
      </c>
      <c r="U259" t="s">
        <v>1194</v>
      </c>
    </row>
    <row r="260" spans="1:21" x14ac:dyDescent="0.25">
      <c r="A260" t="s">
        <v>1719</v>
      </c>
      <c r="B260" s="8">
        <v>46000</v>
      </c>
      <c r="C260" t="s">
        <v>2855</v>
      </c>
      <c r="D260" t="s">
        <v>651</v>
      </c>
      <c r="E260" t="s">
        <v>218</v>
      </c>
      <c r="F260">
        <v>55</v>
      </c>
      <c r="G260" t="s">
        <v>17</v>
      </c>
      <c r="H260" t="s">
        <v>15</v>
      </c>
      <c r="I260" t="s">
        <v>63</v>
      </c>
      <c r="J260" t="s">
        <v>77</v>
      </c>
      <c r="K260" t="s">
        <v>64</v>
      </c>
      <c r="L260">
        <v>3</v>
      </c>
      <c r="M260" s="12">
        <v>650</v>
      </c>
      <c r="N260" s="12">
        <v>468</v>
      </c>
      <c r="O260">
        <v>4</v>
      </c>
      <c r="P260" s="12">
        <v>1872</v>
      </c>
      <c r="Q260" s="12">
        <v>1404</v>
      </c>
      <c r="R260" s="12">
        <v>468</v>
      </c>
      <c r="S260" t="s">
        <v>1246</v>
      </c>
      <c r="T260" t="s">
        <v>107</v>
      </c>
      <c r="U260" t="s">
        <v>1201</v>
      </c>
    </row>
    <row r="261" spans="1:21" x14ac:dyDescent="0.25">
      <c r="A261" t="s">
        <v>1721</v>
      </c>
      <c r="B261" s="8">
        <v>45692</v>
      </c>
      <c r="C261" t="s">
        <v>5089</v>
      </c>
      <c r="D261" t="s">
        <v>611</v>
      </c>
      <c r="E261" t="s">
        <v>218</v>
      </c>
      <c r="F261">
        <v>49</v>
      </c>
      <c r="G261" t="s">
        <v>16</v>
      </c>
      <c r="H261" t="s">
        <v>15</v>
      </c>
      <c r="I261" t="s">
        <v>36</v>
      </c>
      <c r="J261" t="s">
        <v>136</v>
      </c>
      <c r="K261" t="s">
        <v>22</v>
      </c>
      <c r="L261">
        <v>4</v>
      </c>
      <c r="M261" s="12">
        <v>3590</v>
      </c>
      <c r="N261" s="12">
        <v>2333.5</v>
      </c>
      <c r="O261">
        <v>7</v>
      </c>
      <c r="P261" s="12">
        <v>13354.8</v>
      </c>
      <c r="Q261" s="12">
        <v>9334</v>
      </c>
      <c r="R261" s="12">
        <v>4020.7999999999993</v>
      </c>
      <c r="S261" t="s">
        <v>1246</v>
      </c>
      <c r="T261" t="s">
        <v>107</v>
      </c>
      <c r="U261" t="s">
        <v>1198</v>
      </c>
    </row>
    <row r="262" spans="1:21" x14ac:dyDescent="0.25">
      <c r="A262" t="s">
        <v>1723</v>
      </c>
      <c r="B262" s="8">
        <v>45749</v>
      </c>
      <c r="C262" t="s">
        <v>2147</v>
      </c>
      <c r="D262" t="s">
        <v>894</v>
      </c>
      <c r="E262" t="s">
        <v>198</v>
      </c>
      <c r="F262">
        <v>50</v>
      </c>
      <c r="G262" t="s">
        <v>11</v>
      </c>
      <c r="H262" t="s">
        <v>12</v>
      </c>
      <c r="I262" t="s">
        <v>38</v>
      </c>
      <c r="J262" t="s">
        <v>37</v>
      </c>
      <c r="K262" t="s">
        <v>22</v>
      </c>
      <c r="L262">
        <v>3</v>
      </c>
      <c r="M262" s="12">
        <v>1650</v>
      </c>
      <c r="N262" s="12">
        <v>990</v>
      </c>
      <c r="O262">
        <v>4</v>
      </c>
      <c r="P262" s="12">
        <v>4752</v>
      </c>
      <c r="Q262" s="12">
        <v>2970</v>
      </c>
      <c r="R262" s="12">
        <v>1782</v>
      </c>
      <c r="S262" t="s">
        <v>1246</v>
      </c>
      <c r="T262" t="s">
        <v>107</v>
      </c>
      <c r="U262" t="s">
        <v>1194</v>
      </c>
    </row>
    <row r="263" spans="1:21" x14ac:dyDescent="0.25">
      <c r="A263" t="s">
        <v>1725</v>
      </c>
      <c r="B263" s="8">
        <v>45816</v>
      </c>
      <c r="C263" t="s">
        <v>2158</v>
      </c>
      <c r="D263" t="s">
        <v>483</v>
      </c>
      <c r="E263" t="s">
        <v>218</v>
      </c>
      <c r="F263">
        <v>23</v>
      </c>
      <c r="G263" t="s">
        <v>9</v>
      </c>
      <c r="H263" t="s">
        <v>8</v>
      </c>
      <c r="I263" t="s">
        <v>51</v>
      </c>
      <c r="J263" t="s">
        <v>54</v>
      </c>
      <c r="K263" t="s">
        <v>43</v>
      </c>
      <c r="L263">
        <v>4</v>
      </c>
      <c r="M263" s="12">
        <v>27499</v>
      </c>
      <c r="N263" s="12">
        <v>21724.210000000003</v>
      </c>
      <c r="O263">
        <v>2</v>
      </c>
      <c r="P263" s="12">
        <v>107796.08</v>
      </c>
      <c r="Q263" s="12">
        <v>86896.840000000011</v>
      </c>
      <c r="R263" s="12">
        <v>20899.239999999991</v>
      </c>
      <c r="S263" t="s">
        <v>1246</v>
      </c>
      <c r="T263" t="s">
        <v>108</v>
      </c>
      <c r="U263" t="s">
        <v>1203</v>
      </c>
    </row>
    <row r="264" spans="1:21" x14ac:dyDescent="0.25">
      <c r="A264" t="s">
        <v>1726</v>
      </c>
      <c r="B264" s="8">
        <v>45685</v>
      </c>
      <c r="C264" t="s">
        <v>4788</v>
      </c>
      <c r="D264" t="s">
        <v>671</v>
      </c>
      <c r="E264" t="s">
        <v>218</v>
      </c>
      <c r="F264">
        <v>65</v>
      </c>
      <c r="G264" t="s">
        <v>290</v>
      </c>
      <c r="H264" t="s">
        <v>3</v>
      </c>
      <c r="I264" t="s">
        <v>55</v>
      </c>
      <c r="J264" t="s">
        <v>65</v>
      </c>
      <c r="K264" t="s">
        <v>64</v>
      </c>
      <c r="L264">
        <v>4</v>
      </c>
      <c r="M264" s="12">
        <v>80</v>
      </c>
      <c r="N264" s="12">
        <v>56</v>
      </c>
      <c r="O264">
        <v>15</v>
      </c>
      <c r="P264" s="12">
        <v>272</v>
      </c>
      <c r="Q264" s="12">
        <v>224</v>
      </c>
      <c r="R264" s="12">
        <v>48</v>
      </c>
      <c r="S264" t="s">
        <v>113</v>
      </c>
      <c r="T264" t="s">
        <v>107</v>
      </c>
      <c r="U264" t="s">
        <v>1201</v>
      </c>
    </row>
    <row r="265" spans="1:21" x14ac:dyDescent="0.25">
      <c r="A265" t="s">
        <v>1728</v>
      </c>
      <c r="B265" s="8">
        <v>45714</v>
      </c>
      <c r="C265" t="s">
        <v>2993</v>
      </c>
      <c r="D265" t="s">
        <v>1083</v>
      </c>
      <c r="E265" t="s">
        <v>218</v>
      </c>
      <c r="F265">
        <v>62</v>
      </c>
      <c r="G265" t="s">
        <v>14</v>
      </c>
      <c r="H265" t="s">
        <v>15</v>
      </c>
      <c r="I265" t="s">
        <v>34</v>
      </c>
      <c r="J265" t="s">
        <v>137</v>
      </c>
      <c r="K265" t="s">
        <v>22</v>
      </c>
      <c r="L265">
        <v>5</v>
      </c>
      <c r="M265" s="12">
        <v>6900</v>
      </c>
      <c r="N265" s="12">
        <v>5727</v>
      </c>
      <c r="O265">
        <v>4</v>
      </c>
      <c r="P265" s="12">
        <v>33120</v>
      </c>
      <c r="Q265" s="12">
        <v>28635</v>
      </c>
      <c r="R265" s="12">
        <v>4485</v>
      </c>
      <c r="S265" t="s">
        <v>1246</v>
      </c>
      <c r="T265" t="s">
        <v>111</v>
      </c>
      <c r="U265" t="s">
        <v>1194</v>
      </c>
    </row>
    <row r="266" spans="1:21" x14ac:dyDescent="0.25">
      <c r="A266" t="s">
        <v>1729</v>
      </c>
      <c r="B266" s="8">
        <v>45904</v>
      </c>
      <c r="C266" t="s">
        <v>2656</v>
      </c>
      <c r="D266" t="s">
        <v>576</v>
      </c>
      <c r="E266" t="s">
        <v>218</v>
      </c>
      <c r="F266">
        <v>47</v>
      </c>
      <c r="G266" t="s">
        <v>9</v>
      </c>
      <c r="H266" t="s">
        <v>8</v>
      </c>
      <c r="I266" t="s">
        <v>21</v>
      </c>
      <c r="J266" t="s">
        <v>23</v>
      </c>
      <c r="K266" t="s">
        <v>22</v>
      </c>
      <c r="L266">
        <v>2</v>
      </c>
      <c r="M266" s="12">
        <v>54999</v>
      </c>
      <c r="N266" s="12">
        <v>45099.18</v>
      </c>
      <c r="O266">
        <v>7</v>
      </c>
      <c r="P266" s="12">
        <v>102298.14</v>
      </c>
      <c r="Q266" s="12">
        <v>90198.36</v>
      </c>
      <c r="R266" s="12">
        <v>12099.779999999999</v>
      </c>
      <c r="S266" t="s">
        <v>1246</v>
      </c>
      <c r="T266" t="s">
        <v>107</v>
      </c>
      <c r="U266" t="s">
        <v>1207</v>
      </c>
    </row>
    <row r="267" spans="1:21" x14ac:dyDescent="0.25">
      <c r="A267" t="s">
        <v>1730</v>
      </c>
      <c r="B267" s="8">
        <v>45937</v>
      </c>
      <c r="C267" t="s">
        <v>1257</v>
      </c>
      <c r="D267" t="s">
        <v>998</v>
      </c>
      <c r="E267" t="s">
        <v>198</v>
      </c>
      <c r="F267">
        <v>50</v>
      </c>
      <c r="G267" t="s">
        <v>17</v>
      </c>
      <c r="H267" t="s">
        <v>15</v>
      </c>
      <c r="I267" t="s">
        <v>55</v>
      </c>
      <c r="J267" t="s">
        <v>65</v>
      </c>
      <c r="K267" t="s">
        <v>64</v>
      </c>
      <c r="L267">
        <v>1</v>
      </c>
      <c r="M267" s="12">
        <v>80</v>
      </c>
      <c r="N267" s="12">
        <v>56</v>
      </c>
      <c r="O267">
        <v>1</v>
      </c>
      <c r="P267" s="12">
        <v>79.2</v>
      </c>
      <c r="Q267" s="12">
        <v>56</v>
      </c>
      <c r="R267" s="12">
        <v>23.200000000000003</v>
      </c>
      <c r="S267" t="s">
        <v>1246</v>
      </c>
      <c r="T267" t="s">
        <v>108</v>
      </c>
      <c r="U267" t="s">
        <v>1207</v>
      </c>
    </row>
    <row r="268" spans="1:21" x14ac:dyDescent="0.25">
      <c r="A268" t="s">
        <v>1732</v>
      </c>
      <c r="B268" s="8">
        <v>45742</v>
      </c>
      <c r="C268" t="s">
        <v>2658</v>
      </c>
      <c r="D268" t="s">
        <v>1139</v>
      </c>
      <c r="E268" t="s">
        <v>198</v>
      </c>
      <c r="F268">
        <v>47</v>
      </c>
      <c r="G268" t="s">
        <v>17</v>
      </c>
      <c r="H268" t="s">
        <v>15</v>
      </c>
      <c r="I268" t="s">
        <v>32</v>
      </c>
      <c r="J268" t="s">
        <v>29</v>
      </c>
      <c r="K268" t="s">
        <v>22</v>
      </c>
      <c r="L268">
        <v>5</v>
      </c>
      <c r="M268" s="12">
        <v>9500</v>
      </c>
      <c r="N268" s="12">
        <v>6650</v>
      </c>
      <c r="O268">
        <v>6</v>
      </c>
      <c r="P268" s="12">
        <v>44650</v>
      </c>
      <c r="Q268" s="12">
        <v>33250</v>
      </c>
      <c r="R268" s="12">
        <v>11400</v>
      </c>
      <c r="S268" t="s">
        <v>1246</v>
      </c>
      <c r="T268" t="s">
        <v>111</v>
      </c>
      <c r="U268" t="s">
        <v>1201</v>
      </c>
    </row>
    <row r="269" spans="1:21" x14ac:dyDescent="0.25">
      <c r="A269" t="s">
        <v>1733</v>
      </c>
      <c r="B269" s="8">
        <v>45781</v>
      </c>
      <c r="C269" t="s">
        <v>3784</v>
      </c>
      <c r="D269" t="s">
        <v>934</v>
      </c>
      <c r="E269" t="s">
        <v>218</v>
      </c>
      <c r="F269">
        <v>33</v>
      </c>
      <c r="G269" t="s">
        <v>9</v>
      </c>
      <c r="H269" t="s">
        <v>8</v>
      </c>
      <c r="I269" t="s">
        <v>38</v>
      </c>
      <c r="J269" t="s">
        <v>37</v>
      </c>
      <c r="K269" t="s">
        <v>22</v>
      </c>
      <c r="L269">
        <v>5</v>
      </c>
      <c r="M269" s="12">
        <v>1650</v>
      </c>
      <c r="N269" s="12">
        <v>990</v>
      </c>
      <c r="O269">
        <v>8</v>
      </c>
      <c r="P269" s="12">
        <v>7590</v>
      </c>
      <c r="Q269" s="12">
        <v>4950</v>
      </c>
      <c r="R269" s="12">
        <v>2640</v>
      </c>
      <c r="S269" t="s">
        <v>113</v>
      </c>
      <c r="T269" t="s">
        <v>108</v>
      </c>
      <c r="U269" t="s">
        <v>1205</v>
      </c>
    </row>
    <row r="270" spans="1:21" x14ac:dyDescent="0.25">
      <c r="A270" t="s">
        <v>1735</v>
      </c>
      <c r="B270" s="8">
        <v>45917</v>
      </c>
      <c r="C270" t="s">
        <v>2145</v>
      </c>
      <c r="D270" t="s">
        <v>761</v>
      </c>
      <c r="E270" t="s">
        <v>198</v>
      </c>
      <c r="F270">
        <v>34</v>
      </c>
      <c r="G270" t="s">
        <v>289</v>
      </c>
      <c r="H270" t="s">
        <v>3</v>
      </c>
      <c r="I270" t="s">
        <v>55</v>
      </c>
      <c r="J270" t="s">
        <v>65</v>
      </c>
      <c r="K270" t="s">
        <v>64</v>
      </c>
      <c r="L270">
        <v>2</v>
      </c>
      <c r="M270" s="12">
        <v>80</v>
      </c>
      <c r="N270" s="12">
        <v>56</v>
      </c>
      <c r="O270">
        <v>1</v>
      </c>
      <c r="P270" s="12">
        <v>158.4</v>
      </c>
      <c r="Q270" s="12">
        <v>112</v>
      </c>
      <c r="R270" s="12">
        <v>46.400000000000006</v>
      </c>
      <c r="S270" t="s">
        <v>113</v>
      </c>
      <c r="T270" t="s">
        <v>109</v>
      </c>
      <c r="U270" t="s">
        <v>1196</v>
      </c>
    </row>
    <row r="271" spans="1:21" x14ac:dyDescent="0.25">
      <c r="A271" t="s">
        <v>1737</v>
      </c>
      <c r="B271" s="8">
        <v>45705</v>
      </c>
      <c r="C271" t="s">
        <v>2630</v>
      </c>
      <c r="D271" t="s">
        <v>437</v>
      </c>
      <c r="E271" t="s">
        <v>198</v>
      </c>
      <c r="F271">
        <v>36</v>
      </c>
      <c r="G271" t="s">
        <v>16</v>
      </c>
      <c r="H271" t="s">
        <v>15</v>
      </c>
      <c r="I271" t="s">
        <v>47</v>
      </c>
      <c r="J271" t="s">
        <v>52</v>
      </c>
      <c r="K271" t="s">
        <v>43</v>
      </c>
      <c r="L271">
        <v>1</v>
      </c>
      <c r="M271" s="12">
        <v>42999</v>
      </c>
      <c r="N271" s="12">
        <v>33539.22</v>
      </c>
      <c r="O271">
        <v>10</v>
      </c>
      <c r="P271" s="12">
        <v>38699.1</v>
      </c>
      <c r="Q271" s="12">
        <v>33539.22</v>
      </c>
      <c r="R271" s="12">
        <v>5159.8799999999974</v>
      </c>
      <c r="S271" t="s">
        <v>1246</v>
      </c>
      <c r="T271" t="s">
        <v>108</v>
      </c>
      <c r="U271" t="s">
        <v>1209</v>
      </c>
    </row>
    <row r="272" spans="1:21" x14ac:dyDescent="0.25">
      <c r="A272" t="s">
        <v>1739</v>
      </c>
      <c r="B272" s="8">
        <v>45767</v>
      </c>
      <c r="C272" t="s">
        <v>1500</v>
      </c>
      <c r="D272" t="s">
        <v>636</v>
      </c>
      <c r="E272" t="s">
        <v>198</v>
      </c>
      <c r="F272">
        <v>43</v>
      </c>
      <c r="G272" t="s">
        <v>2</v>
      </c>
      <c r="H272" t="s">
        <v>3</v>
      </c>
      <c r="I272" t="s">
        <v>57</v>
      </c>
      <c r="J272" t="s">
        <v>67</v>
      </c>
      <c r="K272" t="s">
        <v>64</v>
      </c>
      <c r="L272">
        <v>3</v>
      </c>
      <c r="M272" s="12">
        <v>150</v>
      </c>
      <c r="N272" s="12">
        <v>97.5</v>
      </c>
      <c r="O272">
        <v>3</v>
      </c>
      <c r="P272" s="12">
        <v>436.5</v>
      </c>
      <c r="Q272" s="12">
        <v>292.5</v>
      </c>
      <c r="R272" s="12">
        <v>144</v>
      </c>
      <c r="S272" t="s">
        <v>113</v>
      </c>
      <c r="T272" t="s">
        <v>108</v>
      </c>
      <c r="U272" t="s">
        <v>1198</v>
      </c>
    </row>
    <row r="273" spans="1:21" x14ac:dyDescent="0.25">
      <c r="A273" t="s">
        <v>1741</v>
      </c>
      <c r="B273" s="8">
        <v>45915</v>
      </c>
      <c r="C273" t="s">
        <v>1890</v>
      </c>
      <c r="D273" t="s">
        <v>926</v>
      </c>
      <c r="E273" t="s">
        <v>198</v>
      </c>
      <c r="F273">
        <v>58</v>
      </c>
      <c r="G273" t="s">
        <v>17</v>
      </c>
      <c r="H273" t="s">
        <v>15</v>
      </c>
      <c r="I273" t="s">
        <v>24</v>
      </c>
      <c r="J273" t="s">
        <v>25</v>
      </c>
      <c r="K273" t="s">
        <v>22</v>
      </c>
      <c r="L273">
        <v>4</v>
      </c>
      <c r="M273" s="12">
        <v>35800</v>
      </c>
      <c r="N273" s="12">
        <v>28640</v>
      </c>
      <c r="O273">
        <v>6</v>
      </c>
      <c r="P273" s="12">
        <v>134608</v>
      </c>
      <c r="Q273" s="12">
        <v>114560</v>
      </c>
      <c r="R273" s="12">
        <v>20048</v>
      </c>
      <c r="S273" t="s">
        <v>1246</v>
      </c>
      <c r="T273" t="s">
        <v>107</v>
      </c>
      <c r="U273" t="s">
        <v>1207</v>
      </c>
    </row>
    <row r="274" spans="1:21" x14ac:dyDescent="0.25">
      <c r="A274" t="s">
        <v>1742</v>
      </c>
      <c r="B274" s="8">
        <v>46011</v>
      </c>
      <c r="C274" t="s">
        <v>1297</v>
      </c>
      <c r="D274" t="s">
        <v>746</v>
      </c>
      <c r="E274" t="s">
        <v>198</v>
      </c>
      <c r="F274">
        <v>45</v>
      </c>
      <c r="G274" t="s">
        <v>2</v>
      </c>
      <c r="H274" t="s">
        <v>3</v>
      </c>
      <c r="I274" t="s">
        <v>45</v>
      </c>
      <c r="J274" t="s">
        <v>46</v>
      </c>
      <c r="K274" t="s">
        <v>43</v>
      </c>
      <c r="L274">
        <v>3</v>
      </c>
      <c r="M274" s="12">
        <v>11999</v>
      </c>
      <c r="N274" s="12">
        <v>8999.25</v>
      </c>
      <c r="O274">
        <v>20</v>
      </c>
      <c r="P274" s="12">
        <v>28797.600000000002</v>
      </c>
      <c r="Q274" s="12">
        <v>26997.75</v>
      </c>
      <c r="R274" s="12">
        <v>1799.8500000000022</v>
      </c>
      <c r="S274" t="s">
        <v>1246</v>
      </c>
      <c r="T274" t="s">
        <v>107</v>
      </c>
      <c r="U274" t="s">
        <v>1198</v>
      </c>
    </row>
    <row r="275" spans="1:21" x14ac:dyDescent="0.25">
      <c r="A275" t="s">
        <v>1744</v>
      </c>
      <c r="B275" s="8">
        <v>45912</v>
      </c>
      <c r="C275" t="s">
        <v>1872</v>
      </c>
      <c r="D275" t="s">
        <v>642</v>
      </c>
      <c r="E275" t="s">
        <v>198</v>
      </c>
      <c r="F275">
        <v>47</v>
      </c>
      <c r="G275" t="s">
        <v>4</v>
      </c>
      <c r="H275" t="s">
        <v>3</v>
      </c>
      <c r="I275" t="s">
        <v>36</v>
      </c>
      <c r="J275" t="s">
        <v>136</v>
      </c>
      <c r="K275" t="s">
        <v>22</v>
      </c>
      <c r="L275">
        <v>1</v>
      </c>
      <c r="M275" s="12">
        <v>3590</v>
      </c>
      <c r="N275" s="12">
        <v>2333.5</v>
      </c>
      <c r="O275">
        <v>7</v>
      </c>
      <c r="P275" s="12">
        <v>3338.7</v>
      </c>
      <c r="Q275" s="12">
        <v>2333.5</v>
      </c>
      <c r="R275" s="12">
        <v>1005.1999999999998</v>
      </c>
      <c r="S275" t="s">
        <v>113</v>
      </c>
      <c r="T275" t="s">
        <v>107</v>
      </c>
      <c r="U275" t="s">
        <v>1201</v>
      </c>
    </row>
    <row r="276" spans="1:21" x14ac:dyDescent="0.25">
      <c r="A276" t="s">
        <v>1746</v>
      </c>
      <c r="B276" s="8">
        <v>45929</v>
      </c>
      <c r="C276" t="s">
        <v>3866</v>
      </c>
      <c r="D276" t="s">
        <v>928</v>
      </c>
      <c r="E276" t="s">
        <v>218</v>
      </c>
      <c r="F276">
        <v>49</v>
      </c>
      <c r="G276" t="s">
        <v>9</v>
      </c>
      <c r="H276" t="s">
        <v>8</v>
      </c>
      <c r="I276" t="s">
        <v>38</v>
      </c>
      <c r="J276" t="s">
        <v>37</v>
      </c>
      <c r="K276" t="s">
        <v>22</v>
      </c>
      <c r="L276">
        <v>3</v>
      </c>
      <c r="M276" s="12">
        <v>1650</v>
      </c>
      <c r="N276" s="12">
        <v>990</v>
      </c>
      <c r="O276">
        <v>8</v>
      </c>
      <c r="P276" s="12">
        <v>4554</v>
      </c>
      <c r="Q276" s="12">
        <v>2970</v>
      </c>
      <c r="R276" s="12">
        <v>1584</v>
      </c>
      <c r="S276" t="s">
        <v>1246</v>
      </c>
      <c r="T276" t="s">
        <v>108</v>
      </c>
      <c r="U276" t="s">
        <v>1209</v>
      </c>
    </row>
    <row r="277" spans="1:21" x14ac:dyDescent="0.25">
      <c r="A277" t="s">
        <v>1748</v>
      </c>
      <c r="B277" s="8">
        <v>45675</v>
      </c>
      <c r="C277" t="s">
        <v>1945</v>
      </c>
      <c r="D277" t="s">
        <v>802</v>
      </c>
      <c r="E277" t="s">
        <v>218</v>
      </c>
      <c r="F277">
        <v>26</v>
      </c>
      <c r="G277" t="s">
        <v>289</v>
      </c>
      <c r="H277" t="s">
        <v>3</v>
      </c>
      <c r="I277" t="s">
        <v>36</v>
      </c>
      <c r="J277" t="s">
        <v>136</v>
      </c>
      <c r="K277" t="s">
        <v>22</v>
      </c>
      <c r="L277">
        <v>5</v>
      </c>
      <c r="M277" s="12">
        <v>3590</v>
      </c>
      <c r="N277" s="12">
        <v>2333.5</v>
      </c>
      <c r="O277">
        <v>5</v>
      </c>
      <c r="P277" s="12">
        <v>17052.5</v>
      </c>
      <c r="Q277" s="12">
        <v>11667.5</v>
      </c>
      <c r="R277" s="12">
        <v>5385</v>
      </c>
      <c r="S277" t="s">
        <v>1249</v>
      </c>
      <c r="T277" t="s">
        <v>108</v>
      </c>
      <c r="U277" t="s">
        <v>1201</v>
      </c>
    </row>
    <row r="278" spans="1:21" x14ac:dyDescent="0.25">
      <c r="A278" t="s">
        <v>1749</v>
      </c>
      <c r="B278" s="8">
        <v>45733</v>
      </c>
      <c r="C278" t="s">
        <v>5086</v>
      </c>
      <c r="D278" t="s">
        <v>560</v>
      </c>
      <c r="E278" t="s">
        <v>198</v>
      </c>
      <c r="F278">
        <v>21</v>
      </c>
      <c r="G278" t="s">
        <v>290</v>
      </c>
      <c r="H278" t="s">
        <v>3</v>
      </c>
      <c r="I278" t="s">
        <v>38</v>
      </c>
      <c r="J278" t="s">
        <v>37</v>
      </c>
      <c r="K278" t="s">
        <v>22</v>
      </c>
      <c r="L278">
        <v>1</v>
      </c>
      <c r="M278" s="12">
        <v>1650</v>
      </c>
      <c r="N278" s="12">
        <v>990</v>
      </c>
      <c r="O278">
        <v>4</v>
      </c>
      <c r="P278" s="12">
        <v>1584</v>
      </c>
      <c r="Q278" s="12">
        <v>990</v>
      </c>
      <c r="R278" s="12">
        <v>594</v>
      </c>
      <c r="S278" t="s">
        <v>113</v>
      </c>
      <c r="T278" t="s">
        <v>108</v>
      </c>
      <c r="U278" t="s">
        <v>1205</v>
      </c>
    </row>
    <row r="279" spans="1:21" x14ac:dyDescent="0.25">
      <c r="A279" t="s">
        <v>1750</v>
      </c>
      <c r="B279" s="8">
        <v>45902</v>
      </c>
      <c r="C279" t="s">
        <v>2413</v>
      </c>
      <c r="D279" t="s">
        <v>534</v>
      </c>
      <c r="E279" t="s">
        <v>198</v>
      </c>
      <c r="F279">
        <v>37</v>
      </c>
      <c r="G279" t="s">
        <v>2</v>
      </c>
      <c r="H279" t="s">
        <v>3</v>
      </c>
      <c r="I279" t="s">
        <v>32</v>
      </c>
      <c r="J279" t="s">
        <v>29</v>
      </c>
      <c r="K279" t="s">
        <v>22</v>
      </c>
      <c r="L279">
        <v>5</v>
      </c>
      <c r="M279" s="12">
        <v>9500</v>
      </c>
      <c r="N279" s="12">
        <v>6650</v>
      </c>
      <c r="O279">
        <v>4</v>
      </c>
      <c r="P279" s="12">
        <v>45600</v>
      </c>
      <c r="Q279" s="12">
        <v>33250</v>
      </c>
      <c r="R279" s="12">
        <v>12350</v>
      </c>
      <c r="S279" t="s">
        <v>113</v>
      </c>
      <c r="T279" t="s">
        <v>107</v>
      </c>
      <c r="U279" t="s">
        <v>1211</v>
      </c>
    </row>
    <row r="280" spans="1:21" x14ac:dyDescent="0.25">
      <c r="A280" t="s">
        <v>1752</v>
      </c>
      <c r="B280" s="8">
        <v>45962</v>
      </c>
      <c r="C280" t="s">
        <v>3983</v>
      </c>
      <c r="D280" t="s">
        <v>1100</v>
      </c>
      <c r="E280" t="s">
        <v>218</v>
      </c>
      <c r="F280">
        <v>33</v>
      </c>
      <c r="G280" t="s">
        <v>11</v>
      </c>
      <c r="H280" t="s">
        <v>12</v>
      </c>
      <c r="I280" t="s">
        <v>26</v>
      </c>
      <c r="J280" t="s">
        <v>27</v>
      </c>
      <c r="K280" t="s">
        <v>22</v>
      </c>
      <c r="L280">
        <v>3</v>
      </c>
      <c r="M280" s="12">
        <v>27499</v>
      </c>
      <c r="N280" s="12">
        <v>23374.149999999998</v>
      </c>
      <c r="O280">
        <v>10</v>
      </c>
      <c r="P280" s="12">
        <v>74247.3</v>
      </c>
      <c r="Q280" s="12">
        <v>70122.45</v>
      </c>
      <c r="R280" s="12">
        <v>4124.8500000000058</v>
      </c>
      <c r="S280" t="s">
        <v>1246</v>
      </c>
      <c r="T280" t="s">
        <v>107</v>
      </c>
      <c r="U280" t="s">
        <v>1203</v>
      </c>
    </row>
    <row r="281" spans="1:21" x14ac:dyDescent="0.25">
      <c r="A281" t="s">
        <v>1754</v>
      </c>
      <c r="B281" s="8">
        <v>45786</v>
      </c>
      <c r="C281" t="s">
        <v>2392</v>
      </c>
      <c r="D281" t="s">
        <v>667</v>
      </c>
      <c r="E281" t="s">
        <v>218</v>
      </c>
      <c r="F281">
        <v>25</v>
      </c>
      <c r="G281" t="s">
        <v>10</v>
      </c>
      <c r="H281" t="s">
        <v>8</v>
      </c>
      <c r="I281" t="s">
        <v>24</v>
      </c>
      <c r="J281" t="s">
        <v>25</v>
      </c>
      <c r="K281" t="s">
        <v>22</v>
      </c>
      <c r="L281">
        <v>1</v>
      </c>
      <c r="M281" s="12">
        <v>35800</v>
      </c>
      <c r="N281" s="12">
        <v>28640</v>
      </c>
      <c r="O281">
        <v>6</v>
      </c>
      <c r="P281" s="12">
        <v>33652</v>
      </c>
      <c r="Q281" s="12">
        <v>28640</v>
      </c>
      <c r="R281" s="12">
        <v>5012</v>
      </c>
      <c r="S281" t="s">
        <v>1246</v>
      </c>
      <c r="T281" t="s">
        <v>108</v>
      </c>
      <c r="U281" t="s">
        <v>1196</v>
      </c>
    </row>
    <row r="282" spans="1:21" x14ac:dyDescent="0.25">
      <c r="A282" t="s">
        <v>1756</v>
      </c>
      <c r="B282" s="8">
        <v>45665</v>
      </c>
      <c r="C282" t="s">
        <v>2969</v>
      </c>
      <c r="D282" t="s">
        <v>539</v>
      </c>
      <c r="E282" t="s">
        <v>218</v>
      </c>
      <c r="F282">
        <v>27</v>
      </c>
      <c r="G282" t="s">
        <v>11</v>
      </c>
      <c r="H282" t="s">
        <v>12</v>
      </c>
      <c r="I282" t="s">
        <v>32</v>
      </c>
      <c r="J282" t="s">
        <v>29</v>
      </c>
      <c r="K282" t="s">
        <v>22</v>
      </c>
      <c r="L282">
        <v>3</v>
      </c>
      <c r="M282" s="12">
        <v>9500</v>
      </c>
      <c r="N282" s="12">
        <v>6650</v>
      </c>
      <c r="O282">
        <v>7</v>
      </c>
      <c r="P282" s="12">
        <v>26505</v>
      </c>
      <c r="Q282" s="12">
        <v>19950</v>
      </c>
      <c r="R282" s="12">
        <v>6555</v>
      </c>
      <c r="S282" t="s">
        <v>1246</v>
      </c>
      <c r="T282" t="s">
        <v>111</v>
      </c>
      <c r="U282" t="s">
        <v>1207</v>
      </c>
    </row>
    <row r="283" spans="1:21" x14ac:dyDescent="0.25">
      <c r="A283" t="s">
        <v>1757</v>
      </c>
      <c r="B283" s="8">
        <v>45778</v>
      </c>
      <c r="C283" t="s">
        <v>2104</v>
      </c>
      <c r="D283" t="s">
        <v>513</v>
      </c>
      <c r="E283" t="s">
        <v>218</v>
      </c>
      <c r="F283">
        <v>61</v>
      </c>
      <c r="G283" t="s">
        <v>4</v>
      </c>
      <c r="H283" t="s">
        <v>3</v>
      </c>
      <c r="I283" t="s">
        <v>53</v>
      </c>
      <c r="J283" t="s">
        <v>48</v>
      </c>
      <c r="K283" t="s">
        <v>43</v>
      </c>
      <c r="L283">
        <v>3</v>
      </c>
      <c r="M283" s="12">
        <v>6499</v>
      </c>
      <c r="N283" s="12">
        <v>4549.2999999999993</v>
      </c>
      <c r="O283">
        <v>4</v>
      </c>
      <c r="P283" s="12">
        <v>18717.12</v>
      </c>
      <c r="Q283" s="12">
        <v>13647.899999999998</v>
      </c>
      <c r="R283" s="12">
        <v>5069.2200000000012</v>
      </c>
      <c r="S283" t="s">
        <v>113</v>
      </c>
      <c r="T283" t="s">
        <v>110</v>
      </c>
      <c r="U283" t="s">
        <v>1207</v>
      </c>
    </row>
    <row r="284" spans="1:21" x14ac:dyDescent="0.25">
      <c r="A284" t="s">
        <v>1759</v>
      </c>
      <c r="B284" s="8">
        <v>46002</v>
      </c>
      <c r="C284" t="s">
        <v>1559</v>
      </c>
      <c r="D284" t="s">
        <v>1020</v>
      </c>
      <c r="E284" t="s">
        <v>218</v>
      </c>
      <c r="F284">
        <v>39</v>
      </c>
      <c r="G284" t="s">
        <v>4</v>
      </c>
      <c r="H284" t="s">
        <v>3</v>
      </c>
      <c r="I284" t="s">
        <v>61</v>
      </c>
      <c r="J284" t="s">
        <v>146</v>
      </c>
      <c r="K284" t="s">
        <v>64</v>
      </c>
      <c r="L284">
        <v>2</v>
      </c>
      <c r="M284" s="12">
        <v>250</v>
      </c>
      <c r="N284" s="12">
        <v>155</v>
      </c>
      <c r="O284">
        <v>3</v>
      </c>
      <c r="P284" s="12">
        <v>485</v>
      </c>
      <c r="Q284" s="12">
        <v>310</v>
      </c>
      <c r="R284" s="12">
        <v>175</v>
      </c>
      <c r="S284" t="s">
        <v>1246</v>
      </c>
      <c r="T284" t="s">
        <v>109</v>
      </c>
      <c r="U284" t="s">
        <v>1199</v>
      </c>
    </row>
    <row r="285" spans="1:21" x14ac:dyDescent="0.25">
      <c r="A285" t="s">
        <v>1761</v>
      </c>
      <c r="B285" s="8">
        <v>45731</v>
      </c>
      <c r="C285" t="s">
        <v>2524</v>
      </c>
      <c r="D285" t="s">
        <v>543</v>
      </c>
      <c r="E285" t="s">
        <v>198</v>
      </c>
      <c r="F285">
        <v>51</v>
      </c>
      <c r="G285" t="s">
        <v>7</v>
      </c>
      <c r="H285" t="s">
        <v>8</v>
      </c>
      <c r="I285" t="s">
        <v>28</v>
      </c>
      <c r="J285" t="s">
        <v>35</v>
      </c>
      <c r="K285" t="s">
        <v>22</v>
      </c>
      <c r="L285">
        <v>2</v>
      </c>
      <c r="M285" s="12">
        <v>16499</v>
      </c>
      <c r="N285" s="12">
        <v>14519.12</v>
      </c>
      <c r="O285">
        <v>7</v>
      </c>
      <c r="P285" s="12">
        <v>30688.14</v>
      </c>
      <c r="Q285" s="12">
        <v>29038.240000000002</v>
      </c>
      <c r="R285" s="12">
        <v>1649.8999999999978</v>
      </c>
      <c r="S285" t="s">
        <v>113</v>
      </c>
      <c r="T285" t="s">
        <v>108</v>
      </c>
      <c r="U285" t="s">
        <v>1194</v>
      </c>
    </row>
    <row r="286" spans="1:21" x14ac:dyDescent="0.25">
      <c r="A286" t="s">
        <v>1763</v>
      </c>
      <c r="B286" s="8">
        <v>45753</v>
      </c>
      <c r="C286" t="s">
        <v>2678</v>
      </c>
      <c r="D286" t="s">
        <v>980</v>
      </c>
      <c r="E286" t="s">
        <v>218</v>
      </c>
      <c r="F286">
        <v>34</v>
      </c>
      <c r="G286" t="s">
        <v>9</v>
      </c>
      <c r="H286" t="s">
        <v>8</v>
      </c>
      <c r="I286" t="s">
        <v>21</v>
      </c>
      <c r="J286" t="s">
        <v>23</v>
      </c>
      <c r="K286" t="s">
        <v>22</v>
      </c>
      <c r="L286">
        <v>3</v>
      </c>
      <c r="M286" s="12">
        <v>54999</v>
      </c>
      <c r="N286" s="12">
        <v>45099.18</v>
      </c>
      <c r="O286">
        <v>4</v>
      </c>
      <c r="P286" s="12">
        <v>158397.12</v>
      </c>
      <c r="Q286" s="12">
        <v>135297.54</v>
      </c>
      <c r="R286" s="12">
        <v>23099.579999999987</v>
      </c>
      <c r="S286" t="s">
        <v>113</v>
      </c>
      <c r="T286" t="s">
        <v>107</v>
      </c>
      <c r="U286" t="s">
        <v>1209</v>
      </c>
    </row>
    <row r="287" spans="1:21" x14ac:dyDescent="0.25">
      <c r="A287" t="s">
        <v>1765</v>
      </c>
      <c r="B287" s="8">
        <v>46006</v>
      </c>
      <c r="C287" t="s">
        <v>1646</v>
      </c>
      <c r="D287" t="s">
        <v>1078</v>
      </c>
      <c r="E287" t="s">
        <v>218</v>
      </c>
      <c r="F287">
        <v>58</v>
      </c>
      <c r="G287" t="s">
        <v>11</v>
      </c>
      <c r="H287" t="s">
        <v>12</v>
      </c>
      <c r="I287" t="s">
        <v>51</v>
      </c>
      <c r="J287" t="s">
        <v>54</v>
      </c>
      <c r="K287" t="s">
        <v>43</v>
      </c>
      <c r="L287">
        <v>3</v>
      </c>
      <c r="M287" s="12">
        <v>27499</v>
      </c>
      <c r="N287" s="12">
        <v>21724.210000000003</v>
      </c>
      <c r="O287">
        <v>15</v>
      </c>
      <c r="P287" s="12">
        <v>70122.45</v>
      </c>
      <c r="Q287" s="12">
        <v>65172.630000000005</v>
      </c>
      <c r="R287" s="12">
        <v>4949.8199999999924</v>
      </c>
      <c r="S287" t="s">
        <v>1246</v>
      </c>
      <c r="T287" t="s">
        <v>110</v>
      </c>
      <c r="U287" t="s">
        <v>1209</v>
      </c>
    </row>
    <row r="288" spans="1:21" x14ac:dyDescent="0.25">
      <c r="A288" t="s">
        <v>1767</v>
      </c>
      <c r="B288" s="8">
        <v>45820</v>
      </c>
      <c r="C288" t="s">
        <v>3606</v>
      </c>
      <c r="D288" t="s">
        <v>1138</v>
      </c>
      <c r="E288" t="s">
        <v>198</v>
      </c>
      <c r="F288">
        <v>20</v>
      </c>
      <c r="G288" t="s">
        <v>14</v>
      </c>
      <c r="H288" t="s">
        <v>15</v>
      </c>
      <c r="I288" t="s">
        <v>53</v>
      </c>
      <c r="J288" t="s">
        <v>48</v>
      </c>
      <c r="K288" t="s">
        <v>43</v>
      </c>
      <c r="L288">
        <v>1</v>
      </c>
      <c r="M288" s="12">
        <v>6499</v>
      </c>
      <c r="N288" s="12">
        <v>4549.2999999999993</v>
      </c>
      <c r="O288">
        <v>4</v>
      </c>
      <c r="P288" s="12">
        <v>6239.04</v>
      </c>
      <c r="Q288" s="12">
        <v>4549.2999999999993</v>
      </c>
      <c r="R288" s="12">
        <v>1689.7400000000007</v>
      </c>
      <c r="S288" t="s">
        <v>1246</v>
      </c>
      <c r="T288" t="s">
        <v>107</v>
      </c>
      <c r="U288" t="s">
        <v>1201</v>
      </c>
    </row>
    <row r="289" spans="1:21" x14ac:dyDescent="0.25">
      <c r="A289" t="s">
        <v>1769</v>
      </c>
      <c r="B289" s="8">
        <v>45676</v>
      </c>
      <c r="C289" t="s">
        <v>1376</v>
      </c>
      <c r="D289" t="s">
        <v>1011</v>
      </c>
      <c r="E289" t="s">
        <v>218</v>
      </c>
      <c r="F289">
        <v>51</v>
      </c>
      <c r="G289" t="s">
        <v>7</v>
      </c>
      <c r="H289" t="s">
        <v>8</v>
      </c>
      <c r="I289" t="s">
        <v>24</v>
      </c>
      <c r="J289" t="s">
        <v>25</v>
      </c>
      <c r="K289" t="s">
        <v>22</v>
      </c>
      <c r="L289">
        <v>5</v>
      </c>
      <c r="M289" s="12">
        <v>35800</v>
      </c>
      <c r="N289" s="12">
        <v>28640</v>
      </c>
      <c r="O289">
        <v>6</v>
      </c>
      <c r="P289" s="12">
        <v>168260</v>
      </c>
      <c r="Q289" s="12">
        <v>143200</v>
      </c>
      <c r="R289" s="12">
        <v>25060</v>
      </c>
      <c r="S289" t="s">
        <v>1246</v>
      </c>
      <c r="T289" t="s">
        <v>107</v>
      </c>
      <c r="U289" t="s">
        <v>1196</v>
      </c>
    </row>
    <row r="290" spans="1:21" x14ac:dyDescent="0.25">
      <c r="A290" t="s">
        <v>1771</v>
      </c>
      <c r="B290" s="8">
        <v>45780</v>
      </c>
      <c r="C290" t="s">
        <v>1498</v>
      </c>
      <c r="D290" t="s">
        <v>1005</v>
      </c>
      <c r="E290" t="s">
        <v>218</v>
      </c>
      <c r="F290">
        <v>50</v>
      </c>
      <c r="G290" t="s">
        <v>2</v>
      </c>
      <c r="H290" t="s">
        <v>3</v>
      </c>
      <c r="I290" t="s">
        <v>51</v>
      </c>
      <c r="J290" t="s">
        <v>54</v>
      </c>
      <c r="K290" t="s">
        <v>43</v>
      </c>
      <c r="L290">
        <v>4</v>
      </c>
      <c r="M290" s="12">
        <v>27499</v>
      </c>
      <c r="N290" s="12">
        <v>21724.210000000003</v>
      </c>
      <c r="O290">
        <v>5</v>
      </c>
      <c r="P290" s="12">
        <v>104496.2</v>
      </c>
      <c r="Q290" s="12">
        <v>86896.840000000011</v>
      </c>
      <c r="R290" s="12">
        <v>17599.359999999986</v>
      </c>
      <c r="S290" t="s">
        <v>1246</v>
      </c>
      <c r="T290" t="s">
        <v>108</v>
      </c>
      <c r="U290" t="s">
        <v>1205</v>
      </c>
    </row>
    <row r="291" spans="1:21" x14ac:dyDescent="0.25">
      <c r="A291" t="s">
        <v>1773</v>
      </c>
      <c r="B291" s="8">
        <v>45986</v>
      </c>
      <c r="C291" t="s">
        <v>5089</v>
      </c>
      <c r="D291" t="s">
        <v>611</v>
      </c>
      <c r="E291" t="s">
        <v>218</v>
      </c>
      <c r="F291">
        <v>49</v>
      </c>
      <c r="G291" t="s">
        <v>16</v>
      </c>
      <c r="H291" t="s">
        <v>15</v>
      </c>
      <c r="I291" t="s">
        <v>36</v>
      </c>
      <c r="J291" t="s">
        <v>136</v>
      </c>
      <c r="K291" t="s">
        <v>22</v>
      </c>
      <c r="L291">
        <v>5</v>
      </c>
      <c r="M291" s="12">
        <v>3590</v>
      </c>
      <c r="N291" s="12">
        <v>2333.5</v>
      </c>
      <c r="O291">
        <v>18</v>
      </c>
      <c r="P291" s="12">
        <v>14719.000000000002</v>
      </c>
      <c r="Q291" s="12">
        <v>11667.5</v>
      </c>
      <c r="R291" s="12">
        <v>3051.5000000000018</v>
      </c>
      <c r="S291" t="s">
        <v>113</v>
      </c>
      <c r="T291" t="s">
        <v>108</v>
      </c>
      <c r="U291" t="s">
        <v>1201</v>
      </c>
    </row>
    <row r="292" spans="1:21" x14ac:dyDescent="0.25">
      <c r="A292" t="s">
        <v>1775</v>
      </c>
      <c r="B292" s="8">
        <v>45871</v>
      </c>
      <c r="C292" t="s">
        <v>1881</v>
      </c>
      <c r="D292" t="s">
        <v>1189</v>
      </c>
      <c r="E292" t="s">
        <v>218</v>
      </c>
      <c r="F292">
        <v>21</v>
      </c>
      <c r="G292" t="s">
        <v>11</v>
      </c>
      <c r="H292" t="s">
        <v>12</v>
      </c>
      <c r="I292" t="s">
        <v>42</v>
      </c>
      <c r="J292" t="s">
        <v>44</v>
      </c>
      <c r="K292" t="s">
        <v>43</v>
      </c>
      <c r="L292">
        <v>2</v>
      </c>
      <c r="M292" s="12">
        <v>8999</v>
      </c>
      <c r="N292" s="12">
        <v>6479.28</v>
      </c>
      <c r="O292">
        <v>8</v>
      </c>
      <c r="P292" s="12">
        <v>16558.16</v>
      </c>
      <c r="Q292" s="12">
        <v>12958.56</v>
      </c>
      <c r="R292" s="12">
        <v>3599.6000000000004</v>
      </c>
      <c r="S292" t="s">
        <v>113</v>
      </c>
      <c r="T292" t="s">
        <v>109</v>
      </c>
      <c r="U292" t="s">
        <v>1207</v>
      </c>
    </row>
    <row r="293" spans="1:21" x14ac:dyDescent="0.25">
      <c r="A293" t="s">
        <v>1777</v>
      </c>
      <c r="B293" s="8">
        <v>45940</v>
      </c>
      <c r="C293" t="s">
        <v>2221</v>
      </c>
      <c r="D293" t="s">
        <v>808</v>
      </c>
      <c r="E293" t="s">
        <v>218</v>
      </c>
      <c r="F293">
        <v>51</v>
      </c>
      <c r="G293" t="s">
        <v>2</v>
      </c>
      <c r="H293" t="s">
        <v>3</v>
      </c>
      <c r="I293" t="s">
        <v>34</v>
      </c>
      <c r="J293" t="s">
        <v>137</v>
      </c>
      <c r="K293" t="s">
        <v>22</v>
      </c>
      <c r="L293">
        <v>5</v>
      </c>
      <c r="M293" s="12">
        <v>6900</v>
      </c>
      <c r="N293" s="12">
        <v>5727</v>
      </c>
      <c r="O293">
        <v>7</v>
      </c>
      <c r="P293" s="12">
        <v>32084.999999999996</v>
      </c>
      <c r="Q293" s="12">
        <v>28635</v>
      </c>
      <c r="R293" s="12">
        <v>3449.9999999999964</v>
      </c>
      <c r="S293" t="s">
        <v>113</v>
      </c>
      <c r="T293" t="s">
        <v>108</v>
      </c>
      <c r="U293" t="s">
        <v>1209</v>
      </c>
    </row>
    <row r="294" spans="1:21" x14ac:dyDescent="0.25">
      <c r="A294" t="s">
        <v>1779</v>
      </c>
      <c r="B294" s="8">
        <v>45991</v>
      </c>
      <c r="C294" t="s">
        <v>3296</v>
      </c>
      <c r="D294" t="s">
        <v>430</v>
      </c>
      <c r="E294" t="s">
        <v>218</v>
      </c>
      <c r="F294">
        <v>54</v>
      </c>
      <c r="G294" t="s">
        <v>7</v>
      </c>
      <c r="H294" t="s">
        <v>8</v>
      </c>
      <c r="I294" t="s">
        <v>21</v>
      </c>
      <c r="J294" t="s">
        <v>23</v>
      </c>
      <c r="K294" t="s">
        <v>22</v>
      </c>
      <c r="L294">
        <v>2</v>
      </c>
      <c r="M294" s="12">
        <v>54999</v>
      </c>
      <c r="N294" s="12">
        <v>45099.18</v>
      </c>
      <c r="O294">
        <v>14</v>
      </c>
      <c r="P294" s="12">
        <v>94598.28</v>
      </c>
      <c r="Q294" s="12">
        <v>90198.36</v>
      </c>
      <c r="R294" s="12">
        <v>4399.9199999999983</v>
      </c>
      <c r="S294" t="s">
        <v>113</v>
      </c>
      <c r="T294" t="s">
        <v>107</v>
      </c>
      <c r="U294" t="s">
        <v>1199</v>
      </c>
    </row>
    <row r="295" spans="1:21" x14ac:dyDescent="0.25">
      <c r="A295" t="s">
        <v>1780</v>
      </c>
      <c r="B295" s="8">
        <v>45926</v>
      </c>
      <c r="C295" t="s">
        <v>2627</v>
      </c>
      <c r="D295" t="s">
        <v>970</v>
      </c>
      <c r="E295" t="s">
        <v>198</v>
      </c>
      <c r="F295">
        <v>58</v>
      </c>
      <c r="G295" t="s">
        <v>16</v>
      </c>
      <c r="H295" t="s">
        <v>15</v>
      </c>
      <c r="I295" t="s">
        <v>47</v>
      </c>
      <c r="J295" t="s">
        <v>52</v>
      </c>
      <c r="K295" t="s">
        <v>43</v>
      </c>
      <c r="L295">
        <v>2</v>
      </c>
      <c r="M295" s="12">
        <v>42999</v>
      </c>
      <c r="N295" s="12">
        <v>33539.22</v>
      </c>
      <c r="O295">
        <v>8</v>
      </c>
      <c r="P295" s="12">
        <v>79118.16</v>
      </c>
      <c r="Q295" s="12">
        <v>67078.44</v>
      </c>
      <c r="R295" s="12">
        <v>12039.720000000001</v>
      </c>
      <c r="S295" t="s">
        <v>1246</v>
      </c>
      <c r="T295" t="s">
        <v>107</v>
      </c>
      <c r="U295" t="s">
        <v>1211</v>
      </c>
    </row>
    <row r="296" spans="1:21" x14ac:dyDescent="0.25">
      <c r="A296" t="s">
        <v>1782</v>
      </c>
      <c r="B296" s="8">
        <v>45677</v>
      </c>
      <c r="C296" t="s">
        <v>4152</v>
      </c>
      <c r="D296" t="s">
        <v>747</v>
      </c>
      <c r="E296" t="s">
        <v>218</v>
      </c>
      <c r="F296">
        <v>39</v>
      </c>
      <c r="G296" t="s">
        <v>16</v>
      </c>
      <c r="H296" t="s">
        <v>15</v>
      </c>
      <c r="I296" t="s">
        <v>26</v>
      </c>
      <c r="J296" t="s">
        <v>27</v>
      </c>
      <c r="K296" t="s">
        <v>22</v>
      </c>
      <c r="L296">
        <v>1</v>
      </c>
      <c r="M296" s="12">
        <v>27499</v>
      </c>
      <c r="N296" s="12">
        <v>23374.149999999998</v>
      </c>
      <c r="O296">
        <v>7</v>
      </c>
      <c r="P296" s="12">
        <v>25574.07</v>
      </c>
      <c r="Q296" s="12">
        <v>23374.149999999998</v>
      </c>
      <c r="R296" s="12">
        <v>2199.9200000000019</v>
      </c>
      <c r="S296" t="s">
        <v>1246</v>
      </c>
      <c r="T296" t="s">
        <v>107</v>
      </c>
      <c r="U296" t="s">
        <v>1194</v>
      </c>
    </row>
    <row r="297" spans="1:21" x14ac:dyDescent="0.25">
      <c r="A297" t="s">
        <v>1784</v>
      </c>
      <c r="B297" s="8">
        <v>46021</v>
      </c>
      <c r="C297" t="s">
        <v>1551</v>
      </c>
      <c r="D297" t="s">
        <v>830</v>
      </c>
      <c r="E297" t="s">
        <v>218</v>
      </c>
      <c r="F297">
        <v>20</v>
      </c>
      <c r="G297" t="s">
        <v>5</v>
      </c>
      <c r="H297" t="s">
        <v>3</v>
      </c>
      <c r="I297" t="s">
        <v>55</v>
      </c>
      <c r="J297" t="s">
        <v>65</v>
      </c>
      <c r="K297" t="s">
        <v>64</v>
      </c>
      <c r="L297">
        <v>3</v>
      </c>
      <c r="M297" s="12">
        <v>80</v>
      </c>
      <c r="N297" s="12">
        <v>56</v>
      </c>
      <c r="O297">
        <v>5</v>
      </c>
      <c r="P297" s="12">
        <v>228</v>
      </c>
      <c r="Q297" s="12">
        <v>168</v>
      </c>
      <c r="R297" s="12">
        <v>60</v>
      </c>
      <c r="S297" t="s">
        <v>113</v>
      </c>
      <c r="T297" t="s">
        <v>108</v>
      </c>
      <c r="U297" t="s">
        <v>1194</v>
      </c>
    </row>
    <row r="298" spans="1:21" x14ac:dyDescent="0.25">
      <c r="A298" t="s">
        <v>1786</v>
      </c>
      <c r="B298" s="8">
        <v>45847</v>
      </c>
      <c r="C298" t="s">
        <v>1466</v>
      </c>
      <c r="D298" t="s">
        <v>691</v>
      </c>
      <c r="E298" t="s">
        <v>218</v>
      </c>
      <c r="F298">
        <v>40</v>
      </c>
      <c r="G298" t="s">
        <v>5</v>
      </c>
      <c r="H298" t="s">
        <v>3</v>
      </c>
      <c r="I298" t="s">
        <v>34</v>
      </c>
      <c r="J298" t="s">
        <v>137</v>
      </c>
      <c r="K298" t="s">
        <v>22</v>
      </c>
      <c r="L298">
        <v>5</v>
      </c>
      <c r="M298" s="12">
        <v>6900</v>
      </c>
      <c r="N298" s="12">
        <v>5727</v>
      </c>
      <c r="O298">
        <v>3</v>
      </c>
      <c r="P298" s="12">
        <v>33465</v>
      </c>
      <c r="Q298" s="12">
        <v>28635</v>
      </c>
      <c r="R298" s="12">
        <v>4830</v>
      </c>
      <c r="S298" t="s">
        <v>1246</v>
      </c>
      <c r="T298" t="s">
        <v>108</v>
      </c>
      <c r="U298" t="s">
        <v>1196</v>
      </c>
    </row>
    <row r="299" spans="1:21" x14ac:dyDescent="0.25">
      <c r="A299" t="s">
        <v>1788</v>
      </c>
      <c r="B299" s="8">
        <v>45887</v>
      </c>
      <c r="C299" t="s">
        <v>1363</v>
      </c>
      <c r="D299" t="s">
        <v>1117</v>
      </c>
      <c r="E299" t="s">
        <v>198</v>
      </c>
      <c r="F299">
        <v>36</v>
      </c>
      <c r="G299" t="s">
        <v>17</v>
      </c>
      <c r="H299" t="s">
        <v>15</v>
      </c>
      <c r="I299" t="s">
        <v>45</v>
      </c>
      <c r="J299" t="s">
        <v>46</v>
      </c>
      <c r="K299" t="s">
        <v>43</v>
      </c>
      <c r="L299">
        <v>5</v>
      </c>
      <c r="M299" s="12">
        <v>11999</v>
      </c>
      <c r="N299" s="12">
        <v>8999.25</v>
      </c>
      <c r="O299">
        <v>10</v>
      </c>
      <c r="P299" s="12">
        <v>53995.5</v>
      </c>
      <c r="Q299" s="12">
        <v>44996.25</v>
      </c>
      <c r="R299" s="12">
        <v>8999.25</v>
      </c>
      <c r="S299" t="s">
        <v>1246</v>
      </c>
      <c r="T299" t="s">
        <v>108</v>
      </c>
      <c r="U299" t="s">
        <v>1196</v>
      </c>
    </row>
    <row r="300" spans="1:21" x14ac:dyDescent="0.25">
      <c r="A300" t="s">
        <v>1790</v>
      </c>
      <c r="B300" s="8">
        <v>45998</v>
      </c>
      <c r="C300" t="s">
        <v>2027</v>
      </c>
      <c r="D300" t="s">
        <v>369</v>
      </c>
      <c r="E300" t="s">
        <v>198</v>
      </c>
      <c r="F300">
        <v>24</v>
      </c>
      <c r="G300" t="s">
        <v>9</v>
      </c>
      <c r="H300" t="s">
        <v>8</v>
      </c>
      <c r="I300" t="s">
        <v>49</v>
      </c>
      <c r="J300" t="s">
        <v>56</v>
      </c>
      <c r="K300" t="s">
        <v>43</v>
      </c>
      <c r="L300">
        <v>4</v>
      </c>
      <c r="M300" s="12">
        <v>31999</v>
      </c>
      <c r="N300" s="12">
        <v>25599.200000000001</v>
      </c>
      <c r="O300">
        <v>16</v>
      </c>
      <c r="P300" s="12">
        <v>107516.64</v>
      </c>
      <c r="Q300" s="12">
        <v>102396.8</v>
      </c>
      <c r="R300" s="12">
        <v>5119.8399999999965</v>
      </c>
      <c r="S300" t="s">
        <v>113</v>
      </c>
      <c r="T300" t="s">
        <v>107</v>
      </c>
      <c r="U300" t="s">
        <v>1196</v>
      </c>
    </row>
    <row r="301" spans="1:21" x14ac:dyDescent="0.25">
      <c r="A301" t="s">
        <v>1791</v>
      </c>
      <c r="B301" s="8">
        <v>45685</v>
      </c>
      <c r="C301" t="s">
        <v>2210</v>
      </c>
      <c r="D301" t="s">
        <v>805</v>
      </c>
      <c r="E301" t="s">
        <v>218</v>
      </c>
      <c r="F301">
        <v>54</v>
      </c>
      <c r="G301" t="s">
        <v>7</v>
      </c>
      <c r="H301" t="s">
        <v>8</v>
      </c>
      <c r="I301" t="s">
        <v>24</v>
      </c>
      <c r="J301" t="s">
        <v>25</v>
      </c>
      <c r="K301" t="s">
        <v>22</v>
      </c>
      <c r="L301">
        <v>5</v>
      </c>
      <c r="M301" s="12">
        <v>35800</v>
      </c>
      <c r="N301" s="12">
        <v>28640</v>
      </c>
      <c r="O301">
        <v>5</v>
      </c>
      <c r="P301" s="12">
        <v>170050</v>
      </c>
      <c r="Q301" s="12">
        <v>143200</v>
      </c>
      <c r="R301" s="12">
        <v>26850</v>
      </c>
      <c r="S301" t="s">
        <v>113</v>
      </c>
      <c r="T301" t="s">
        <v>109</v>
      </c>
      <c r="U301" t="s">
        <v>1209</v>
      </c>
    </row>
    <row r="302" spans="1:21" x14ac:dyDescent="0.25">
      <c r="A302" t="s">
        <v>1792</v>
      </c>
      <c r="B302" s="8">
        <v>45673</v>
      </c>
      <c r="C302" t="s">
        <v>2232</v>
      </c>
      <c r="D302" t="s">
        <v>794</v>
      </c>
      <c r="E302" t="s">
        <v>218</v>
      </c>
      <c r="F302">
        <v>27</v>
      </c>
      <c r="G302" t="s">
        <v>4</v>
      </c>
      <c r="H302" t="s">
        <v>3</v>
      </c>
      <c r="I302" t="s">
        <v>30</v>
      </c>
      <c r="J302" t="s">
        <v>41</v>
      </c>
      <c r="K302" t="s">
        <v>22</v>
      </c>
      <c r="L302">
        <v>1</v>
      </c>
      <c r="M302" s="12">
        <v>13749</v>
      </c>
      <c r="N302" s="12">
        <v>10999.2</v>
      </c>
      <c r="O302">
        <v>6</v>
      </c>
      <c r="P302" s="12">
        <v>12924.06</v>
      </c>
      <c r="Q302" s="12">
        <v>10999.2</v>
      </c>
      <c r="R302" s="12">
        <v>1924.8599999999988</v>
      </c>
      <c r="S302" t="s">
        <v>113</v>
      </c>
      <c r="T302" t="s">
        <v>107</v>
      </c>
      <c r="U302" t="s">
        <v>1207</v>
      </c>
    </row>
    <row r="303" spans="1:21" x14ac:dyDescent="0.25">
      <c r="A303" t="s">
        <v>1794</v>
      </c>
      <c r="B303" s="8">
        <v>45930</v>
      </c>
      <c r="C303" t="s">
        <v>1743</v>
      </c>
      <c r="D303" t="s">
        <v>511</v>
      </c>
      <c r="E303" t="s">
        <v>218</v>
      </c>
      <c r="F303">
        <v>46</v>
      </c>
      <c r="G303" t="s">
        <v>289</v>
      </c>
      <c r="H303" t="s">
        <v>3</v>
      </c>
      <c r="I303" t="s">
        <v>34</v>
      </c>
      <c r="J303" t="s">
        <v>137</v>
      </c>
      <c r="K303" t="s">
        <v>22</v>
      </c>
      <c r="L303">
        <v>5</v>
      </c>
      <c r="M303" s="12">
        <v>6900</v>
      </c>
      <c r="N303" s="12">
        <v>5727</v>
      </c>
      <c r="O303">
        <v>8</v>
      </c>
      <c r="P303" s="12">
        <v>31740</v>
      </c>
      <c r="Q303" s="12">
        <v>28635</v>
      </c>
      <c r="R303" s="12">
        <v>3105</v>
      </c>
      <c r="S303" t="s">
        <v>1246</v>
      </c>
      <c r="T303" t="s">
        <v>111</v>
      </c>
      <c r="U303" t="s">
        <v>1196</v>
      </c>
    </row>
    <row r="304" spans="1:21" x14ac:dyDescent="0.25">
      <c r="A304" t="s">
        <v>1796</v>
      </c>
      <c r="B304" s="8">
        <v>45908</v>
      </c>
      <c r="C304" t="s">
        <v>1326</v>
      </c>
      <c r="D304" t="s">
        <v>967</v>
      </c>
      <c r="E304" t="s">
        <v>198</v>
      </c>
      <c r="F304">
        <v>53</v>
      </c>
      <c r="G304" t="s">
        <v>289</v>
      </c>
      <c r="H304" t="s">
        <v>3</v>
      </c>
      <c r="I304" t="s">
        <v>55</v>
      </c>
      <c r="J304" t="s">
        <v>65</v>
      </c>
      <c r="K304" t="s">
        <v>64</v>
      </c>
      <c r="L304">
        <v>2</v>
      </c>
      <c r="M304" s="12">
        <v>80</v>
      </c>
      <c r="N304" s="12">
        <v>56</v>
      </c>
      <c r="O304">
        <v>1</v>
      </c>
      <c r="P304" s="12">
        <v>158.4</v>
      </c>
      <c r="Q304" s="12">
        <v>112</v>
      </c>
      <c r="R304" s="12">
        <v>46.400000000000006</v>
      </c>
      <c r="S304" t="s">
        <v>1246</v>
      </c>
      <c r="T304" t="s">
        <v>111</v>
      </c>
      <c r="U304" t="s">
        <v>1205</v>
      </c>
    </row>
    <row r="305" spans="1:21" x14ac:dyDescent="0.25">
      <c r="A305" t="s">
        <v>1798</v>
      </c>
      <c r="B305" s="8">
        <v>45687</v>
      </c>
      <c r="C305" t="s">
        <v>2750</v>
      </c>
      <c r="D305" t="s">
        <v>622</v>
      </c>
      <c r="E305" t="s">
        <v>218</v>
      </c>
      <c r="F305">
        <v>29</v>
      </c>
      <c r="G305" t="s">
        <v>16</v>
      </c>
      <c r="H305" t="s">
        <v>15</v>
      </c>
      <c r="I305" t="s">
        <v>57</v>
      </c>
      <c r="J305" t="s">
        <v>67</v>
      </c>
      <c r="K305" t="s">
        <v>64</v>
      </c>
      <c r="L305">
        <v>3</v>
      </c>
      <c r="M305" s="12">
        <v>150</v>
      </c>
      <c r="N305" s="12">
        <v>97.5</v>
      </c>
      <c r="O305">
        <v>15</v>
      </c>
      <c r="P305" s="12">
        <v>382.5</v>
      </c>
      <c r="Q305" s="12">
        <v>292.5</v>
      </c>
      <c r="R305" s="12">
        <v>90</v>
      </c>
      <c r="S305" t="s">
        <v>113</v>
      </c>
      <c r="T305" t="s">
        <v>111</v>
      </c>
      <c r="U305" t="s">
        <v>1194</v>
      </c>
    </row>
    <row r="306" spans="1:21" x14ac:dyDescent="0.25">
      <c r="A306" t="s">
        <v>1799</v>
      </c>
      <c r="B306" s="8">
        <v>45811</v>
      </c>
      <c r="C306" t="s">
        <v>1621</v>
      </c>
      <c r="D306" t="s">
        <v>1086</v>
      </c>
      <c r="E306" t="s">
        <v>218</v>
      </c>
      <c r="F306">
        <v>24</v>
      </c>
      <c r="G306" t="s">
        <v>2</v>
      </c>
      <c r="H306" t="s">
        <v>3</v>
      </c>
      <c r="I306" t="s">
        <v>53</v>
      </c>
      <c r="J306" t="s">
        <v>48</v>
      </c>
      <c r="K306" t="s">
        <v>43</v>
      </c>
      <c r="L306">
        <v>5</v>
      </c>
      <c r="M306" s="12">
        <v>6499</v>
      </c>
      <c r="N306" s="12">
        <v>4549.2999999999993</v>
      </c>
      <c r="O306">
        <v>3</v>
      </c>
      <c r="P306" s="12">
        <v>31520.149999999998</v>
      </c>
      <c r="Q306" s="12">
        <v>22746.499999999996</v>
      </c>
      <c r="R306" s="12">
        <v>8773.6500000000015</v>
      </c>
      <c r="S306" t="s">
        <v>113</v>
      </c>
      <c r="T306" t="s">
        <v>107</v>
      </c>
      <c r="U306" t="s">
        <v>1207</v>
      </c>
    </row>
    <row r="307" spans="1:21" x14ac:dyDescent="0.25">
      <c r="A307" t="s">
        <v>1801</v>
      </c>
      <c r="B307" s="8">
        <v>45685</v>
      </c>
      <c r="C307" t="s">
        <v>3012</v>
      </c>
      <c r="D307" t="s">
        <v>896</v>
      </c>
      <c r="E307" t="s">
        <v>198</v>
      </c>
      <c r="F307">
        <v>53</v>
      </c>
      <c r="G307" t="s">
        <v>16</v>
      </c>
      <c r="H307" t="s">
        <v>15</v>
      </c>
      <c r="I307" t="s">
        <v>61</v>
      </c>
      <c r="J307" t="s">
        <v>146</v>
      </c>
      <c r="K307" t="s">
        <v>64</v>
      </c>
      <c r="L307">
        <v>3</v>
      </c>
      <c r="M307" s="12">
        <v>250</v>
      </c>
      <c r="N307" s="12">
        <v>155</v>
      </c>
      <c r="O307">
        <v>15</v>
      </c>
      <c r="P307" s="12">
        <v>637.5</v>
      </c>
      <c r="Q307" s="12">
        <v>465</v>
      </c>
      <c r="R307" s="12">
        <v>172.5</v>
      </c>
      <c r="S307" t="s">
        <v>113</v>
      </c>
      <c r="T307" t="s">
        <v>110</v>
      </c>
      <c r="U307" t="s">
        <v>1196</v>
      </c>
    </row>
    <row r="308" spans="1:21" x14ac:dyDescent="0.25">
      <c r="A308" t="s">
        <v>1803</v>
      </c>
      <c r="B308" s="8">
        <v>45928</v>
      </c>
      <c r="C308" t="s">
        <v>1245</v>
      </c>
      <c r="D308" t="s">
        <v>493</v>
      </c>
      <c r="E308" t="s">
        <v>218</v>
      </c>
      <c r="F308">
        <v>54</v>
      </c>
      <c r="G308" t="s">
        <v>290</v>
      </c>
      <c r="H308" t="s">
        <v>3</v>
      </c>
      <c r="I308" t="s">
        <v>51</v>
      </c>
      <c r="J308" t="s">
        <v>54</v>
      </c>
      <c r="K308" t="s">
        <v>43</v>
      </c>
      <c r="L308">
        <v>3</v>
      </c>
      <c r="M308" s="12">
        <v>27499</v>
      </c>
      <c r="N308" s="12">
        <v>21724.210000000003</v>
      </c>
      <c r="O308">
        <v>5</v>
      </c>
      <c r="P308" s="12">
        <v>78372.149999999994</v>
      </c>
      <c r="Q308" s="12">
        <v>65172.630000000005</v>
      </c>
      <c r="R308" s="12">
        <v>13199.51999999999</v>
      </c>
      <c r="S308" t="s">
        <v>1246</v>
      </c>
      <c r="T308" t="s">
        <v>109</v>
      </c>
      <c r="U308" t="s">
        <v>1194</v>
      </c>
    </row>
    <row r="309" spans="1:21" x14ac:dyDescent="0.25">
      <c r="A309" t="s">
        <v>1804</v>
      </c>
      <c r="B309" s="8">
        <v>45969</v>
      </c>
      <c r="C309" t="s">
        <v>2909</v>
      </c>
      <c r="D309" t="s">
        <v>814</v>
      </c>
      <c r="E309" t="s">
        <v>218</v>
      </c>
      <c r="F309">
        <v>55</v>
      </c>
      <c r="G309" t="s">
        <v>289</v>
      </c>
      <c r="H309" t="s">
        <v>3</v>
      </c>
      <c r="I309" t="s">
        <v>28</v>
      </c>
      <c r="J309" t="s">
        <v>35</v>
      </c>
      <c r="K309" t="s">
        <v>22</v>
      </c>
      <c r="L309">
        <v>5</v>
      </c>
      <c r="M309" s="12">
        <v>16499</v>
      </c>
      <c r="N309" s="12">
        <v>14519.12</v>
      </c>
      <c r="O309">
        <v>10</v>
      </c>
      <c r="P309" s="12">
        <v>74245.5</v>
      </c>
      <c r="Q309" s="12">
        <v>72595.600000000006</v>
      </c>
      <c r="R309" s="12">
        <v>1649.8999999999942</v>
      </c>
      <c r="S309" t="s">
        <v>113</v>
      </c>
      <c r="T309" t="s">
        <v>108</v>
      </c>
      <c r="U309" t="s">
        <v>1196</v>
      </c>
    </row>
    <row r="310" spans="1:21" x14ac:dyDescent="0.25">
      <c r="A310" t="s">
        <v>1806</v>
      </c>
      <c r="B310" s="8">
        <v>45739</v>
      </c>
      <c r="C310" t="s">
        <v>3170</v>
      </c>
      <c r="D310" t="s">
        <v>960</v>
      </c>
      <c r="E310" t="s">
        <v>218</v>
      </c>
      <c r="F310">
        <v>63</v>
      </c>
      <c r="G310" t="s">
        <v>11</v>
      </c>
      <c r="H310" t="s">
        <v>12</v>
      </c>
      <c r="I310" t="s">
        <v>55</v>
      </c>
      <c r="J310" t="s">
        <v>65</v>
      </c>
      <c r="K310" t="s">
        <v>64</v>
      </c>
      <c r="L310">
        <v>5</v>
      </c>
      <c r="M310" s="12">
        <v>80</v>
      </c>
      <c r="N310" s="12">
        <v>56</v>
      </c>
      <c r="O310">
        <v>5</v>
      </c>
      <c r="P310" s="12">
        <v>380</v>
      </c>
      <c r="Q310" s="12">
        <v>280</v>
      </c>
      <c r="R310" s="12">
        <v>100</v>
      </c>
      <c r="S310" t="s">
        <v>1246</v>
      </c>
      <c r="T310" t="s">
        <v>111</v>
      </c>
      <c r="U310" t="s">
        <v>1194</v>
      </c>
    </row>
    <row r="311" spans="1:21" x14ac:dyDescent="0.25">
      <c r="A311" t="s">
        <v>1808</v>
      </c>
      <c r="B311" s="8">
        <v>45800</v>
      </c>
      <c r="C311" t="s">
        <v>2396</v>
      </c>
      <c r="D311" t="s">
        <v>1001</v>
      </c>
      <c r="E311" t="s">
        <v>198</v>
      </c>
      <c r="F311">
        <v>35</v>
      </c>
      <c r="G311" t="s">
        <v>11</v>
      </c>
      <c r="H311" t="s">
        <v>12</v>
      </c>
      <c r="I311" t="s">
        <v>34</v>
      </c>
      <c r="J311" t="s">
        <v>137</v>
      </c>
      <c r="K311" t="s">
        <v>22</v>
      </c>
      <c r="L311">
        <v>4</v>
      </c>
      <c r="M311" s="12">
        <v>6900</v>
      </c>
      <c r="N311" s="12">
        <v>5727</v>
      </c>
      <c r="O311">
        <v>9</v>
      </c>
      <c r="P311" s="12">
        <v>25116</v>
      </c>
      <c r="Q311" s="12">
        <v>22908</v>
      </c>
      <c r="R311" s="12">
        <v>2208</v>
      </c>
      <c r="S311" t="s">
        <v>1249</v>
      </c>
      <c r="T311" t="s">
        <v>109</v>
      </c>
      <c r="U311" t="s">
        <v>1205</v>
      </c>
    </row>
    <row r="312" spans="1:21" x14ac:dyDescent="0.25">
      <c r="A312" t="s">
        <v>1810</v>
      </c>
      <c r="B312" s="8">
        <v>45684</v>
      </c>
      <c r="C312" t="s">
        <v>2548</v>
      </c>
      <c r="D312" t="s">
        <v>734</v>
      </c>
      <c r="E312" t="s">
        <v>218</v>
      </c>
      <c r="F312">
        <v>38</v>
      </c>
      <c r="G312" t="s">
        <v>16</v>
      </c>
      <c r="H312" t="s">
        <v>15</v>
      </c>
      <c r="I312" t="s">
        <v>42</v>
      </c>
      <c r="J312" t="s">
        <v>44</v>
      </c>
      <c r="K312" t="s">
        <v>43</v>
      </c>
      <c r="L312">
        <v>1</v>
      </c>
      <c r="M312" s="12">
        <v>8999</v>
      </c>
      <c r="N312" s="12">
        <v>6479.28</v>
      </c>
      <c r="O312">
        <v>4</v>
      </c>
      <c r="P312" s="12">
        <v>8639.0399999999991</v>
      </c>
      <c r="Q312" s="12">
        <v>6479.28</v>
      </c>
      <c r="R312" s="12">
        <v>2159.7599999999993</v>
      </c>
      <c r="S312" t="s">
        <v>113</v>
      </c>
      <c r="T312" t="s">
        <v>110</v>
      </c>
      <c r="U312" t="s">
        <v>1194</v>
      </c>
    </row>
    <row r="313" spans="1:21" x14ac:dyDescent="0.25">
      <c r="A313" t="s">
        <v>1812</v>
      </c>
      <c r="B313" s="8">
        <v>45910</v>
      </c>
      <c r="C313" t="s">
        <v>1731</v>
      </c>
      <c r="D313" t="s">
        <v>865</v>
      </c>
      <c r="E313" t="s">
        <v>198</v>
      </c>
      <c r="F313">
        <v>43</v>
      </c>
      <c r="G313" t="s">
        <v>10</v>
      </c>
      <c r="H313" t="s">
        <v>8</v>
      </c>
      <c r="I313" t="s">
        <v>34</v>
      </c>
      <c r="J313" t="s">
        <v>137</v>
      </c>
      <c r="K313" t="s">
        <v>22</v>
      </c>
      <c r="L313">
        <v>5</v>
      </c>
      <c r="M313" s="12">
        <v>6900</v>
      </c>
      <c r="N313" s="12">
        <v>5727</v>
      </c>
      <c r="O313">
        <v>6</v>
      </c>
      <c r="P313" s="12">
        <v>32429.999999999996</v>
      </c>
      <c r="Q313" s="12">
        <v>28635</v>
      </c>
      <c r="R313" s="12">
        <v>3794.9999999999964</v>
      </c>
      <c r="S313" t="s">
        <v>113</v>
      </c>
      <c r="T313" t="s">
        <v>110</v>
      </c>
      <c r="U313" t="s">
        <v>1196</v>
      </c>
    </row>
    <row r="314" spans="1:21" x14ac:dyDescent="0.25">
      <c r="A314" t="s">
        <v>1814</v>
      </c>
      <c r="B314" s="8">
        <v>45944</v>
      </c>
      <c r="C314" t="s">
        <v>2017</v>
      </c>
      <c r="D314" t="s">
        <v>421</v>
      </c>
      <c r="E314" t="s">
        <v>218</v>
      </c>
      <c r="F314">
        <v>38</v>
      </c>
      <c r="G314" t="s">
        <v>11</v>
      </c>
      <c r="H314" t="s">
        <v>12</v>
      </c>
      <c r="I314" t="s">
        <v>40</v>
      </c>
      <c r="J314" t="s">
        <v>39</v>
      </c>
      <c r="K314" t="s">
        <v>22</v>
      </c>
      <c r="L314">
        <v>5</v>
      </c>
      <c r="M314" s="12">
        <v>1100</v>
      </c>
      <c r="N314" s="12">
        <v>715</v>
      </c>
      <c r="O314">
        <v>4</v>
      </c>
      <c r="P314" s="12">
        <v>5280</v>
      </c>
      <c r="Q314" s="12">
        <v>3575</v>
      </c>
      <c r="R314" s="12">
        <v>1705</v>
      </c>
      <c r="S314" t="s">
        <v>113</v>
      </c>
      <c r="T314" t="s">
        <v>108</v>
      </c>
      <c r="U314" t="s">
        <v>1194</v>
      </c>
    </row>
    <row r="315" spans="1:21" x14ac:dyDescent="0.25">
      <c r="A315" t="s">
        <v>1815</v>
      </c>
      <c r="B315" s="8">
        <v>45945</v>
      </c>
      <c r="C315" t="s">
        <v>1534</v>
      </c>
      <c r="D315" t="s">
        <v>374</v>
      </c>
      <c r="E315" t="s">
        <v>218</v>
      </c>
      <c r="F315">
        <v>30</v>
      </c>
      <c r="G315" t="s">
        <v>14</v>
      </c>
      <c r="H315" t="s">
        <v>15</v>
      </c>
      <c r="I315" t="s">
        <v>63</v>
      </c>
      <c r="J315" t="s">
        <v>77</v>
      </c>
      <c r="K315" t="s">
        <v>64</v>
      </c>
      <c r="L315">
        <v>3</v>
      </c>
      <c r="M315" s="12">
        <v>650</v>
      </c>
      <c r="N315" s="12">
        <v>468</v>
      </c>
      <c r="O315">
        <v>4</v>
      </c>
      <c r="P315" s="12">
        <v>1872</v>
      </c>
      <c r="Q315" s="12">
        <v>1404</v>
      </c>
      <c r="R315" s="12">
        <v>468</v>
      </c>
      <c r="S315" t="s">
        <v>1246</v>
      </c>
      <c r="T315" t="s">
        <v>107</v>
      </c>
      <c r="U315" t="s">
        <v>1198</v>
      </c>
    </row>
    <row r="316" spans="1:21" x14ac:dyDescent="0.25">
      <c r="A316" t="s">
        <v>1817</v>
      </c>
      <c r="B316" s="8">
        <v>45806</v>
      </c>
      <c r="C316" t="s">
        <v>1932</v>
      </c>
      <c r="D316" t="s">
        <v>794</v>
      </c>
      <c r="E316" t="s">
        <v>218</v>
      </c>
      <c r="F316">
        <v>64</v>
      </c>
      <c r="G316" t="s">
        <v>14</v>
      </c>
      <c r="H316" t="s">
        <v>15</v>
      </c>
      <c r="I316" t="s">
        <v>59</v>
      </c>
      <c r="J316" t="s">
        <v>73</v>
      </c>
      <c r="K316" t="s">
        <v>64</v>
      </c>
      <c r="L316">
        <v>2</v>
      </c>
      <c r="M316" s="12">
        <v>120</v>
      </c>
      <c r="N316" s="12">
        <v>81.599999999999994</v>
      </c>
      <c r="O316">
        <v>11</v>
      </c>
      <c r="P316" s="12">
        <v>213.6</v>
      </c>
      <c r="Q316" s="12">
        <v>163.19999999999999</v>
      </c>
      <c r="R316" s="12">
        <v>50.400000000000006</v>
      </c>
      <c r="S316" t="s">
        <v>1246</v>
      </c>
      <c r="T316" t="s">
        <v>109</v>
      </c>
      <c r="U316" t="s">
        <v>1198</v>
      </c>
    </row>
    <row r="317" spans="1:21" x14ac:dyDescent="0.25">
      <c r="A317" t="s">
        <v>1818</v>
      </c>
      <c r="B317" s="8">
        <v>45721</v>
      </c>
      <c r="C317" t="s">
        <v>3710</v>
      </c>
      <c r="D317" t="s">
        <v>901</v>
      </c>
      <c r="E317" t="s">
        <v>218</v>
      </c>
      <c r="F317">
        <v>59</v>
      </c>
      <c r="G317" t="s">
        <v>289</v>
      </c>
      <c r="H317" t="s">
        <v>3</v>
      </c>
      <c r="I317" t="s">
        <v>26</v>
      </c>
      <c r="J317" t="s">
        <v>27</v>
      </c>
      <c r="K317" t="s">
        <v>22</v>
      </c>
      <c r="L317">
        <v>5</v>
      </c>
      <c r="M317" s="12">
        <v>27499</v>
      </c>
      <c r="N317" s="12">
        <v>23374.149999999998</v>
      </c>
      <c r="O317">
        <v>7</v>
      </c>
      <c r="P317" s="12">
        <v>127870.34999999999</v>
      </c>
      <c r="Q317" s="12">
        <v>116870.74999999999</v>
      </c>
      <c r="R317" s="12">
        <v>10999.600000000006</v>
      </c>
      <c r="S317" t="s">
        <v>1246</v>
      </c>
      <c r="T317" t="s">
        <v>107</v>
      </c>
      <c r="U317" t="s">
        <v>1209</v>
      </c>
    </row>
    <row r="318" spans="1:21" x14ac:dyDescent="0.25">
      <c r="A318" t="s">
        <v>1820</v>
      </c>
      <c r="B318" s="8">
        <v>45819</v>
      </c>
      <c r="C318" t="s">
        <v>3690</v>
      </c>
      <c r="D318" t="s">
        <v>512</v>
      </c>
      <c r="E318" t="s">
        <v>198</v>
      </c>
      <c r="F318">
        <v>48</v>
      </c>
      <c r="G318" t="s">
        <v>16</v>
      </c>
      <c r="H318" t="s">
        <v>15</v>
      </c>
      <c r="I318" t="s">
        <v>45</v>
      </c>
      <c r="J318" t="s">
        <v>46</v>
      </c>
      <c r="K318" t="s">
        <v>43</v>
      </c>
      <c r="L318">
        <v>3</v>
      </c>
      <c r="M318" s="12">
        <v>11999</v>
      </c>
      <c r="N318" s="12">
        <v>8999.25</v>
      </c>
      <c r="O318">
        <v>4</v>
      </c>
      <c r="P318" s="12">
        <v>34557.119999999995</v>
      </c>
      <c r="Q318" s="12">
        <v>26997.75</v>
      </c>
      <c r="R318" s="12">
        <v>7559.3699999999953</v>
      </c>
      <c r="S318" t="s">
        <v>113</v>
      </c>
      <c r="T318" t="s">
        <v>108</v>
      </c>
      <c r="U318" t="s">
        <v>1209</v>
      </c>
    </row>
    <row r="319" spans="1:21" x14ac:dyDescent="0.25">
      <c r="A319" t="s">
        <v>1821</v>
      </c>
      <c r="B319" s="8">
        <v>45788</v>
      </c>
      <c r="C319" t="s">
        <v>2713</v>
      </c>
      <c r="D319" t="s">
        <v>788</v>
      </c>
      <c r="E319" t="s">
        <v>218</v>
      </c>
      <c r="F319">
        <v>57</v>
      </c>
      <c r="G319" t="s">
        <v>4</v>
      </c>
      <c r="H319" t="s">
        <v>3</v>
      </c>
      <c r="I319" t="s">
        <v>42</v>
      </c>
      <c r="J319" t="s">
        <v>44</v>
      </c>
      <c r="K319" t="s">
        <v>43</v>
      </c>
      <c r="L319">
        <v>1</v>
      </c>
      <c r="M319" s="12">
        <v>8999</v>
      </c>
      <c r="N319" s="12">
        <v>6479.28</v>
      </c>
      <c r="O319">
        <v>4</v>
      </c>
      <c r="P319" s="12">
        <v>8639.0399999999991</v>
      </c>
      <c r="Q319" s="12">
        <v>6479.28</v>
      </c>
      <c r="R319" s="12">
        <v>2159.7599999999993</v>
      </c>
      <c r="S319" t="s">
        <v>1249</v>
      </c>
      <c r="T319" t="s">
        <v>109</v>
      </c>
      <c r="U319" t="s">
        <v>1207</v>
      </c>
    </row>
    <row r="320" spans="1:21" x14ac:dyDescent="0.25">
      <c r="A320" t="s">
        <v>1822</v>
      </c>
      <c r="B320" s="8">
        <v>45946</v>
      </c>
      <c r="C320" t="s">
        <v>2528</v>
      </c>
      <c r="D320" t="s">
        <v>704</v>
      </c>
      <c r="E320" t="s">
        <v>218</v>
      </c>
      <c r="F320">
        <v>28</v>
      </c>
      <c r="G320" t="s">
        <v>4</v>
      </c>
      <c r="H320" t="s">
        <v>3</v>
      </c>
      <c r="I320" t="s">
        <v>28</v>
      </c>
      <c r="J320" t="s">
        <v>35</v>
      </c>
      <c r="K320" t="s">
        <v>22</v>
      </c>
      <c r="L320">
        <v>1</v>
      </c>
      <c r="M320" s="12">
        <v>16499</v>
      </c>
      <c r="N320" s="12">
        <v>14519.12</v>
      </c>
      <c r="O320">
        <v>7</v>
      </c>
      <c r="P320" s="12">
        <v>15344.07</v>
      </c>
      <c r="Q320" s="12">
        <v>14519.12</v>
      </c>
      <c r="R320" s="12">
        <v>824.94999999999891</v>
      </c>
      <c r="S320" t="s">
        <v>113</v>
      </c>
      <c r="T320" t="s">
        <v>107</v>
      </c>
      <c r="U320" t="s">
        <v>1203</v>
      </c>
    </row>
    <row r="321" spans="1:21" x14ac:dyDescent="0.25">
      <c r="A321" t="s">
        <v>1824</v>
      </c>
      <c r="B321" s="8">
        <v>45874</v>
      </c>
      <c r="C321" t="s">
        <v>2729</v>
      </c>
      <c r="D321" t="s">
        <v>1037</v>
      </c>
      <c r="E321" t="s">
        <v>218</v>
      </c>
      <c r="F321">
        <v>62</v>
      </c>
      <c r="G321" t="s">
        <v>10</v>
      </c>
      <c r="H321" t="s">
        <v>8</v>
      </c>
      <c r="I321" t="s">
        <v>57</v>
      </c>
      <c r="J321" t="s">
        <v>67</v>
      </c>
      <c r="K321" t="s">
        <v>64</v>
      </c>
      <c r="L321">
        <v>1</v>
      </c>
      <c r="M321" s="12">
        <v>150</v>
      </c>
      <c r="N321" s="12">
        <v>97.5</v>
      </c>
      <c r="O321">
        <v>2</v>
      </c>
      <c r="P321" s="12">
        <v>147</v>
      </c>
      <c r="Q321" s="12">
        <v>97.5</v>
      </c>
      <c r="R321" s="12">
        <v>49.5</v>
      </c>
      <c r="S321" t="s">
        <v>1246</v>
      </c>
      <c r="T321" t="s">
        <v>109</v>
      </c>
      <c r="U321" t="s">
        <v>1198</v>
      </c>
    </row>
    <row r="322" spans="1:21" x14ac:dyDescent="0.25">
      <c r="A322" t="s">
        <v>1826</v>
      </c>
      <c r="B322" s="8">
        <v>46016</v>
      </c>
      <c r="C322" t="s">
        <v>1709</v>
      </c>
      <c r="D322" t="s">
        <v>550</v>
      </c>
      <c r="E322" t="s">
        <v>198</v>
      </c>
      <c r="F322">
        <v>37</v>
      </c>
      <c r="G322" t="s">
        <v>7</v>
      </c>
      <c r="H322" t="s">
        <v>8</v>
      </c>
      <c r="I322" t="s">
        <v>61</v>
      </c>
      <c r="J322" t="s">
        <v>146</v>
      </c>
      <c r="K322" t="s">
        <v>64</v>
      </c>
      <c r="L322">
        <v>5</v>
      </c>
      <c r="M322" s="12">
        <v>250</v>
      </c>
      <c r="N322" s="12">
        <v>155</v>
      </c>
      <c r="O322">
        <v>3</v>
      </c>
      <c r="P322" s="12">
        <v>1212.5</v>
      </c>
      <c r="Q322" s="12">
        <v>775</v>
      </c>
      <c r="R322" s="12">
        <v>437.5</v>
      </c>
      <c r="S322" t="s">
        <v>1246</v>
      </c>
      <c r="T322" t="s">
        <v>109</v>
      </c>
      <c r="U322" t="s">
        <v>1198</v>
      </c>
    </row>
    <row r="323" spans="1:21" x14ac:dyDescent="0.25">
      <c r="A323" t="s">
        <v>1828</v>
      </c>
      <c r="B323" s="8">
        <v>45958</v>
      </c>
      <c r="C323" t="s">
        <v>2403</v>
      </c>
      <c r="D323" t="s">
        <v>690</v>
      </c>
      <c r="E323" t="s">
        <v>218</v>
      </c>
      <c r="F323">
        <v>39</v>
      </c>
      <c r="G323" t="s">
        <v>14</v>
      </c>
      <c r="H323" t="s">
        <v>15</v>
      </c>
      <c r="I323" t="s">
        <v>51</v>
      </c>
      <c r="J323" t="s">
        <v>54</v>
      </c>
      <c r="K323" t="s">
        <v>43</v>
      </c>
      <c r="L323">
        <v>2</v>
      </c>
      <c r="M323" s="12">
        <v>27499</v>
      </c>
      <c r="N323" s="12">
        <v>21724.210000000003</v>
      </c>
      <c r="O323">
        <v>7</v>
      </c>
      <c r="P323" s="12">
        <v>51148.14</v>
      </c>
      <c r="Q323" s="12">
        <v>43448.420000000006</v>
      </c>
      <c r="R323" s="12">
        <v>7699.7199999999939</v>
      </c>
      <c r="S323" t="s">
        <v>1246</v>
      </c>
      <c r="T323" t="s">
        <v>110</v>
      </c>
      <c r="U323" t="s">
        <v>1198</v>
      </c>
    </row>
    <row r="324" spans="1:21" x14ac:dyDescent="0.25">
      <c r="A324" t="s">
        <v>1830</v>
      </c>
      <c r="B324" s="8">
        <v>45764</v>
      </c>
      <c r="C324" t="s">
        <v>2597</v>
      </c>
      <c r="D324" t="s">
        <v>435</v>
      </c>
      <c r="E324" t="s">
        <v>198</v>
      </c>
      <c r="F324">
        <v>33</v>
      </c>
      <c r="G324" t="s">
        <v>290</v>
      </c>
      <c r="H324" t="s">
        <v>3</v>
      </c>
      <c r="I324" t="s">
        <v>47</v>
      </c>
      <c r="J324" t="s">
        <v>52</v>
      </c>
      <c r="K324" t="s">
        <v>43</v>
      </c>
      <c r="L324">
        <v>4</v>
      </c>
      <c r="M324" s="12">
        <v>42999</v>
      </c>
      <c r="N324" s="12">
        <v>33539.22</v>
      </c>
      <c r="O324">
        <v>10</v>
      </c>
      <c r="P324" s="12">
        <v>154796.4</v>
      </c>
      <c r="Q324" s="12">
        <v>134156.88</v>
      </c>
      <c r="R324" s="12">
        <v>20639.51999999999</v>
      </c>
      <c r="S324" t="s">
        <v>1246</v>
      </c>
      <c r="T324" t="s">
        <v>107</v>
      </c>
      <c r="U324" t="s">
        <v>1198</v>
      </c>
    </row>
    <row r="325" spans="1:21" x14ac:dyDescent="0.25">
      <c r="A325" t="s">
        <v>1831</v>
      </c>
      <c r="B325" s="8">
        <v>45724</v>
      </c>
      <c r="C325" t="s">
        <v>1957</v>
      </c>
      <c r="D325" t="s">
        <v>523</v>
      </c>
      <c r="E325" t="s">
        <v>218</v>
      </c>
      <c r="F325">
        <v>63</v>
      </c>
      <c r="G325" t="s">
        <v>11</v>
      </c>
      <c r="H325" t="s">
        <v>12</v>
      </c>
      <c r="I325" t="s">
        <v>47</v>
      </c>
      <c r="J325" t="s">
        <v>52</v>
      </c>
      <c r="K325" t="s">
        <v>43</v>
      </c>
      <c r="L325">
        <v>5</v>
      </c>
      <c r="M325" s="12">
        <v>42999</v>
      </c>
      <c r="N325" s="12">
        <v>33539.22</v>
      </c>
      <c r="O325">
        <v>7</v>
      </c>
      <c r="P325" s="12">
        <v>199945.34999999998</v>
      </c>
      <c r="Q325" s="12">
        <v>167696.1</v>
      </c>
      <c r="R325" s="12">
        <v>32249.249999999971</v>
      </c>
      <c r="S325" t="s">
        <v>113</v>
      </c>
      <c r="T325" t="s">
        <v>108</v>
      </c>
      <c r="U325" t="s">
        <v>1199</v>
      </c>
    </row>
    <row r="326" spans="1:21" x14ac:dyDescent="0.25">
      <c r="A326" t="s">
        <v>1833</v>
      </c>
      <c r="B326" s="8">
        <v>45781</v>
      </c>
      <c r="C326" t="s">
        <v>5082</v>
      </c>
      <c r="D326" t="s">
        <v>628</v>
      </c>
      <c r="E326" t="s">
        <v>198</v>
      </c>
      <c r="F326">
        <v>42</v>
      </c>
      <c r="G326" t="s">
        <v>16</v>
      </c>
      <c r="H326" t="s">
        <v>15</v>
      </c>
      <c r="I326" t="s">
        <v>38</v>
      </c>
      <c r="J326" t="s">
        <v>37</v>
      </c>
      <c r="K326" t="s">
        <v>22</v>
      </c>
      <c r="L326">
        <v>3</v>
      </c>
      <c r="M326" s="12">
        <v>1650</v>
      </c>
      <c r="N326" s="12">
        <v>990</v>
      </c>
      <c r="O326">
        <v>8</v>
      </c>
      <c r="P326" s="12">
        <v>4554</v>
      </c>
      <c r="Q326" s="12">
        <v>2970</v>
      </c>
      <c r="R326" s="12">
        <v>1584</v>
      </c>
      <c r="S326" t="s">
        <v>113</v>
      </c>
      <c r="T326" t="s">
        <v>109</v>
      </c>
      <c r="U326" t="s">
        <v>1203</v>
      </c>
    </row>
    <row r="327" spans="1:21" x14ac:dyDescent="0.25">
      <c r="A327" t="s">
        <v>1834</v>
      </c>
      <c r="B327" s="8">
        <v>45716</v>
      </c>
      <c r="C327" t="s">
        <v>1450</v>
      </c>
      <c r="D327" t="s">
        <v>627</v>
      </c>
      <c r="E327" t="s">
        <v>218</v>
      </c>
      <c r="F327">
        <v>34</v>
      </c>
      <c r="G327" t="s">
        <v>4</v>
      </c>
      <c r="H327" t="s">
        <v>3</v>
      </c>
      <c r="I327" t="s">
        <v>61</v>
      </c>
      <c r="J327" t="s">
        <v>146</v>
      </c>
      <c r="K327" t="s">
        <v>64</v>
      </c>
      <c r="L327">
        <v>5</v>
      </c>
      <c r="M327" s="12">
        <v>250</v>
      </c>
      <c r="N327" s="12">
        <v>155</v>
      </c>
      <c r="O327">
        <v>1</v>
      </c>
      <c r="P327" s="12">
        <v>1237.5</v>
      </c>
      <c r="Q327" s="12">
        <v>775</v>
      </c>
      <c r="R327" s="12">
        <v>462.5</v>
      </c>
      <c r="S327" t="s">
        <v>113</v>
      </c>
      <c r="T327" t="s">
        <v>108</v>
      </c>
      <c r="U327" t="s">
        <v>1207</v>
      </c>
    </row>
    <row r="328" spans="1:21" x14ac:dyDescent="0.25">
      <c r="A328" t="s">
        <v>1836</v>
      </c>
      <c r="B328" s="8">
        <v>45826</v>
      </c>
      <c r="C328" t="s">
        <v>1640</v>
      </c>
      <c r="D328" t="s">
        <v>1107</v>
      </c>
      <c r="E328" t="s">
        <v>218</v>
      </c>
      <c r="F328">
        <v>31</v>
      </c>
      <c r="G328" t="s">
        <v>16</v>
      </c>
      <c r="H328" t="s">
        <v>15</v>
      </c>
      <c r="I328" t="s">
        <v>55</v>
      </c>
      <c r="J328" t="s">
        <v>65</v>
      </c>
      <c r="K328" t="s">
        <v>64</v>
      </c>
      <c r="L328">
        <v>1</v>
      </c>
      <c r="M328" s="12">
        <v>80</v>
      </c>
      <c r="N328" s="12">
        <v>56</v>
      </c>
      <c r="O328">
        <v>8</v>
      </c>
      <c r="P328" s="12">
        <v>73.600000000000009</v>
      </c>
      <c r="Q328" s="12">
        <v>56</v>
      </c>
      <c r="R328" s="12">
        <v>17.600000000000009</v>
      </c>
      <c r="S328" t="s">
        <v>113</v>
      </c>
      <c r="T328" t="s">
        <v>109</v>
      </c>
      <c r="U328" t="s">
        <v>1201</v>
      </c>
    </row>
    <row r="329" spans="1:21" x14ac:dyDescent="0.25">
      <c r="A329" t="s">
        <v>1838</v>
      </c>
      <c r="B329" s="8">
        <v>45885</v>
      </c>
      <c r="C329" t="s">
        <v>3197</v>
      </c>
      <c r="D329" t="s">
        <v>648</v>
      </c>
      <c r="E329" t="s">
        <v>218</v>
      </c>
      <c r="F329">
        <v>20</v>
      </c>
      <c r="G329" t="s">
        <v>290</v>
      </c>
      <c r="H329" t="s">
        <v>3</v>
      </c>
      <c r="I329" t="s">
        <v>34</v>
      </c>
      <c r="J329" t="s">
        <v>137</v>
      </c>
      <c r="K329" t="s">
        <v>22</v>
      </c>
      <c r="L329">
        <v>4</v>
      </c>
      <c r="M329" s="12">
        <v>6900</v>
      </c>
      <c r="N329" s="12">
        <v>5727</v>
      </c>
      <c r="O329">
        <v>4</v>
      </c>
      <c r="P329" s="12">
        <v>26496</v>
      </c>
      <c r="Q329" s="12">
        <v>22908</v>
      </c>
      <c r="R329" s="12">
        <v>3588</v>
      </c>
      <c r="S329" t="s">
        <v>1246</v>
      </c>
      <c r="T329" t="s">
        <v>108</v>
      </c>
      <c r="U329" t="s">
        <v>1199</v>
      </c>
    </row>
    <row r="330" spans="1:21" x14ac:dyDescent="0.25">
      <c r="A330" t="s">
        <v>1840</v>
      </c>
      <c r="B330" s="8">
        <v>45998</v>
      </c>
      <c r="C330" t="s">
        <v>3463</v>
      </c>
      <c r="D330" t="s">
        <v>448</v>
      </c>
      <c r="E330" t="s">
        <v>198</v>
      </c>
      <c r="F330">
        <v>25</v>
      </c>
      <c r="G330" t="s">
        <v>2</v>
      </c>
      <c r="H330" t="s">
        <v>3</v>
      </c>
      <c r="I330" t="s">
        <v>21</v>
      </c>
      <c r="J330" t="s">
        <v>23</v>
      </c>
      <c r="K330" t="s">
        <v>22</v>
      </c>
      <c r="L330">
        <v>3</v>
      </c>
      <c r="M330" s="12">
        <v>54999</v>
      </c>
      <c r="N330" s="12">
        <v>45099.18</v>
      </c>
      <c r="O330">
        <v>13</v>
      </c>
      <c r="P330" s="12">
        <v>143547.38999999998</v>
      </c>
      <c r="Q330" s="12">
        <v>135297.54</v>
      </c>
      <c r="R330" s="12">
        <v>8249.8499999999767</v>
      </c>
      <c r="S330" t="s">
        <v>113</v>
      </c>
      <c r="T330" t="s">
        <v>109</v>
      </c>
      <c r="U330" t="s">
        <v>1205</v>
      </c>
    </row>
    <row r="331" spans="1:21" x14ac:dyDescent="0.25">
      <c r="A331" t="s">
        <v>1842</v>
      </c>
      <c r="B331" s="8">
        <v>45791</v>
      </c>
      <c r="C331" t="s">
        <v>1498</v>
      </c>
      <c r="D331" t="s">
        <v>1005</v>
      </c>
      <c r="E331" t="s">
        <v>218</v>
      </c>
      <c r="F331">
        <v>50</v>
      </c>
      <c r="G331" t="s">
        <v>2</v>
      </c>
      <c r="H331" t="s">
        <v>3</v>
      </c>
      <c r="I331" t="s">
        <v>47</v>
      </c>
      <c r="J331" t="s">
        <v>52</v>
      </c>
      <c r="K331" t="s">
        <v>43</v>
      </c>
      <c r="L331">
        <v>3</v>
      </c>
      <c r="M331" s="12">
        <v>42999</v>
      </c>
      <c r="N331" s="12">
        <v>33539.22</v>
      </c>
      <c r="O331">
        <v>4</v>
      </c>
      <c r="P331" s="12">
        <v>123837.12</v>
      </c>
      <c r="Q331" s="12">
        <v>100617.66</v>
      </c>
      <c r="R331" s="12">
        <v>23219.459999999992</v>
      </c>
      <c r="S331" t="s">
        <v>1246</v>
      </c>
      <c r="T331" t="s">
        <v>111</v>
      </c>
      <c r="U331" t="s">
        <v>1201</v>
      </c>
    </row>
    <row r="332" spans="1:21" x14ac:dyDescent="0.25">
      <c r="A332" t="s">
        <v>1844</v>
      </c>
      <c r="B332" s="8">
        <v>45868</v>
      </c>
      <c r="C332" t="s">
        <v>2371</v>
      </c>
      <c r="D332" t="s">
        <v>681</v>
      </c>
      <c r="E332" t="s">
        <v>218</v>
      </c>
      <c r="F332">
        <v>24</v>
      </c>
      <c r="G332" t="s">
        <v>11</v>
      </c>
      <c r="H332" t="s">
        <v>12</v>
      </c>
      <c r="I332" t="s">
        <v>49</v>
      </c>
      <c r="J332" t="s">
        <v>56</v>
      </c>
      <c r="K332" t="s">
        <v>43</v>
      </c>
      <c r="L332">
        <v>5</v>
      </c>
      <c r="M332" s="12">
        <v>31999</v>
      </c>
      <c r="N332" s="12">
        <v>25599.200000000001</v>
      </c>
      <c r="O332">
        <v>5</v>
      </c>
      <c r="P332" s="12">
        <v>151995.25</v>
      </c>
      <c r="Q332" s="12">
        <v>127996</v>
      </c>
      <c r="R332" s="12">
        <v>23999.25</v>
      </c>
      <c r="S332" t="s">
        <v>1246</v>
      </c>
      <c r="T332" t="s">
        <v>107</v>
      </c>
      <c r="U332" t="s">
        <v>1203</v>
      </c>
    </row>
    <row r="333" spans="1:21" x14ac:dyDescent="0.25">
      <c r="A333" t="s">
        <v>1845</v>
      </c>
      <c r="B333" s="8">
        <v>45882</v>
      </c>
      <c r="C333" t="s">
        <v>1438</v>
      </c>
      <c r="D333" t="s">
        <v>822</v>
      </c>
      <c r="E333" t="s">
        <v>218</v>
      </c>
      <c r="F333">
        <v>41</v>
      </c>
      <c r="G333" t="s">
        <v>17</v>
      </c>
      <c r="H333" t="s">
        <v>15</v>
      </c>
      <c r="I333" t="s">
        <v>53</v>
      </c>
      <c r="J333" t="s">
        <v>48</v>
      </c>
      <c r="K333" t="s">
        <v>43</v>
      </c>
      <c r="L333">
        <v>5</v>
      </c>
      <c r="M333" s="12">
        <v>6499</v>
      </c>
      <c r="N333" s="12">
        <v>4549.2999999999993</v>
      </c>
      <c r="O333">
        <v>8</v>
      </c>
      <c r="P333" s="12">
        <v>29895.4</v>
      </c>
      <c r="Q333" s="12">
        <v>22746.499999999996</v>
      </c>
      <c r="R333" s="12">
        <v>7148.9000000000051</v>
      </c>
      <c r="S333" t="s">
        <v>1246</v>
      </c>
      <c r="T333" t="s">
        <v>108</v>
      </c>
      <c r="U333" t="s">
        <v>1207</v>
      </c>
    </row>
    <row r="334" spans="1:21" x14ac:dyDescent="0.25">
      <c r="A334" t="s">
        <v>1847</v>
      </c>
      <c r="B334" s="8">
        <v>45823</v>
      </c>
      <c r="C334" t="s">
        <v>1291</v>
      </c>
      <c r="D334" t="s">
        <v>904</v>
      </c>
      <c r="E334" t="s">
        <v>198</v>
      </c>
      <c r="F334">
        <v>22</v>
      </c>
      <c r="G334" t="s">
        <v>2</v>
      </c>
      <c r="H334" t="s">
        <v>3</v>
      </c>
      <c r="I334" t="s">
        <v>36</v>
      </c>
      <c r="J334" t="s">
        <v>136</v>
      </c>
      <c r="K334" t="s">
        <v>22</v>
      </c>
      <c r="L334">
        <v>2</v>
      </c>
      <c r="M334" s="12">
        <v>3590</v>
      </c>
      <c r="N334" s="12">
        <v>2333.5</v>
      </c>
      <c r="O334">
        <v>10</v>
      </c>
      <c r="P334" s="12">
        <v>6462</v>
      </c>
      <c r="Q334" s="12">
        <v>4667</v>
      </c>
      <c r="R334" s="12">
        <v>1795</v>
      </c>
      <c r="S334" t="s">
        <v>113</v>
      </c>
      <c r="T334" t="s">
        <v>110</v>
      </c>
      <c r="U334" t="s">
        <v>1198</v>
      </c>
    </row>
    <row r="335" spans="1:21" x14ac:dyDescent="0.25">
      <c r="A335" t="s">
        <v>1849</v>
      </c>
      <c r="B335" s="8">
        <v>45995</v>
      </c>
      <c r="C335" t="s">
        <v>1918</v>
      </c>
      <c r="D335" t="s">
        <v>522</v>
      </c>
      <c r="E335" t="s">
        <v>198</v>
      </c>
      <c r="F335">
        <v>55</v>
      </c>
      <c r="G335" t="s">
        <v>16</v>
      </c>
      <c r="H335" t="s">
        <v>15</v>
      </c>
      <c r="I335" t="s">
        <v>40</v>
      </c>
      <c r="J335" t="s">
        <v>39</v>
      </c>
      <c r="K335" t="s">
        <v>22</v>
      </c>
      <c r="L335">
        <v>4</v>
      </c>
      <c r="M335" s="12">
        <v>1100</v>
      </c>
      <c r="N335" s="12">
        <v>715</v>
      </c>
      <c r="O335">
        <v>17</v>
      </c>
      <c r="P335" s="12">
        <v>3652</v>
      </c>
      <c r="Q335" s="12">
        <v>2860</v>
      </c>
      <c r="R335" s="12">
        <v>792</v>
      </c>
      <c r="S335" t="s">
        <v>113</v>
      </c>
      <c r="T335" t="s">
        <v>108</v>
      </c>
      <c r="U335" t="s">
        <v>1205</v>
      </c>
    </row>
    <row r="336" spans="1:21" x14ac:dyDescent="0.25">
      <c r="A336" t="s">
        <v>1851</v>
      </c>
      <c r="B336" s="8">
        <v>45939</v>
      </c>
      <c r="C336" t="s">
        <v>5084</v>
      </c>
      <c r="D336" t="s">
        <v>693</v>
      </c>
      <c r="E336" t="s">
        <v>218</v>
      </c>
      <c r="F336">
        <v>18</v>
      </c>
      <c r="G336" t="s">
        <v>17</v>
      </c>
      <c r="H336" t="s">
        <v>15</v>
      </c>
      <c r="I336" t="s">
        <v>36</v>
      </c>
      <c r="J336" t="s">
        <v>136</v>
      </c>
      <c r="K336" t="s">
        <v>22</v>
      </c>
      <c r="L336">
        <v>3</v>
      </c>
      <c r="M336" s="12">
        <v>3590</v>
      </c>
      <c r="N336" s="12">
        <v>2333.5</v>
      </c>
      <c r="O336">
        <v>5</v>
      </c>
      <c r="P336" s="12">
        <v>10231.5</v>
      </c>
      <c r="Q336" s="12">
        <v>7000.5</v>
      </c>
      <c r="R336" s="12">
        <v>3231</v>
      </c>
      <c r="S336" t="s">
        <v>1246</v>
      </c>
      <c r="T336" t="s">
        <v>107</v>
      </c>
      <c r="U336" t="s">
        <v>1203</v>
      </c>
    </row>
    <row r="337" spans="1:21" x14ac:dyDescent="0.25">
      <c r="A337" t="s">
        <v>1853</v>
      </c>
      <c r="B337" s="8">
        <v>45710</v>
      </c>
      <c r="C337" t="s">
        <v>2121</v>
      </c>
      <c r="D337" t="s">
        <v>1112</v>
      </c>
      <c r="E337" t="s">
        <v>218</v>
      </c>
      <c r="F337">
        <v>43</v>
      </c>
      <c r="G337" t="s">
        <v>290</v>
      </c>
      <c r="H337" t="s">
        <v>3</v>
      </c>
      <c r="I337" t="s">
        <v>59</v>
      </c>
      <c r="J337" t="s">
        <v>73</v>
      </c>
      <c r="K337" t="s">
        <v>64</v>
      </c>
      <c r="L337">
        <v>1</v>
      </c>
      <c r="M337" s="12">
        <v>120</v>
      </c>
      <c r="N337" s="12">
        <v>81.599999999999994</v>
      </c>
      <c r="O337">
        <v>3</v>
      </c>
      <c r="P337" s="12">
        <v>116.39999999999999</v>
      </c>
      <c r="Q337" s="12">
        <v>81.599999999999994</v>
      </c>
      <c r="R337" s="12">
        <v>34.799999999999997</v>
      </c>
      <c r="S337" t="s">
        <v>1246</v>
      </c>
      <c r="T337" t="s">
        <v>108</v>
      </c>
      <c r="U337" t="s">
        <v>1205</v>
      </c>
    </row>
    <row r="338" spans="1:21" x14ac:dyDescent="0.25">
      <c r="A338" t="s">
        <v>1854</v>
      </c>
      <c r="B338" s="8">
        <v>45861</v>
      </c>
      <c r="C338" t="s">
        <v>2669</v>
      </c>
      <c r="D338" t="s">
        <v>461</v>
      </c>
      <c r="E338" t="s">
        <v>218</v>
      </c>
      <c r="F338">
        <v>24</v>
      </c>
      <c r="G338" t="s">
        <v>11</v>
      </c>
      <c r="H338" t="s">
        <v>12</v>
      </c>
      <c r="I338" t="s">
        <v>63</v>
      </c>
      <c r="J338" t="s">
        <v>77</v>
      </c>
      <c r="K338" t="s">
        <v>64</v>
      </c>
      <c r="L338">
        <v>5</v>
      </c>
      <c r="M338" s="12">
        <v>650</v>
      </c>
      <c r="N338" s="12">
        <v>468</v>
      </c>
      <c r="O338">
        <v>4</v>
      </c>
      <c r="P338" s="12">
        <v>3120</v>
      </c>
      <c r="Q338" s="12">
        <v>2340</v>
      </c>
      <c r="R338" s="12">
        <v>780</v>
      </c>
      <c r="S338" t="s">
        <v>1246</v>
      </c>
      <c r="T338" t="s">
        <v>109</v>
      </c>
      <c r="U338" t="s">
        <v>1211</v>
      </c>
    </row>
    <row r="339" spans="1:21" x14ac:dyDescent="0.25">
      <c r="A339" t="s">
        <v>1855</v>
      </c>
      <c r="B339" s="8">
        <v>45980</v>
      </c>
      <c r="C339" t="s">
        <v>2227</v>
      </c>
      <c r="D339" t="s">
        <v>981</v>
      </c>
      <c r="E339" t="s">
        <v>198</v>
      </c>
      <c r="F339">
        <v>19</v>
      </c>
      <c r="G339" t="s">
        <v>7</v>
      </c>
      <c r="H339" t="s">
        <v>8</v>
      </c>
      <c r="I339" t="s">
        <v>30</v>
      </c>
      <c r="J339" t="s">
        <v>41</v>
      </c>
      <c r="K339" t="s">
        <v>22</v>
      </c>
      <c r="L339">
        <v>1</v>
      </c>
      <c r="M339" s="12">
        <v>13749</v>
      </c>
      <c r="N339" s="12">
        <v>10999.2</v>
      </c>
      <c r="O339">
        <v>10</v>
      </c>
      <c r="P339" s="12">
        <v>12374.1</v>
      </c>
      <c r="Q339" s="12">
        <v>10999.2</v>
      </c>
      <c r="R339" s="12">
        <v>1374.8999999999996</v>
      </c>
      <c r="S339" t="s">
        <v>1249</v>
      </c>
      <c r="T339" t="s">
        <v>107</v>
      </c>
      <c r="U339" t="s">
        <v>1209</v>
      </c>
    </row>
    <row r="340" spans="1:21" x14ac:dyDescent="0.25">
      <c r="A340" t="s">
        <v>1856</v>
      </c>
      <c r="B340" s="8">
        <v>45722</v>
      </c>
      <c r="C340" t="s">
        <v>1541</v>
      </c>
      <c r="D340" t="s">
        <v>994</v>
      </c>
      <c r="E340" t="s">
        <v>218</v>
      </c>
      <c r="F340">
        <v>23</v>
      </c>
      <c r="G340" t="s">
        <v>7</v>
      </c>
      <c r="H340" t="s">
        <v>8</v>
      </c>
      <c r="I340" t="s">
        <v>45</v>
      </c>
      <c r="J340" t="s">
        <v>46</v>
      </c>
      <c r="K340" t="s">
        <v>43</v>
      </c>
      <c r="L340">
        <v>5</v>
      </c>
      <c r="M340" s="12">
        <v>11999</v>
      </c>
      <c r="N340" s="12">
        <v>8999.25</v>
      </c>
      <c r="O340">
        <v>8</v>
      </c>
      <c r="P340" s="12">
        <v>55195.4</v>
      </c>
      <c r="Q340" s="12">
        <v>44996.25</v>
      </c>
      <c r="R340" s="12">
        <v>10199.150000000001</v>
      </c>
      <c r="S340" t="s">
        <v>1246</v>
      </c>
      <c r="T340" t="s">
        <v>109</v>
      </c>
      <c r="U340" t="s">
        <v>1209</v>
      </c>
    </row>
    <row r="341" spans="1:21" x14ac:dyDescent="0.25">
      <c r="A341" t="s">
        <v>1858</v>
      </c>
      <c r="B341" s="8">
        <v>45840</v>
      </c>
      <c r="C341" t="s">
        <v>3290</v>
      </c>
      <c r="D341" t="s">
        <v>1179</v>
      </c>
      <c r="E341" t="s">
        <v>198</v>
      </c>
      <c r="F341">
        <v>56</v>
      </c>
      <c r="G341" t="s">
        <v>14</v>
      </c>
      <c r="H341" t="s">
        <v>15</v>
      </c>
      <c r="I341" t="s">
        <v>42</v>
      </c>
      <c r="J341" t="s">
        <v>44</v>
      </c>
      <c r="K341" t="s">
        <v>43</v>
      </c>
      <c r="L341">
        <v>1</v>
      </c>
      <c r="M341" s="12">
        <v>8999</v>
      </c>
      <c r="N341" s="12">
        <v>6479.28</v>
      </c>
      <c r="O341">
        <v>7</v>
      </c>
      <c r="P341" s="12">
        <v>8369.07</v>
      </c>
      <c r="Q341" s="12">
        <v>6479.28</v>
      </c>
      <c r="R341" s="12">
        <v>1889.79</v>
      </c>
      <c r="S341" t="s">
        <v>113</v>
      </c>
      <c r="T341" t="s">
        <v>108</v>
      </c>
      <c r="U341" t="s">
        <v>1199</v>
      </c>
    </row>
    <row r="342" spans="1:21" x14ac:dyDescent="0.25">
      <c r="A342" t="s">
        <v>1860</v>
      </c>
      <c r="B342" s="8">
        <v>45931</v>
      </c>
      <c r="C342" t="s">
        <v>1464</v>
      </c>
      <c r="D342" t="s">
        <v>897</v>
      </c>
      <c r="E342" t="s">
        <v>218</v>
      </c>
      <c r="F342">
        <v>55</v>
      </c>
      <c r="G342" t="s">
        <v>17</v>
      </c>
      <c r="H342" t="s">
        <v>15</v>
      </c>
      <c r="I342" t="s">
        <v>57</v>
      </c>
      <c r="J342" t="s">
        <v>67</v>
      </c>
      <c r="K342" t="s">
        <v>64</v>
      </c>
      <c r="L342">
        <v>1</v>
      </c>
      <c r="M342" s="12">
        <v>150</v>
      </c>
      <c r="N342" s="12">
        <v>97.5</v>
      </c>
      <c r="O342">
        <v>3</v>
      </c>
      <c r="P342" s="12">
        <v>145.5</v>
      </c>
      <c r="Q342" s="12">
        <v>97.5</v>
      </c>
      <c r="R342" s="12">
        <v>48</v>
      </c>
      <c r="S342" t="s">
        <v>113</v>
      </c>
      <c r="T342" t="s">
        <v>107</v>
      </c>
      <c r="U342" t="s">
        <v>1196</v>
      </c>
    </row>
    <row r="343" spans="1:21" x14ac:dyDescent="0.25">
      <c r="A343" t="s">
        <v>1861</v>
      </c>
      <c r="B343" s="8">
        <v>45832</v>
      </c>
      <c r="C343" t="s">
        <v>2261</v>
      </c>
      <c r="D343" t="s">
        <v>489</v>
      </c>
      <c r="E343" t="s">
        <v>198</v>
      </c>
      <c r="F343">
        <v>40</v>
      </c>
      <c r="G343" t="s">
        <v>289</v>
      </c>
      <c r="H343" t="s">
        <v>3</v>
      </c>
      <c r="I343" t="s">
        <v>30</v>
      </c>
      <c r="J343" t="s">
        <v>41</v>
      </c>
      <c r="K343" t="s">
        <v>22</v>
      </c>
      <c r="L343">
        <v>3</v>
      </c>
      <c r="M343" s="12">
        <v>13749</v>
      </c>
      <c r="N343" s="12">
        <v>10999.2</v>
      </c>
      <c r="O343">
        <v>7</v>
      </c>
      <c r="P343" s="12">
        <v>38359.71</v>
      </c>
      <c r="Q343" s="12">
        <v>32997.600000000006</v>
      </c>
      <c r="R343" s="12">
        <v>5362.1099999999933</v>
      </c>
      <c r="S343" t="s">
        <v>1246</v>
      </c>
      <c r="T343" t="s">
        <v>109</v>
      </c>
      <c r="U343" t="s">
        <v>1207</v>
      </c>
    </row>
    <row r="344" spans="1:21" x14ac:dyDescent="0.25">
      <c r="A344" t="s">
        <v>1863</v>
      </c>
      <c r="B344" s="8">
        <v>45715</v>
      </c>
      <c r="C344" t="s">
        <v>1914</v>
      </c>
      <c r="D344" t="s">
        <v>678</v>
      </c>
      <c r="E344" t="s">
        <v>198</v>
      </c>
      <c r="F344">
        <v>47</v>
      </c>
      <c r="G344" t="s">
        <v>14</v>
      </c>
      <c r="H344" t="s">
        <v>15</v>
      </c>
      <c r="I344" t="s">
        <v>36</v>
      </c>
      <c r="J344" t="s">
        <v>136</v>
      </c>
      <c r="K344" t="s">
        <v>22</v>
      </c>
      <c r="L344">
        <v>5</v>
      </c>
      <c r="M344" s="12">
        <v>3590</v>
      </c>
      <c r="N344" s="12">
        <v>2333.5</v>
      </c>
      <c r="O344">
        <v>5</v>
      </c>
      <c r="P344" s="12">
        <v>17052.5</v>
      </c>
      <c r="Q344" s="12">
        <v>11667.5</v>
      </c>
      <c r="R344" s="12">
        <v>5385</v>
      </c>
      <c r="S344" t="s">
        <v>1249</v>
      </c>
      <c r="T344" t="s">
        <v>107</v>
      </c>
      <c r="U344" t="s">
        <v>1207</v>
      </c>
    </row>
    <row r="345" spans="1:21" x14ac:dyDescent="0.25">
      <c r="A345" t="s">
        <v>1865</v>
      </c>
      <c r="B345" s="8">
        <v>45878</v>
      </c>
      <c r="C345" t="s">
        <v>1778</v>
      </c>
      <c r="D345" t="s">
        <v>1054</v>
      </c>
      <c r="E345" t="s">
        <v>198</v>
      </c>
      <c r="F345">
        <v>34</v>
      </c>
      <c r="G345" t="s">
        <v>7</v>
      </c>
      <c r="H345" t="s">
        <v>8</v>
      </c>
      <c r="I345" t="s">
        <v>53</v>
      </c>
      <c r="J345" t="s">
        <v>48</v>
      </c>
      <c r="K345" t="s">
        <v>43</v>
      </c>
      <c r="L345">
        <v>3</v>
      </c>
      <c r="M345" s="12">
        <v>6499</v>
      </c>
      <c r="N345" s="12">
        <v>4549.2999999999993</v>
      </c>
      <c r="O345">
        <v>9</v>
      </c>
      <c r="P345" s="12">
        <v>17742.27</v>
      </c>
      <c r="Q345" s="12">
        <v>13647.899999999998</v>
      </c>
      <c r="R345" s="12">
        <v>4094.3700000000026</v>
      </c>
      <c r="S345" t="s">
        <v>1246</v>
      </c>
      <c r="T345" t="s">
        <v>107</v>
      </c>
      <c r="U345" t="s">
        <v>1203</v>
      </c>
    </row>
    <row r="346" spans="1:21" x14ac:dyDescent="0.25">
      <c r="A346" t="s">
        <v>1866</v>
      </c>
      <c r="B346" s="8">
        <v>45918</v>
      </c>
      <c r="C346" t="s">
        <v>5044</v>
      </c>
      <c r="D346" t="s">
        <v>1104</v>
      </c>
      <c r="E346" t="s">
        <v>218</v>
      </c>
      <c r="F346">
        <v>35</v>
      </c>
      <c r="G346" t="s">
        <v>17</v>
      </c>
      <c r="H346" t="s">
        <v>15</v>
      </c>
      <c r="I346" t="s">
        <v>26</v>
      </c>
      <c r="J346" t="s">
        <v>27</v>
      </c>
      <c r="K346" t="s">
        <v>22</v>
      </c>
      <c r="L346">
        <v>3</v>
      </c>
      <c r="M346" s="12">
        <v>27499</v>
      </c>
      <c r="N346" s="12">
        <v>23374.149999999998</v>
      </c>
      <c r="O346">
        <v>4</v>
      </c>
      <c r="P346" s="12">
        <v>79197.119999999995</v>
      </c>
      <c r="Q346" s="12">
        <v>70122.45</v>
      </c>
      <c r="R346" s="12">
        <v>9074.6699999999983</v>
      </c>
      <c r="S346" t="s">
        <v>1246</v>
      </c>
      <c r="T346" t="s">
        <v>110</v>
      </c>
      <c r="U346" t="s">
        <v>1198</v>
      </c>
    </row>
    <row r="347" spans="1:21" x14ac:dyDescent="0.25">
      <c r="A347" t="s">
        <v>1867</v>
      </c>
      <c r="B347" s="8">
        <v>45956</v>
      </c>
      <c r="C347" t="s">
        <v>1823</v>
      </c>
      <c r="D347" t="s">
        <v>1097</v>
      </c>
      <c r="E347" t="s">
        <v>218</v>
      </c>
      <c r="F347">
        <v>41</v>
      </c>
      <c r="G347" t="s">
        <v>2</v>
      </c>
      <c r="H347" t="s">
        <v>3</v>
      </c>
      <c r="I347" t="s">
        <v>42</v>
      </c>
      <c r="J347" t="s">
        <v>44</v>
      </c>
      <c r="K347" t="s">
        <v>43</v>
      </c>
      <c r="L347">
        <v>2</v>
      </c>
      <c r="M347" s="12">
        <v>8999</v>
      </c>
      <c r="N347" s="12">
        <v>6479.28</v>
      </c>
      <c r="O347">
        <v>5</v>
      </c>
      <c r="P347" s="12">
        <v>17098.099999999999</v>
      </c>
      <c r="Q347" s="12">
        <v>12958.56</v>
      </c>
      <c r="R347" s="12">
        <v>4139.5399999999991</v>
      </c>
      <c r="S347" t="s">
        <v>113</v>
      </c>
      <c r="T347" t="s">
        <v>108</v>
      </c>
      <c r="U347" t="s">
        <v>1196</v>
      </c>
    </row>
    <row r="348" spans="1:21" x14ac:dyDescent="0.25">
      <c r="A348" t="s">
        <v>1869</v>
      </c>
      <c r="B348" s="8">
        <v>45958</v>
      </c>
      <c r="C348" t="s">
        <v>5087</v>
      </c>
      <c r="D348" t="s">
        <v>913</v>
      </c>
      <c r="E348" t="s">
        <v>218</v>
      </c>
      <c r="F348">
        <v>46</v>
      </c>
      <c r="G348" t="s">
        <v>4</v>
      </c>
      <c r="H348" t="s">
        <v>3</v>
      </c>
      <c r="I348" t="s">
        <v>45</v>
      </c>
      <c r="J348" t="s">
        <v>46</v>
      </c>
      <c r="K348" t="s">
        <v>43</v>
      </c>
      <c r="L348">
        <v>5</v>
      </c>
      <c r="M348" s="12">
        <v>11999</v>
      </c>
      <c r="N348" s="12">
        <v>8999.25</v>
      </c>
      <c r="O348">
        <v>7</v>
      </c>
      <c r="P348" s="12">
        <v>55795.35</v>
      </c>
      <c r="Q348" s="12">
        <v>44996.25</v>
      </c>
      <c r="R348" s="12">
        <v>10799.099999999999</v>
      </c>
      <c r="S348" t="s">
        <v>113</v>
      </c>
      <c r="T348" t="s">
        <v>109</v>
      </c>
      <c r="U348" t="s">
        <v>1211</v>
      </c>
    </row>
    <row r="349" spans="1:21" x14ac:dyDescent="0.25">
      <c r="A349" t="s">
        <v>1871</v>
      </c>
      <c r="B349" s="8">
        <v>45987</v>
      </c>
      <c r="C349" t="s">
        <v>4001</v>
      </c>
      <c r="D349" t="s">
        <v>777</v>
      </c>
      <c r="E349" t="s">
        <v>218</v>
      </c>
      <c r="F349">
        <v>19</v>
      </c>
      <c r="G349" t="s">
        <v>4</v>
      </c>
      <c r="H349" t="s">
        <v>3</v>
      </c>
      <c r="I349" t="s">
        <v>26</v>
      </c>
      <c r="J349" t="s">
        <v>27</v>
      </c>
      <c r="K349" t="s">
        <v>22</v>
      </c>
      <c r="L349">
        <v>3</v>
      </c>
      <c r="M349" s="12">
        <v>27499</v>
      </c>
      <c r="N349" s="12">
        <v>23374.149999999998</v>
      </c>
      <c r="O349">
        <v>18</v>
      </c>
      <c r="P349" s="12">
        <v>67647.540000000008</v>
      </c>
      <c r="Q349" s="12">
        <v>70122.45</v>
      </c>
      <c r="R349" s="12">
        <v>-2474.9099999999889</v>
      </c>
      <c r="S349" t="s">
        <v>1246</v>
      </c>
      <c r="T349" t="s">
        <v>110</v>
      </c>
      <c r="U349" t="s">
        <v>1198</v>
      </c>
    </row>
    <row r="350" spans="1:21" x14ac:dyDescent="0.25">
      <c r="A350" t="s">
        <v>1873</v>
      </c>
      <c r="B350" s="8">
        <v>45778</v>
      </c>
      <c r="C350" t="s">
        <v>2543</v>
      </c>
      <c r="D350" t="s">
        <v>958</v>
      </c>
      <c r="E350" t="s">
        <v>218</v>
      </c>
      <c r="F350">
        <v>34</v>
      </c>
      <c r="G350" t="s">
        <v>4</v>
      </c>
      <c r="H350" t="s">
        <v>3</v>
      </c>
      <c r="I350" t="s">
        <v>42</v>
      </c>
      <c r="J350" t="s">
        <v>44</v>
      </c>
      <c r="K350" t="s">
        <v>43</v>
      </c>
      <c r="L350">
        <v>3</v>
      </c>
      <c r="M350" s="12">
        <v>8999</v>
      </c>
      <c r="N350" s="12">
        <v>6479.28</v>
      </c>
      <c r="O350">
        <v>3</v>
      </c>
      <c r="P350" s="12">
        <v>26187.09</v>
      </c>
      <c r="Q350" s="12">
        <v>19437.84</v>
      </c>
      <c r="R350" s="12">
        <v>6749.25</v>
      </c>
      <c r="S350" t="s">
        <v>1246</v>
      </c>
      <c r="T350" t="s">
        <v>107</v>
      </c>
      <c r="U350" t="s">
        <v>1198</v>
      </c>
    </row>
    <row r="351" spans="1:21" x14ac:dyDescent="0.25">
      <c r="A351" t="s">
        <v>1874</v>
      </c>
      <c r="B351" s="8">
        <v>45969</v>
      </c>
      <c r="C351" t="s">
        <v>4886</v>
      </c>
      <c r="D351" t="s">
        <v>725</v>
      </c>
      <c r="E351" t="s">
        <v>198</v>
      </c>
      <c r="F351">
        <v>64</v>
      </c>
      <c r="G351" t="s">
        <v>11</v>
      </c>
      <c r="H351" t="s">
        <v>12</v>
      </c>
      <c r="I351" t="s">
        <v>34</v>
      </c>
      <c r="J351" t="s">
        <v>137</v>
      </c>
      <c r="K351" t="s">
        <v>22</v>
      </c>
      <c r="L351">
        <v>3</v>
      </c>
      <c r="M351" s="12">
        <v>6900</v>
      </c>
      <c r="N351" s="12">
        <v>5727</v>
      </c>
      <c r="O351">
        <v>18</v>
      </c>
      <c r="P351" s="12">
        <v>16974</v>
      </c>
      <c r="Q351" s="12">
        <v>17181</v>
      </c>
      <c r="R351" s="12">
        <v>-207</v>
      </c>
      <c r="S351" t="s">
        <v>113</v>
      </c>
      <c r="T351" t="s">
        <v>109</v>
      </c>
      <c r="U351" t="s">
        <v>1207</v>
      </c>
    </row>
    <row r="352" spans="1:21" x14ac:dyDescent="0.25">
      <c r="A352" t="s">
        <v>1876</v>
      </c>
      <c r="B352" s="8">
        <v>45740</v>
      </c>
      <c r="C352" t="s">
        <v>2390</v>
      </c>
      <c r="D352" t="s">
        <v>994</v>
      </c>
      <c r="E352" t="s">
        <v>218</v>
      </c>
      <c r="F352">
        <v>26</v>
      </c>
      <c r="G352" t="s">
        <v>2</v>
      </c>
      <c r="H352" t="s">
        <v>3</v>
      </c>
      <c r="I352" t="s">
        <v>47</v>
      </c>
      <c r="J352" t="s">
        <v>52</v>
      </c>
      <c r="K352" t="s">
        <v>43</v>
      </c>
      <c r="L352">
        <v>3</v>
      </c>
      <c r="M352" s="12">
        <v>42999</v>
      </c>
      <c r="N352" s="12">
        <v>33539.22</v>
      </c>
      <c r="O352">
        <v>5</v>
      </c>
      <c r="P352" s="12">
        <v>122547.15</v>
      </c>
      <c r="Q352" s="12">
        <v>100617.66</v>
      </c>
      <c r="R352" s="12">
        <v>21929.489999999991</v>
      </c>
      <c r="S352" t="s">
        <v>1246</v>
      </c>
      <c r="T352" t="s">
        <v>110</v>
      </c>
      <c r="U352" t="s">
        <v>1207</v>
      </c>
    </row>
    <row r="353" spans="1:21" x14ac:dyDescent="0.25">
      <c r="A353" t="s">
        <v>1877</v>
      </c>
      <c r="B353" s="8">
        <v>45873</v>
      </c>
      <c r="C353" t="s">
        <v>1667</v>
      </c>
      <c r="D353" t="s">
        <v>898</v>
      </c>
      <c r="E353" t="s">
        <v>218</v>
      </c>
      <c r="F353">
        <v>65</v>
      </c>
      <c r="G353" t="s">
        <v>11</v>
      </c>
      <c r="H353" t="s">
        <v>12</v>
      </c>
      <c r="I353" t="s">
        <v>61</v>
      </c>
      <c r="J353" t="s">
        <v>146</v>
      </c>
      <c r="K353" t="s">
        <v>64</v>
      </c>
      <c r="L353">
        <v>3</v>
      </c>
      <c r="M353" s="12">
        <v>250</v>
      </c>
      <c r="N353" s="12">
        <v>155</v>
      </c>
      <c r="O353">
        <v>5</v>
      </c>
      <c r="P353" s="12">
        <v>712.5</v>
      </c>
      <c r="Q353" s="12">
        <v>465</v>
      </c>
      <c r="R353" s="12">
        <v>247.5</v>
      </c>
      <c r="S353" t="s">
        <v>113</v>
      </c>
      <c r="T353" t="s">
        <v>111</v>
      </c>
      <c r="U353" t="s">
        <v>1209</v>
      </c>
    </row>
    <row r="354" spans="1:21" x14ac:dyDescent="0.25">
      <c r="A354" t="s">
        <v>1878</v>
      </c>
      <c r="B354" s="8">
        <v>45703</v>
      </c>
      <c r="C354" t="s">
        <v>1613</v>
      </c>
      <c r="D354" t="s">
        <v>851</v>
      </c>
      <c r="E354" t="s">
        <v>198</v>
      </c>
      <c r="F354">
        <v>43</v>
      </c>
      <c r="G354" t="s">
        <v>4</v>
      </c>
      <c r="H354" t="s">
        <v>3</v>
      </c>
      <c r="I354" t="s">
        <v>59</v>
      </c>
      <c r="J354" t="s">
        <v>73</v>
      </c>
      <c r="K354" t="s">
        <v>64</v>
      </c>
      <c r="L354">
        <v>2</v>
      </c>
      <c r="M354" s="12">
        <v>120</v>
      </c>
      <c r="N354" s="12">
        <v>81.599999999999994</v>
      </c>
      <c r="O354">
        <v>5</v>
      </c>
      <c r="P354" s="12">
        <v>228</v>
      </c>
      <c r="Q354" s="12">
        <v>163.19999999999999</v>
      </c>
      <c r="R354" s="12">
        <v>64.800000000000011</v>
      </c>
      <c r="S354" t="s">
        <v>113</v>
      </c>
      <c r="T354" t="s">
        <v>107</v>
      </c>
      <c r="U354" t="s">
        <v>1198</v>
      </c>
    </row>
    <row r="355" spans="1:21" x14ac:dyDescent="0.25">
      <c r="A355" t="s">
        <v>1880</v>
      </c>
      <c r="B355" s="8">
        <v>45922</v>
      </c>
      <c r="C355" t="s">
        <v>2656</v>
      </c>
      <c r="D355" t="s">
        <v>576</v>
      </c>
      <c r="E355" t="s">
        <v>218</v>
      </c>
      <c r="F355">
        <v>47</v>
      </c>
      <c r="G355" t="s">
        <v>9</v>
      </c>
      <c r="H355" t="s">
        <v>8</v>
      </c>
      <c r="I355" t="s">
        <v>61</v>
      </c>
      <c r="J355" t="s">
        <v>146</v>
      </c>
      <c r="K355" t="s">
        <v>64</v>
      </c>
      <c r="L355">
        <v>1</v>
      </c>
      <c r="M355" s="12">
        <v>250</v>
      </c>
      <c r="N355" s="12">
        <v>155</v>
      </c>
      <c r="O355">
        <v>5</v>
      </c>
      <c r="P355" s="12">
        <v>237.5</v>
      </c>
      <c r="Q355" s="12">
        <v>155</v>
      </c>
      <c r="R355" s="12">
        <v>82.5</v>
      </c>
      <c r="S355" t="s">
        <v>1246</v>
      </c>
      <c r="T355" t="s">
        <v>107</v>
      </c>
      <c r="U355" t="s">
        <v>1199</v>
      </c>
    </row>
    <row r="356" spans="1:21" x14ac:dyDescent="0.25">
      <c r="A356" t="s">
        <v>1882</v>
      </c>
      <c r="B356" s="8">
        <v>45987</v>
      </c>
      <c r="C356" t="s">
        <v>2413</v>
      </c>
      <c r="D356" t="s">
        <v>534</v>
      </c>
      <c r="E356" t="s">
        <v>198</v>
      </c>
      <c r="F356">
        <v>37</v>
      </c>
      <c r="G356" t="s">
        <v>2</v>
      </c>
      <c r="H356" t="s">
        <v>3</v>
      </c>
      <c r="I356" t="s">
        <v>38</v>
      </c>
      <c r="J356" t="s">
        <v>37</v>
      </c>
      <c r="K356" t="s">
        <v>22</v>
      </c>
      <c r="L356">
        <v>1</v>
      </c>
      <c r="M356" s="12">
        <v>1650</v>
      </c>
      <c r="N356" s="12">
        <v>990</v>
      </c>
      <c r="O356">
        <v>16</v>
      </c>
      <c r="P356" s="12">
        <v>1386</v>
      </c>
      <c r="Q356" s="12">
        <v>990</v>
      </c>
      <c r="R356" s="12">
        <v>396</v>
      </c>
      <c r="S356" t="s">
        <v>113</v>
      </c>
      <c r="T356" t="s">
        <v>108</v>
      </c>
      <c r="U356" t="s">
        <v>1196</v>
      </c>
    </row>
    <row r="357" spans="1:21" x14ac:dyDescent="0.25">
      <c r="A357" t="s">
        <v>1883</v>
      </c>
      <c r="B357" s="8">
        <v>46020</v>
      </c>
      <c r="C357" t="s">
        <v>2804</v>
      </c>
      <c r="D357" t="s">
        <v>1070</v>
      </c>
      <c r="E357" t="s">
        <v>198</v>
      </c>
      <c r="F357">
        <v>34</v>
      </c>
      <c r="G357" t="s">
        <v>5</v>
      </c>
      <c r="H357" t="s">
        <v>3</v>
      </c>
      <c r="I357" t="s">
        <v>28</v>
      </c>
      <c r="J357" t="s">
        <v>35</v>
      </c>
      <c r="K357" t="s">
        <v>22</v>
      </c>
      <c r="L357">
        <v>2</v>
      </c>
      <c r="M357" s="12">
        <v>16499</v>
      </c>
      <c r="N357" s="12">
        <v>14519.12</v>
      </c>
      <c r="O357">
        <v>15</v>
      </c>
      <c r="P357" s="12">
        <v>28048.3</v>
      </c>
      <c r="Q357" s="12">
        <v>29038.240000000002</v>
      </c>
      <c r="R357" s="12">
        <v>-989.94000000000233</v>
      </c>
      <c r="S357" t="s">
        <v>1246</v>
      </c>
      <c r="T357" t="s">
        <v>108</v>
      </c>
      <c r="U357" t="s">
        <v>1198</v>
      </c>
    </row>
    <row r="358" spans="1:21" x14ac:dyDescent="0.25">
      <c r="A358" t="s">
        <v>1885</v>
      </c>
      <c r="B358" s="8">
        <v>45747</v>
      </c>
      <c r="C358" t="s">
        <v>2007</v>
      </c>
      <c r="D358" t="s">
        <v>916</v>
      </c>
      <c r="E358" t="s">
        <v>218</v>
      </c>
      <c r="F358">
        <v>54</v>
      </c>
      <c r="G358" t="s">
        <v>290</v>
      </c>
      <c r="H358" t="s">
        <v>3</v>
      </c>
      <c r="I358" t="s">
        <v>40</v>
      </c>
      <c r="J358" t="s">
        <v>39</v>
      </c>
      <c r="K358" t="s">
        <v>22</v>
      </c>
      <c r="L358">
        <v>1</v>
      </c>
      <c r="M358" s="12">
        <v>1100</v>
      </c>
      <c r="N358" s="12">
        <v>715</v>
      </c>
      <c r="O358">
        <v>6</v>
      </c>
      <c r="P358" s="12">
        <v>1034</v>
      </c>
      <c r="Q358" s="12">
        <v>715</v>
      </c>
      <c r="R358" s="12">
        <v>319</v>
      </c>
      <c r="S358" t="s">
        <v>113</v>
      </c>
      <c r="T358" t="s">
        <v>109</v>
      </c>
      <c r="U358" t="s">
        <v>1209</v>
      </c>
    </row>
    <row r="359" spans="1:21" x14ac:dyDescent="0.25">
      <c r="A359" t="s">
        <v>1886</v>
      </c>
      <c r="B359" s="8">
        <v>45963</v>
      </c>
      <c r="C359" t="s">
        <v>1736</v>
      </c>
      <c r="D359" t="s">
        <v>524</v>
      </c>
      <c r="E359" t="s">
        <v>198</v>
      </c>
      <c r="F359">
        <v>42</v>
      </c>
      <c r="G359" t="s">
        <v>5</v>
      </c>
      <c r="H359" t="s">
        <v>3</v>
      </c>
      <c r="I359" t="s">
        <v>45</v>
      </c>
      <c r="J359" t="s">
        <v>46</v>
      </c>
      <c r="K359" t="s">
        <v>43</v>
      </c>
      <c r="L359">
        <v>3</v>
      </c>
      <c r="M359" s="12">
        <v>11999</v>
      </c>
      <c r="N359" s="12">
        <v>8999.25</v>
      </c>
      <c r="O359">
        <v>17</v>
      </c>
      <c r="P359" s="12">
        <v>29877.51</v>
      </c>
      <c r="Q359" s="12">
        <v>26997.75</v>
      </c>
      <c r="R359" s="12">
        <v>2879.7599999999984</v>
      </c>
      <c r="S359" t="s">
        <v>1246</v>
      </c>
      <c r="T359" t="s">
        <v>111</v>
      </c>
      <c r="U359" t="s">
        <v>1203</v>
      </c>
    </row>
    <row r="360" spans="1:21" x14ac:dyDescent="0.25">
      <c r="A360" t="s">
        <v>1887</v>
      </c>
      <c r="B360" s="8">
        <v>45818</v>
      </c>
      <c r="C360" t="s">
        <v>4374</v>
      </c>
      <c r="D360" t="s">
        <v>791</v>
      </c>
      <c r="E360" t="s">
        <v>198</v>
      </c>
      <c r="F360">
        <v>21</v>
      </c>
      <c r="G360" t="s">
        <v>16</v>
      </c>
      <c r="H360" t="s">
        <v>15</v>
      </c>
      <c r="I360" t="s">
        <v>24</v>
      </c>
      <c r="J360" t="s">
        <v>25</v>
      </c>
      <c r="K360" t="s">
        <v>22</v>
      </c>
      <c r="L360">
        <v>5</v>
      </c>
      <c r="M360" s="12">
        <v>35800</v>
      </c>
      <c r="N360" s="12">
        <v>28640</v>
      </c>
      <c r="O360">
        <v>8</v>
      </c>
      <c r="P360" s="12">
        <v>164680</v>
      </c>
      <c r="Q360" s="12">
        <v>143200</v>
      </c>
      <c r="R360" s="12">
        <v>21480</v>
      </c>
      <c r="S360" t="s">
        <v>1246</v>
      </c>
      <c r="T360" t="s">
        <v>107</v>
      </c>
      <c r="U360" t="s">
        <v>1199</v>
      </c>
    </row>
    <row r="361" spans="1:21" x14ac:dyDescent="0.25">
      <c r="A361" t="s">
        <v>1889</v>
      </c>
      <c r="B361" s="8">
        <v>45795</v>
      </c>
      <c r="C361" t="s">
        <v>1973</v>
      </c>
      <c r="D361" t="s">
        <v>997</v>
      </c>
      <c r="E361" t="s">
        <v>198</v>
      </c>
      <c r="F361">
        <v>42</v>
      </c>
      <c r="G361" t="s">
        <v>11</v>
      </c>
      <c r="H361" t="s">
        <v>12</v>
      </c>
      <c r="I361" t="s">
        <v>55</v>
      </c>
      <c r="J361" t="s">
        <v>65</v>
      </c>
      <c r="K361" t="s">
        <v>64</v>
      </c>
      <c r="L361">
        <v>1</v>
      </c>
      <c r="M361" s="12">
        <v>80</v>
      </c>
      <c r="N361" s="12">
        <v>56</v>
      </c>
      <c r="O361">
        <v>14</v>
      </c>
      <c r="P361" s="12">
        <v>68.8</v>
      </c>
      <c r="Q361" s="12">
        <v>56</v>
      </c>
      <c r="R361" s="12">
        <v>12.799999999999997</v>
      </c>
      <c r="S361" t="s">
        <v>113</v>
      </c>
      <c r="T361" t="s">
        <v>107</v>
      </c>
      <c r="U361" t="s">
        <v>1209</v>
      </c>
    </row>
    <row r="362" spans="1:21" x14ac:dyDescent="0.25">
      <c r="A362" t="s">
        <v>1891</v>
      </c>
      <c r="B362" s="8">
        <v>45704</v>
      </c>
      <c r="C362" t="s">
        <v>1640</v>
      </c>
      <c r="D362" t="s">
        <v>1107</v>
      </c>
      <c r="E362" t="s">
        <v>218</v>
      </c>
      <c r="F362">
        <v>31</v>
      </c>
      <c r="G362" t="s">
        <v>16</v>
      </c>
      <c r="H362" t="s">
        <v>15</v>
      </c>
      <c r="I362" t="s">
        <v>63</v>
      </c>
      <c r="J362" t="s">
        <v>77</v>
      </c>
      <c r="K362" t="s">
        <v>64</v>
      </c>
      <c r="L362">
        <v>5</v>
      </c>
      <c r="M362" s="12">
        <v>650</v>
      </c>
      <c r="N362" s="12">
        <v>468</v>
      </c>
      <c r="O362">
        <v>3</v>
      </c>
      <c r="P362" s="12">
        <v>3152.5</v>
      </c>
      <c r="Q362" s="12">
        <v>2340</v>
      </c>
      <c r="R362" s="12">
        <v>812.5</v>
      </c>
      <c r="S362" t="s">
        <v>113</v>
      </c>
      <c r="T362" t="s">
        <v>111</v>
      </c>
      <c r="U362" t="s">
        <v>1209</v>
      </c>
    </row>
    <row r="363" spans="1:21" x14ac:dyDescent="0.25">
      <c r="A363" t="s">
        <v>1892</v>
      </c>
      <c r="B363" s="8">
        <v>45796</v>
      </c>
      <c r="C363" t="s">
        <v>1995</v>
      </c>
      <c r="D363" t="s">
        <v>753</v>
      </c>
      <c r="E363" t="s">
        <v>218</v>
      </c>
      <c r="F363">
        <v>25</v>
      </c>
      <c r="G363" t="s">
        <v>16</v>
      </c>
      <c r="H363" t="s">
        <v>15</v>
      </c>
      <c r="I363" t="s">
        <v>61</v>
      </c>
      <c r="J363" t="s">
        <v>146</v>
      </c>
      <c r="K363" t="s">
        <v>64</v>
      </c>
      <c r="L363">
        <v>4</v>
      </c>
      <c r="M363" s="12">
        <v>250</v>
      </c>
      <c r="N363" s="12">
        <v>155</v>
      </c>
      <c r="O363">
        <v>13</v>
      </c>
      <c r="P363" s="12">
        <v>870</v>
      </c>
      <c r="Q363" s="12">
        <v>620</v>
      </c>
      <c r="R363" s="12">
        <v>250</v>
      </c>
      <c r="S363" t="s">
        <v>1246</v>
      </c>
      <c r="T363" t="s">
        <v>109</v>
      </c>
      <c r="U363" t="s">
        <v>1198</v>
      </c>
    </row>
    <row r="364" spans="1:21" x14ac:dyDescent="0.25">
      <c r="A364" t="s">
        <v>1894</v>
      </c>
      <c r="B364" s="8">
        <v>46016</v>
      </c>
      <c r="C364" t="s">
        <v>2118</v>
      </c>
      <c r="D364" t="s">
        <v>950</v>
      </c>
      <c r="E364" t="s">
        <v>198</v>
      </c>
      <c r="F364">
        <v>52</v>
      </c>
      <c r="G364" t="s">
        <v>14</v>
      </c>
      <c r="H364" t="s">
        <v>15</v>
      </c>
      <c r="I364" t="s">
        <v>38</v>
      </c>
      <c r="J364" t="s">
        <v>37</v>
      </c>
      <c r="K364" t="s">
        <v>22</v>
      </c>
      <c r="L364">
        <v>4</v>
      </c>
      <c r="M364" s="12">
        <v>1650</v>
      </c>
      <c r="N364" s="12">
        <v>990</v>
      </c>
      <c r="O364">
        <v>10</v>
      </c>
      <c r="P364" s="12">
        <v>5940</v>
      </c>
      <c r="Q364" s="12">
        <v>3960</v>
      </c>
      <c r="R364" s="12">
        <v>1980</v>
      </c>
      <c r="S364" t="s">
        <v>1246</v>
      </c>
      <c r="T364" t="s">
        <v>107</v>
      </c>
      <c r="U364" t="s">
        <v>1201</v>
      </c>
    </row>
    <row r="365" spans="1:21" x14ac:dyDescent="0.25">
      <c r="A365" t="s">
        <v>1895</v>
      </c>
      <c r="B365" s="8">
        <v>45699</v>
      </c>
      <c r="C365" t="s">
        <v>4698</v>
      </c>
      <c r="D365" t="s">
        <v>1108</v>
      </c>
      <c r="E365" t="s">
        <v>218</v>
      </c>
      <c r="F365">
        <v>42</v>
      </c>
      <c r="G365" t="s">
        <v>2</v>
      </c>
      <c r="H365" t="s">
        <v>3</v>
      </c>
      <c r="I365" t="s">
        <v>36</v>
      </c>
      <c r="J365" t="s">
        <v>136</v>
      </c>
      <c r="K365" t="s">
        <v>22</v>
      </c>
      <c r="L365">
        <v>2</v>
      </c>
      <c r="M365" s="12">
        <v>3590</v>
      </c>
      <c r="N365" s="12">
        <v>2333.5</v>
      </c>
      <c r="O365">
        <v>4</v>
      </c>
      <c r="P365" s="12">
        <v>6892.8</v>
      </c>
      <c r="Q365" s="12">
        <v>4667</v>
      </c>
      <c r="R365" s="12">
        <v>2225.8000000000002</v>
      </c>
      <c r="S365" t="s">
        <v>113</v>
      </c>
      <c r="T365" t="s">
        <v>108</v>
      </c>
      <c r="U365" t="s">
        <v>1194</v>
      </c>
    </row>
    <row r="366" spans="1:21" x14ac:dyDescent="0.25">
      <c r="A366" t="s">
        <v>1896</v>
      </c>
      <c r="B366" s="8">
        <v>45974</v>
      </c>
      <c r="C366" t="s">
        <v>2943</v>
      </c>
      <c r="D366" t="s">
        <v>850</v>
      </c>
      <c r="E366" t="s">
        <v>198</v>
      </c>
      <c r="F366">
        <v>44</v>
      </c>
      <c r="G366" t="s">
        <v>5</v>
      </c>
      <c r="H366" t="s">
        <v>3</v>
      </c>
      <c r="I366" t="s">
        <v>51</v>
      </c>
      <c r="J366" t="s">
        <v>54</v>
      </c>
      <c r="K366" t="s">
        <v>43</v>
      </c>
      <c r="L366">
        <v>1</v>
      </c>
      <c r="M366" s="12">
        <v>27499</v>
      </c>
      <c r="N366" s="12">
        <v>21724.210000000003</v>
      </c>
      <c r="O366">
        <v>16</v>
      </c>
      <c r="P366" s="12">
        <v>23099.16</v>
      </c>
      <c r="Q366" s="12">
        <v>21724.210000000003</v>
      </c>
      <c r="R366" s="12">
        <v>1374.9499999999971</v>
      </c>
      <c r="S366" t="s">
        <v>113</v>
      </c>
      <c r="T366" t="s">
        <v>107</v>
      </c>
      <c r="U366" t="s">
        <v>1201</v>
      </c>
    </row>
    <row r="367" spans="1:21" x14ac:dyDescent="0.25">
      <c r="A367" t="s">
        <v>1898</v>
      </c>
      <c r="B367" s="8">
        <v>45918</v>
      </c>
      <c r="C367" t="s">
        <v>1859</v>
      </c>
      <c r="D367" t="s">
        <v>1188</v>
      </c>
      <c r="E367" t="s">
        <v>198</v>
      </c>
      <c r="F367">
        <v>32</v>
      </c>
      <c r="G367" t="s">
        <v>9</v>
      </c>
      <c r="H367" t="s">
        <v>8</v>
      </c>
      <c r="I367" t="s">
        <v>21</v>
      </c>
      <c r="J367" t="s">
        <v>23</v>
      </c>
      <c r="K367" t="s">
        <v>22</v>
      </c>
      <c r="L367">
        <v>4</v>
      </c>
      <c r="M367" s="12">
        <v>54999</v>
      </c>
      <c r="N367" s="12">
        <v>45099.18</v>
      </c>
      <c r="O367">
        <v>8</v>
      </c>
      <c r="P367" s="12">
        <v>202396.32</v>
      </c>
      <c r="Q367" s="12">
        <v>180396.72</v>
      </c>
      <c r="R367" s="12">
        <v>21999.600000000006</v>
      </c>
      <c r="S367" t="s">
        <v>1246</v>
      </c>
      <c r="T367" t="s">
        <v>109</v>
      </c>
      <c r="U367" t="s">
        <v>1194</v>
      </c>
    </row>
    <row r="368" spans="1:21" x14ac:dyDescent="0.25">
      <c r="A368" t="s">
        <v>1900</v>
      </c>
      <c r="B368" s="8">
        <v>45946</v>
      </c>
      <c r="C368" t="s">
        <v>2565</v>
      </c>
      <c r="D368" t="s">
        <v>566</v>
      </c>
      <c r="E368" t="s">
        <v>218</v>
      </c>
      <c r="F368">
        <v>19</v>
      </c>
      <c r="G368" t="s">
        <v>2</v>
      </c>
      <c r="H368" t="s">
        <v>3</v>
      </c>
      <c r="I368" t="s">
        <v>24</v>
      </c>
      <c r="J368" t="s">
        <v>25</v>
      </c>
      <c r="K368" t="s">
        <v>22</v>
      </c>
      <c r="L368">
        <v>2</v>
      </c>
      <c r="M368" s="12">
        <v>35800</v>
      </c>
      <c r="N368" s="12">
        <v>28640</v>
      </c>
      <c r="O368">
        <v>6</v>
      </c>
      <c r="P368" s="12">
        <v>67304</v>
      </c>
      <c r="Q368" s="12">
        <v>57280</v>
      </c>
      <c r="R368" s="12">
        <v>10024</v>
      </c>
      <c r="S368" t="s">
        <v>1246</v>
      </c>
      <c r="T368" t="s">
        <v>107</v>
      </c>
      <c r="U368" t="s">
        <v>1209</v>
      </c>
    </row>
    <row r="369" spans="1:21" x14ac:dyDescent="0.25">
      <c r="A369" t="s">
        <v>1901</v>
      </c>
      <c r="B369" s="8">
        <v>45728</v>
      </c>
      <c r="C369" t="s">
        <v>4569</v>
      </c>
      <c r="D369" t="s">
        <v>1079</v>
      </c>
      <c r="E369" t="s">
        <v>218</v>
      </c>
      <c r="F369">
        <v>65</v>
      </c>
      <c r="G369" t="s">
        <v>4</v>
      </c>
      <c r="H369" t="s">
        <v>3</v>
      </c>
      <c r="I369" t="s">
        <v>49</v>
      </c>
      <c r="J369" t="s">
        <v>56</v>
      </c>
      <c r="K369" t="s">
        <v>43</v>
      </c>
      <c r="L369">
        <v>2</v>
      </c>
      <c r="M369" s="12">
        <v>31999</v>
      </c>
      <c r="N369" s="12">
        <v>25599.200000000001</v>
      </c>
      <c r="O369">
        <v>10</v>
      </c>
      <c r="P369" s="12">
        <v>57598.200000000004</v>
      </c>
      <c r="Q369" s="12">
        <v>51198.400000000001</v>
      </c>
      <c r="R369" s="12">
        <v>6399.8000000000029</v>
      </c>
      <c r="S369" t="s">
        <v>1246</v>
      </c>
      <c r="T369" t="s">
        <v>109</v>
      </c>
      <c r="U369" t="s">
        <v>1209</v>
      </c>
    </row>
    <row r="370" spans="1:21" x14ac:dyDescent="0.25">
      <c r="A370" t="s">
        <v>1902</v>
      </c>
      <c r="B370" s="8">
        <v>45670</v>
      </c>
      <c r="C370" t="s">
        <v>3757</v>
      </c>
      <c r="D370" t="s">
        <v>760</v>
      </c>
      <c r="E370" t="s">
        <v>218</v>
      </c>
      <c r="F370">
        <v>53</v>
      </c>
      <c r="G370" t="s">
        <v>17</v>
      </c>
      <c r="H370" t="s">
        <v>15</v>
      </c>
      <c r="I370" t="s">
        <v>63</v>
      </c>
      <c r="J370" t="s">
        <v>77</v>
      </c>
      <c r="K370" t="s">
        <v>64</v>
      </c>
      <c r="L370">
        <v>1</v>
      </c>
      <c r="M370" s="12">
        <v>650</v>
      </c>
      <c r="N370" s="12">
        <v>468</v>
      </c>
      <c r="O370">
        <v>12</v>
      </c>
      <c r="P370" s="12">
        <v>572</v>
      </c>
      <c r="Q370" s="12">
        <v>468</v>
      </c>
      <c r="R370" s="12">
        <v>104</v>
      </c>
      <c r="S370" t="s">
        <v>1246</v>
      </c>
      <c r="T370" t="s">
        <v>107</v>
      </c>
      <c r="U370" t="s">
        <v>1209</v>
      </c>
    </row>
    <row r="371" spans="1:21" x14ac:dyDescent="0.25">
      <c r="A371" t="s">
        <v>1904</v>
      </c>
      <c r="B371" s="8">
        <v>46015</v>
      </c>
      <c r="C371" t="s">
        <v>1776</v>
      </c>
      <c r="D371" t="s">
        <v>550</v>
      </c>
      <c r="E371" t="s">
        <v>198</v>
      </c>
      <c r="F371">
        <v>40</v>
      </c>
      <c r="G371" t="s">
        <v>7</v>
      </c>
      <c r="H371" t="s">
        <v>8</v>
      </c>
      <c r="I371" t="s">
        <v>45</v>
      </c>
      <c r="J371" t="s">
        <v>46</v>
      </c>
      <c r="K371" t="s">
        <v>43</v>
      </c>
      <c r="L371">
        <v>3</v>
      </c>
      <c r="M371" s="12">
        <v>11999</v>
      </c>
      <c r="N371" s="12">
        <v>8999.25</v>
      </c>
      <c r="O371">
        <v>20</v>
      </c>
      <c r="P371" s="12">
        <v>28797.600000000002</v>
      </c>
      <c r="Q371" s="12">
        <v>26997.75</v>
      </c>
      <c r="R371" s="12">
        <v>1799.8500000000022</v>
      </c>
      <c r="S371" t="s">
        <v>1246</v>
      </c>
      <c r="T371" t="s">
        <v>107</v>
      </c>
      <c r="U371" t="s">
        <v>1209</v>
      </c>
    </row>
    <row r="372" spans="1:21" x14ac:dyDescent="0.25">
      <c r="A372" t="s">
        <v>1905</v>
      </c>
      <c r="B372" s="8">
        <v>45775</v>
      </c>
      <c r="C372" t="s">
        <v>1642</v>
      </c>
      <c r="D372" t="s">
        <v>1129</v>
      </c>
      <c r="E372" t="s">
        <v>198</v>
      </c>
      <c r="F372">
        <v>47</v>
      </c>
      <c r="G372" t="s">
        <v>11</v>
      </c>
      <c r="H372" t="s">
        <v>12</v>
      </c>
      <c r="I372" t="s">
        <v>61</v>
      </c>
      <c r="J372" t="s">
        <v>146</v>
      </c>
      <c r="K372" t="s">
        <v>64</v>
      </c>
      <c r="L372">
        <v>3</v>
      </c>
      <c r="M372" s="12">
        <v>250</v>
      </c>
      <c r="N372" s="12">
        <v>155</v>
      </c>
      <c r="O372">
        <v>3</v>
      </c>
      <c r="P372" s="12">
        <v>727.5</v>
      </c>
      <c r="Q372" s="12">
        <v>465</v>
      </c>
      <c r="R372" s="12">
        <v>262.5</v>
      </c>
      <c r="S372" t="s">
        <v>1246</v>
      </c>
      <c r="T372" t="s">
        <v>111</v>
      </c>
      <c r="U372" t="s">
        <v>1205</v>
      </c>
    </row>
    <row r="373" spans="1:21" x14ac:dyDescent="0.25">
      <c r="A373" t="s">
        <v>1907</v>
      </c>
      <c r="B373" s="8">
        <v>45924</v>
      </c>
      <c r="C373" t="s">
        <v>1361</v>
      </c>
      <c r="D373" t="s">
        <v>1141</v>
      </c>
      <c r="E373" t="s">
        <v>218</v>
      </c>
      <c r="F373">
        <v>31</v>
      </c>
      <c r="G373" t="s">
        <v>290</v>
      </c>
      <c r="H373" t="s">
        <v>3</v>
      </c>
      <c r="I373" t="s">
        <v>49</v>
      </c>
      <c r="J373" t="s">
        <v>56</v>
      </c>
      <c r="K373" t="s">
        <v>43</v>
      </c>
      <c r="L373">
        <v>3</v>
      </c>
      <c r="M373" s="12">
        <v>31999</v>
      </c>
      <c r="N373" s="12">
        <v>25599.200000000001</v>
      </c>
      <c r="O373">
        <v>5</v>
      </c>
      <c r="P373" s="12">
        <v>91197.15</v>
      </c>
      <c r="Q373" s="12">
        <v>76797.600000000006</v>
      </c>
      <c r="R373" s="12">
        <v>14399.549999999988</v>
      </c>
      <c r="S373" t="s">
        <v>113</v>
      </c>
      <c r="T373" t="s">
        <v>107</v>
      </c>
      <c r="U373" t="s">
        <v>1203</v>
      </c>
    </row>
    <row r="374" spans="1:21" x14ac:dyDescent="0.25">
      <c r="A374" t="s">
        <v>1909</v>
      </c>
      <c r="B374" s="8">
        <v>45775</v>
      </c>
      <c r="C374" t="s">
        <v>2252</v>
      </c>
      <c r="D374" t="s">
        <v>736</v>
      </c>
      <c r="E374" t="s">
        <v>218</v>
      </c>
      <c r="F374">
        <v>24</v>
      </c>
      <c r="G374" t="s">
        <v>290</v>
      </c>
      <c r="H374" t="s">
        <v>3</v>
      </c>
      <c r="I374" t="s">
        <v>30</v>
      </c>
      <c r="J374" t="s">
        <v>41</v>
      </c>
      <c r="K374" t="s">
        <v>22</v>
      </c>
      <c r="L374">
        <v>2</v>
      </c>
      <c r="M374" s="12">
        <v>13749</v>
      </c>
      <c r="N374" s="12">
        <v>10999.2</v>
      </c>
      <c r="O374">
        <v>8</v>
      </c>
      <c r="P374" s="12">
        <v>25298.16</v>
      </c>
      <c r="Q374" s="12">
        <v>21998.400000000001</v>
      </c>
      <c r="R374" s="12">
        <v>3299.7599999999984</v>
      </c>
      <c r="S374" t="s">
        <v>1246</v>
      </c>
      <c r="T374" t="s">
        <v>107</v>
      </c>
      <c r="U374" t="s">
        <v>1199</v>
      </c>
    </row>
    <row r="375" spans="1:21" x14ac:dyDescent="0.25">
      <c r="A375" t="s">
        <v>1911</v>
      </c>
      <c r="B375" s="8">
        <v>45944</v>
      </c>
      <c r="C375" t="s">
        <v>2567</v>
      </c>
      <c r="D375" t="s">
        <v>380</v>
      </c>
      <c r="E375" t="s">
        <v>218</v>
      </c>
      <c r="F375">
        <v>29</v>
      </c>
      <c r="G375" t="s">
        <v>9</v>
      </c>
      <c r="H375" t="s">
        <v>8</v>
      </c>
      <c r="I375" t="s">
        <v>28</v>
      </c>
      <c r="J375" t="s">
        <v>35</v>
      </c>
      <c r="K375" t="s">
        <v>22</v>
      </c>
      <c r="L375">
        <v>4</v>
      </c>
      <c r="M375" s="12">
        <v>16499</v>
      </c>
      <c r="N375" s="12">
        <v>14519.12</v>
      </c>
      <c r="O375">
        <v>5</v>
      </c>
      <c r="P375" s="12">
        <v>62696.2</v>
      </c>
      <c r="Q375" s="12">
        <v>58076.480000000003</v>
      </c>
      <c r="R375" s="12">
        <v>4619.7199999999939</v>
      </c>
      <c r="S375" t="s">
        <v>113</v>
      </c>
      <c r="T375" t="s">
        <v>109</v>
      </c>
      <c r="U375" t="s">
        <v>1199</v>
      </c>
    </row>
    <row r="376" spans="1:21" x14ac:dyDescent="0.25">
      <c r="A376" t="s">
        <v>1912</v>
      </c>
      <c r="B376" s="8">
        <v>45984</v>
      </c>
      <c r="C376" t="s">
        <v>2933</v>
      </c>
      <c r="D376" t="s">
        <v>1186</v>
      </c>
      <c r="E376" t="s">
        <v>198</v>
      </c>
      <c r="F376">
        <v>28</v>
      </c>
      <c r="G376" t="s">
        <v>17</v>
      </c>
      <c r="H376" t="s">
        <v>15</v>
      </c>
      <c r="I376" t="s">
        <v>63</v>
      </c>
      <c r="J376" t="s">
        <v>77</v>
      </c>
      <c r="K376" t="s">
        <v>64</v>
      </c>
      <c r="L376">
        <v>1</v>
      </c>
      <c r="M376" s="12">
        <v>650</v>
      </c>
      <c r="N376" s="12">
        <v>468</v>
      </c>
      <c r="O376">
        <v>8</v>
      </c>
      <c r="P376" s="12">
        <v>598</v>
      </c>
      <c r="Q376" s="12">
        <v>468</v>
      </c>
      <c r="R376" s="12">
        <v>130</v>
      </c>
      <c r="S376" t="s">
        <v>1246</v>
      </c>
      <c r="T376" t="s">
        <v>109</v>
      </c>
      <c r="U376" t="s">
        <v>1209</v>
      </c>
    </row>
    <row r="377" spans="1:21" x14ac:dyDescent="0.25">
      <c r="A377" t="s">
        <v>1913</v>
      </c>
      <c r="B377" s="8">
        <v>45691</v>
      </c>
      <c r="C377" t="s">
        <v>1387</v>
      </c>
      <c r="D377" t="s">
        <v>655</v>
      </c>
      <c r="E377" t="s">
        <v>218</v>
      </c>
      <c r="F377">
        <v>54</v>
      </c>
      <c r="G377" t="s">
        <v>14</v>
      </c>
      <c r="H377" t="s">
        <v>15</v>
      </c>
      <c r="I377" t="s">
        <v>28</v>
      </c>
      <c r="J377" t="s">
        <v>35</v>
      </c>
      <c r="K377" t="s">
        <v>22</v>
      </c>
      <c r="L377">
        <v>2</v>
      </c>
      <c r="M377" s="12">
        <v>16499</v>
      </c>
      <c r="N377" s="12">
        <v>14519.12</v>
      </c>
      <c r="O377">
        <v>8</v>
      </c>
      <c r="P377" s="12">
        <v>30358.16</v>
      </c>
      <c r="Q377" s="12">
        <v>29038.240000000002</v>
      </c>
      <c r="R377" s="12">
        <v>1319.9199999999983</v>
      </c>
      <c r="S377" t="s">
        <v>113</v>
      </c>
      <c r="T377" t="s">
        <v>108</v>
      </c>
      <c r="U377" t="s">
        <v>1199</v>
      </c>
    </row>
    <row r="378" spans="1:21" x14ac:dyDescent="0.25">
      <c r="A378" t="s">
        <v>1915</v>
      </c>
      <c r="B378" s="8">
        <v>46012</v>
      </c>
      <c r="C378" t="s">
        <v>2587</v>
      </c>
      <c r="D378" t="s">
        <v>978</v>
      </c>
      <c r="E378" t="s">
        <v>198</v>
      </c>
      <c r="F378">
        <v>55</v>
      </c>
      <c r="G378" t="s">
        <v>9</v>
      </c>
      <c r="H378" t="s">
        <v>8</v>
      </c>
      <c r="I378" t="s">
        <v>32</v>
      </c>
      <c r="J378" t="s">
        <v>29</v>
      </c>
      <c r="K378" t="s">
        <v>22</v>
      </c>
      <c r="L378">
        <v>2</v>
      </c>
      <c r="M378" s="12">
        <v>9500</v>
      </c>
      <c r="N378" s="12">
        <v>6650</v>
      </c>
      <c r="O378">
        <v>13</v>
      </c>
      <c r="P378" s="12">
        <v>16530</v>
      </c>
      <c r="Q378" s="12">
        <v>13300</v>
      </c>
      <c r="R378" s="12">
        <v>3230</v>
      </c>
      <c r="S378" t="s">
        <v>113</v>
      </c>
      <c r="T378" t="s">
        <v>107</v>
      </c>
      <c r="U378" t="s">
        <v>1194</v>
      </c>
    </row>
    <row r="379" spans="1:21" x14ac:dyDescent="0.25">
      <c r="A379" t="s">
        <v>1917</v>
      </c>
      <c r="B379" s="8">
        <v>45914</v>
      </c>
      <c r="C379" t="s">
        <v>3103</v>
      </c>
      <c r="D379" t="s">
        <v>1124</v>
      </c>
      <c r="E379" t="s">
        <v>218</v>
      </c>
      <c r="F379">
        <v>56</v>
      </c>
      <c r="G379" t="s">
        <v>10</v>
      </c>
      <c r="H379" t="s">
        <v>8</v>
      </c>
      <c r="I379" t="s">
        <v>57</v>
      </c>
      <c r="J379" t="s">
        <v>67</v>
      </c>
      <c r="K379" t="s">
        <v>64</v>
      </c>
      <c r="L379">
        <v>1</v>
      </c>
      <c r="M379" s="12">
        <v>150</v>
      </c>
      <c r="N379" s="12">
        <v>97.5</v>
      </c>
      <c r="O379">
        <v>2</v>
      </c>
      <c r="P379" s="12">
        <v>147</v>
      </c>
      <c r="Q379" s="12">
        <v>97.5</v>
      </c>
      <c r="R379" s="12">
        <v>49.5</v>
      </c>
      <c r="S379" t="s">
        <v>113</v>
      </c>
      <c r="T379" t="s">
        <v>107</v>
      </c>
      <c r="U379" t="s">
        <v>1211</v>
      </c>
    </row>
    <row r="380" spans="1:21" x14ac:dyDescent="0.25">
      <c r="A380" t="s">
        <v>1919</v>
      </c>
      <c r="B380" s="8">
        <v>45874</v>
      </c>
      <c r="C380" t="s">
        <v>2743</v>
      </c>
      <c r="D380" t="s">
        <v>616</v>
      </c>
      <c r="E380" t="s">
        <v>218</v>
      </c>
      <c r="F380">
        <v>24</v>
      </c>
      <c r="G380" t="s">
        <v>7</v>
      </c>
      <c r="H380" t="s">
        <v>8</v>
      </c>
      <c r="I380" t="s">
        <v>47</v>
      </c>
      <c r="J380" t="s">
        <v>52</v>
      </c>
      <c r="K380" t="s">
        <v>43</v>
      </c>
      <c r="L380">
        <v>3</v>
      </c>
      <c r="M380" s="12">
        <v>42999</v>
      </c>
      <c r="N380" s="12">
        <v>33539.22</v>
      </c>
      <c r="O380">
        <v>7</v>
      </c>
      <c r="P380" s="12">
        <v>119967.20999999999</v>
      </c>
      <c r="Q380" s="12">
        <v>100617.66</v>
      </c>
      <c r="R380" s="12">
        <v>19349.549999999988</v>
      </c>
      <c r="S380" t="s">
        <v>113</v>
      </c>
      <c r="T380" t="s">
        <v>107</v>
      </c>
      <c r="U380" t="s">
        <v>1201</v>
      </c>
    </row>
    <row r="381" spans="1:21" x14ac:dyDescent="0.25">
      <c r="A381" t="s">
        <v>1920</v>
      </c>
      <c r="B381" s="8">
        <v>45731</v>
      </c>
      <c r="C381" t="s">
        <v>1273</v>
      </c>
      <c r="D381" t="s">
        <v>882</v>
      </c>
      <c r="E381" t="s">
        <v>198</v>
      </c>
      <c r="F381">
        <v>46</v>
      </c>
      <c r="G381" t="s">
        <v>4</v>
      </c>
      <c r="H381" t="s">
        <v>3</v>
      </c>
      <c r="I381" t="s">
        <v>28</v>
      </c>
      <c r="J381" t="s">
        <v>35</v>
      </c>
      <c r="K381" t="s">
        <v>22</v>
      </c>
      <c r="L381">
        <v>3</v>
      </c>
      <c r="M381" s="12">
        <v>16499</v>
      </c>
      <c r="N381" s="12">
        <v>14519.12</v>
      </c>
      <c r="O381">
        <v>7</v>
      </c>
      <c r="P381" s="12">
        <v>46032.21</v>
      </c>
      <c r="Q381" s="12">
        <v>43557.36</v>
      </c>
      <c r="R381" s="12">
        <v>2474.8499999999985</v>
      </c>
      <c r="S381" t="s">
        <v>1246</v>
      </c>
      <c r="T381" t="s">
        <v>107</v>
      </c>
      <c r="U381" t="s">
        <v>1203</v>
      </c>
    </row>
    <row r="382" spans="1:21" x14ac:dyDescent="0.25">
      <c r="A382" t="s">
        <v>1921</v>
      </c>
      <c r="B382" s="8">
        <v>45681</v>
      </c>
      <c r="C382" t="s">
        <v>2040</v>
      </c>
      <c r="D382" t="s">
        <v>646</v>
      </c>
      <c r="E382" t="s">
        <v>218</v>
      </c>
      <c r="F382">
        <v>50</v>
      </c>
      <c r="G382" t="s">
        <v>290</v>
      </c>
      <c r="H382" t="s">
        <v>3</v>
      </c>
      <c r="I382" t="s">
        <v>51</v>
      </c>
      <c r="J382" t="s">
        <v>54</v>
      </c>
      <c r="K382" t="s">
        <v>43</v>
      </c>
      <c r="L382">
        <v>1</v>
      </c>
      <c r="M382" s="12">
        <v>27499</v>
      </c>
      <c r="N382" s="12">
        <v>21724.210000000003</v>
      </c>
      <c r="O382">
        <v>3</v>
      </c>
      <c r="P382" s="12">
        <v>26674.03</v>
      </c>
      <c r="Q382" s="12">
        <v>21724.210000000003</v>
      </c>
      <c r="R382" s="12">
        <v>4949.8199999999961</v>
      </c>
      <c r="S382" t="s">
        <v>113</v>
      </c>
      <c r="T382" t="s">
        <v>108</v>
      </c>
      <c r="U382" t="s">
        <v>1201</v>
      </c>
    </row>
    <row r="383" spans="1:21" x14ac:dyDescent="0.25">
      <c r="A383" t="s">
        <v>1922</v>
      </c>
      <c r="B383" s="8">
        <v>45923</v>
      </c>
      <c r="C383" t="s">
        <v>1502</v>
      </c>
      <c r="D383" t="s">
        <v>492</v>
      </c>
      <c r="E383" t="s">
        <v>198</v>
      </c>
      <c r="F383">
        <v>31</v>
      </c>
      <c r="G383" t="s">
        <v>289</v>
      </c>
      <c r="H383" t="s">
        <v>3</v>
      </c>
      <c r="I383" t="s">
        <v>38</v>
      </c>
      <c r="J383" t="s">
        <v>37</v>
      </c>
      <c r="K383" t="s">
        <v>22</v>
      </c>
      <c r="L383">
        <v>1</v>
      </c>
      <c r="M383" s="12">
        <v>1650</v>
      </c>
      <c r="N383" s="12">
        <v>990</v>
      </c>
      <c r="O383">
        <v>5</v>
      </c>
      <c r="P383" s="12">
        <v>1567.5</v>
      </c>
      <c r="Q383" s="12">
        <v>990</v>
      </c>
      <c r="R383" s="12">
        <v>577.5</v>
      </c>
      <c r="S383" t="s">
        <v>113</v>
      </c>
      <c r="T383" t="s">
        <v>108</v>
      </c>
      <c r="U383" t="s">
        <v>1194</v>
      </c>
    </row>
    <row r="384" spans="1:21" x14ac:dyDescent="0.25">
      <c r="A384" t="s">
        <v>1924</v>
      </c>
      <c r="B384" s="8">
        <v>45683</v>
      </c>
      <c r="C384" t="s">
        <v>2852</v>
      </c>
      <c r="D384" t="s">
        <v>1008</v>
      </c>
      <c r="E384" t="s">
        <v>198</v>
      </c>
      <c r="F384">
        <v>56</v>
      </c>
      <c r="G384" t="s">
        <v>290</v>
      </c>
      <c r="H384" t="s">
        <v>3</v>
      </c>
      <c r="I384" t="s">
        <v>61</v>
      </c>
      <c r="J384" t="s">
        <v>146</v>
      </c>
      <c r="K384" t="s">
        <v>64</v>
      </c>
      <c r="L384">
        <v>4</v>
      </c>
      <c r="M384" s="12">
        <v>250</v>
      </c>
      <c r="N384" s="12">
        <v>155</v>
      </c>
      <c r="O384">
        <v>10</v>
      </c>
      <c r="P384" s="12">
        <v>900</v>
      </c>
      <c r="Q384" s="12">
        <v>620</v>
      </c>
      <c r="R384" s="12">
        <v>280</v>
      </c>
      <c r="S384" t="s">
        <v>113</v>
      </c>
      <c r="T384" t="s">
        <v>107</v>
      </c>
      <c r="U384" t="s">
        <v>1196</v>
      </c>
    </row>
    <row r="385" spans="1:21" x14ac:dyDescent="0.25">
      <c r="A385" t="s">
        <v>1926</v>
      </c>
      <c r="B385" s="8">
        <v>45962</v>
      </c>
      <c r="C385" t="s">
        <v>1392</v>
      </c>
      <c r="D385" t="s">
        <v>754</v>
      </c>
      <c r="E385" t="s">
        <v>218</v>
      </c>
      <c r="F385">
        <v>46</v>
      </c>
      <c r="G385" t="s">
        <v>16</v>
      </c>
      <c r="H385" t="s">
        <v>15</v>
      </c>
      <c r="I385" t="s">
        <v>63</v>
      </c>
      <c r="J385" t="s">
        <v>77</v>
      </c>
      <c r="K385" t="s">
        <v>64</v>
      </c>
      <c r="L385">
        <v>3</v>
      </c>
      <c r="M385" s="12">
        <v>650</v>
      </c>
      <c r="N385" s="12">
        <v>468</v>
      </c>
      <c r="O385">
        <v>3</v>
      </c>
      <c r="P385" s="12">
        <v>1891.5</v>
      </c>
      <c r="Q385" s="12">
        <v>1404</v>
      </c>
      <c r="R385" s="12">
        <v>487.5</v>
      </c>
      <c r="S385" t="s">
        <v>1246</v>
      </c>
      <c r="T385" t="s">
        <v>110</v>
      </c>
      <c r="U385" t="s">
        <v>1211</v>
      </c>
    </row>
    <row r="386" spans="1:21" x14ac:dyDescent="0.25">
      <c r="A386" t="s">
        <v>1928</v>
      </c>
      <c r="B386" s="8">
        <v>45936</v>
      </c>
      <c r="C386" t="s">
        <v>2062</v>
      </c>
      <c r="D386" t="s">
        <v>544</v>
      </c>
      <c r="E386" t="s">
        <v>198</v>
      </c>
      <c r="F386">
        <v>51</v>
      </c>
      <c r="G386" t="s">
        <v>17</v>
      </c>
      <c r="H386" t="s">
        <v>15</v>
      </c>
      <c r="I386" t="s">
        <v>34</v>
      </c>
      <c r="J386" t="s">
        <v>137</v>
      </c>
      <c r="K386" t="s">
        <v>22</v>
      </c>
      <c r="L386">
        <v>2</v>
      </c>
      <c r="M386" s="12">
        <v>6900</v>
      </c>
      <c r="N386" s="12">
        <v>5727</v>
      </c>
      <c r="O386">
        <v>7</v>
      </c>
      <c r="P386" s="12">
        <v>12834</v>
      </c>
      <c r="Q386" s="12">
        <v>11454</v>
      </c>
      <c r="R386" s="12">
        <v>1380</v>
      </c>
      <c r="S386" t="s">
        <v>113</v>
      </c>
      <c r="T386" t="s">
        <v>107</v>
      </c>
      <c r="U386" t="s">
        <v>1199</v>
      </c>
    </row>
    <row r="387" spans="1:21" x14ac:dyDescent="0.25">
      <c r="A387" t="s">
        <v>1930</v>
      </c>
      <c r="B387" s="8">
        <v>45759</v>
      </c>
      <c r="C387" t="s">
        <v>2595</v>
      </c>
      <c r="D387" t="s">
        <v>613</v>
      </c>
      <c r="E387" t="s">
        <v>198</v>
      </c>
      <c r="F387">
        <v>36</v>
      </c>
      <c r="G387" t="s">
        <v>7</v>
      </c>
      <c r="H387" t="s">
        <v>8</v>
      </c>
      <c r="I387" t="s">
        <v>47</v>
      </c>
      <c r="J387" t="s">
        <v>52</v>
      </c>
      <c r="K387" t="s">
        <v>43</v>
      </c>
      <c r="L387">
        <v>2</v>
      </c>
      <c r="M387" s="12">
        <v>42999</v>
      </c>
      <c r="N387" s="12">
        <v>33539.22</v>
      </c>
      <c r="O387">
        <v>7</v>
      </c>
      <c r="P387" s="12">
        <v>79978.14</v>
      </c>
      <c r="Q387" s="12">
        <v>67078.44</v>
      </c>
      <c r="R387" s="12">
        <v>12899.699999999997</v>
      </c>
      <c r="S387" t="s">
        <v>1249</v>
      </c>
      <c r="T387" t="s">
        <v>110</v>
      </c>
      <c r="U387" t="s">
        <v>1194</v>
      </c>
    </row>
    <row r="388" spans="1:21" x14ac:dyDescent="0.25">
      <c r="A388" t="s">
        <v>1931</v>
      </c>
      <c r="B388" s="8">
        <v>45674</v>
      </c>
      <c r="C388" t="s">
        <v>1884</v>
      </c>
      <c r="D388" t="s">
        <v>797</v>
      </c>
      <c r="E388" t="s">
        <v>218</v>
      </c>
      <c r="F388">
        <v>29</v>
      </c>
      <c r="G388" t="s">
        <v>10</v>
      </c>
      <c r="H388" t="s">
        <v>8</v>
      </c>
      <c r="I388" t="s">
        <v>21</v>
      </c>
      <c r="J388" t="s">
        <v>23</v>
      </c>
      <c r="K388" t="s">
        <v>22</v>
      </c>
      <c r="L388">
        <v>2</v>
      </c>
      <c r="M388" s="12">
        <v>54999</v>
      </c>
      <c r="N388" s="12">
        <v>45099.18</v>
      </c>
      <c r="O388">
        <v>8</v>
      </c>
      <c r="P388" s="12">
        <v>101198.16</v>
      </c>
      <c r="Q388" s="12">
        <v>90198.36</v>
      </c>
      <c r="R388" s="12">
        <v>10999.800000000003</v>
      </c>
      <c r="S388" t="s">
        <v>1246</v>
      </c>
      <c r="T388" t="s">
        <v>107</v>
      </c>
      <c r="U388" t="s">
        <v>1211</v>
      </c>
    </row>
    <row r="389" spans="1:21" x14ac:dyDescent="0.25">
      <c r="A389" t="s">
        <v>1933</v>
      </c>
      <c r="B389" s="8">
        <v>45714</v>
      </c>
      <c r="C389" t="s">
        <v>2878</v>
      </c>
      <c r="D389" t="s">
        <v>525</v>
      </c>
      <c r="E389" t="s">
        <v>198</v>
      </c>
      <c r="F389">
        <v>24</v>
      </c>
      <c r="G389" t="s">
        <v>16</v>
      </c>
      <c r="H389" t="s">
        <v>15</v>
      </c>
      <c r="I389" t="s">
        <v>42</v>
      </c>
      <c r="J389" t="s">
        <v>44</v>
      </c>
      <c r="K389" t="s">
        <v>43</v>
      </c>
      <c r="L389">
        <v>3</v>
      </c>
      <c r="M389" s="12">
        <v>8999</v>
      </c>
      <c r="N389" s="12">
        <v>6479.28</v>
      </c>
      <c r="O389">
        <v>6</v>
      </c>
      <c r="P389" s="12">
        <v>25377.18</v>
      </c>
      <c r="Q389" s="12">
        <v>19437.84</v>
      </c>
      <c r="R389" s="12">
        <v>5939.34</v>
      </c>
      <c r="S389" t="s">
        <v>1246</v>
      </c>
      <c r="T389" t="s">
        <v>109</v>
      </c>
      <c r="U389" t="s">
        <v>1205</v>
      </c>
    </row>
    <row r="390" spans="1:21" x14ac:dyDescent="0.25">
      <c r="A390" t="s">
        <v>1934</v>
      </c>
      <c r="B390" s="8">
        <v>45896</v>
      </c>
      <c r="C390" t="s">
        <v>2641</v>
      </c>
      <c r="D390" t="s">
        <v>948</v>
      </c>
      <c r="E390" t="s">
        <v>198</v>
      </c>
      <c r="F390">
        <v>42</v>
      </c>
      <c r="G390" t="s">
        <v>11</v>
      </c>
      <c r="H390" t="s">
        <v>12</v>
      </c>
      <c r="I390" t="s">
        <v>45</v>
      </c>
      <c r="J390" t="s">
        <v>46</v>
      </c>
      <c r="K390" t="s">
        <v>43</v>
      </c>
      <c r="L390">
        <v>2</v>
      </c>
      <c r="M390" s="12">
        <v>11999</v>
      </c>
      <c r="N390" s="12">
        <v>8999.25</v>
      </c>
      <c r="O390">
        <v>9</v>
      </c>
      <c r="P390" s="12">
        <v>21838.18</v>
      </c>
      <c r="Q390" s="12">
        <v>17998.5</v>
      </c>
      <c r="R390" s="12">
        <v>3839.6800000000003</v>
      </c>
      <c r="S390" t="s">
        <v>113</v>
      </c>
      <c r="T390" t="s">
        <v>107</v>
      </c>
      <c r="U390" t="s">
        <v>1207</v>
      </c>
    </row>
    <row r="391" spans="1:21" x14ac:dyDescent="0.25">
      <c r="A391" t="s">
        <v>1936</v>
      </c>
      <c r="B391" s="8">
        <v>45806</v>
      </c>
      <c r="C391" t="s">
        <v>1724</v>
      </c>
      <c r="D391" t="s">
        <v>685</v>
      </c>
      <c r="E391" t="s">
        <v>198</v>
      </c>
      <c r="F391">
        <v>35</v>
      </c>
      <c r="G391" t="s">
        <v>289</v>
      </c>
      <c r="H391" t="s">
        <v>3</v>
      </c>
      <c r="I391" t="s">
        <v>42</v>
      </c>
      <c r="J391" t="s">
        <v>44</v>
      </c>
      <c r="K391" t="s">
        <v>43</v>
      </c>
      <c r="L391">
        <v>2</v>
      </c>
      <c r="M391" s="12">
        <v>8999</v>
      </c>
      <c r="N391" s="12">
        <v>6479.28</v>
      </c>
      <c r="O391">
        <v>4</v>
      </c>
      <c r="P391" s="12">
        <v>17278.079999999998</v>
      </c>
      <c r="Q391" s="12">
        <v>12958.56</v>
      </c>
      <c r="R391" s="12">
        <v>4319.5199999999986</v>
      </c>
      <c r="S391" t="s">
        <v>1249</v>
      </c>
      <c r="T391" t="s">
        <v>107</v>
      </c>
      <c r="U391" t="s">
        <v>1205</v>
      </c>
    </row>
    <row r="392" spans="1:21" x14ac:dyDescent="0.25">
      <c r="A392" t="s">
        <v>1938</v>
      </c>
      <c r="B392" s="8">
        <v>45823</v>
      </c>
      <c r="C392" t="s">
        <v>1245</v>
      </c>
      <c r="D392" t="s">
        <v>493</v>
      </c>
      <c r="E392" t="s">
        <v>218</v>
      </c>
      <c r="F392">
        <v>54</v>
      </c>
      <c r="G392" t="s">
        <v>290</v>
      </c>
      <c r="H392" t="s">
        <v>3</v>
      </c>
      <c r="I392" t="s">
        <v>47</v>
      </c>
      <c r="J392" t="s">
        <v>52</v>
      </c>
      <c r="K392" t="s">
        <v>43</v>
      </c>
      <c r="L392">
        <v>5</v>
      </c>
      <c r="M392" s="12">
        <v>42999</v>
      </c>
      <c r="N392" s="12">
        <v>33539.22</v>
      </c>
      <c r="O392">
        <v>2</v>
      </c>
      <c r="P392" s="12">
        <v>210695.1</v>
      </c>
      <c r="Q392" s="12">
        <v>167696.1</v>
      </c>
      <c r="R392" s="12">
        <v>42999</v>
      </c>
      <c r="S392" t="s">
        <v>1246</v>
      </c>
      <c r="T392" t="s">
        <v>107</v>
      </c>
      <c r="U392" t="s">
        <v>1199</v>
      </c>
    </row>
    <row r="393" spans="1:21" x14ac:dyDescent="0.25">
      <c r="A393" t="s">
        <v>1939</v>
      </c>
      <c r="B393" s="8">
        <v>45996</v>
      </c>
      <c r="C393" t="s">
        <v>4780</v>
      </c>
      <c r="D393" t="s">
        <v>1056</v>
      </c>
      <c r="E393" t="s">
        <v>218</v>
      </c>
      <c r="F393">
        <v>31</v>
      </c>
      <c r="G393" t="s">
        <v>10</v>
      </c>
      <c r="H393" t="s">
        <v>8</v>
      </c>
      <c r="I393" t="s">
        <v>36</v>
      </c>
      <c r="J393" t="s">
        <v>136</v>
      </c>
      <c r="K393" t="s">
        <v>22</v>
      </c>
      <c r="L393">
        <v>4</v>
      </c>
      <c r="M393" s="12">
        <v>3590</v>
      </c>
      <c r="N393" s="12">
        <v>2333.5</v>
      </c>
      <c r="O393">
        <v>15</v>
      </c>
      <c r="P393" s="12">
        <v>12206</v>
      </c>
      <c r="Q393" s="12">
        <v>9334</v>
      </c>
      <c r="R393" s="12">
        <v>2872</v>
      </c>
      <c r="S393" t="s">
        <v>1246</v>
      </c>
      <c r="T393" t="s">
        <v>107</v>
      </c>
      <c r="U393" t="s">
        <v>1209</v>
      </c>
    </row>
    <row r="394" spans="1:21" x14ac:dyDescent="0.25">
      <c r="A394" t="s">
        <v>1940</v>
      </c>
      <c r="B394" s="8">
        <v>45985</v>
      </c>
      <c r="C394" t="s">
        <v>2433</v>
      </c>
      <c r="D394" t="s">
        <v>779</v>
      </c>
      <c r="E394" t="s">
        <v>218</v>
      </c>
      <c r="F394">
        <v>42</v>
      </c>
      <c r="G394" t="s">
        <v>11</v>
      </c>
      <c r="H394" t="s">
        <v>12</v>
      </c>
      <c r="I394" t="s">
        <v>26</v>
      </c>
      <c r="J394" t="s">
        <v>27</v>
      </c>
      <c r="K394" t="s">
        <v>22</v>
      </c>
      <c r="L394">
        <v>2</v>
      </c>
      <c r="M394" s="12">
        <v>27499</v>
      </c>
      <c r="N394" s="12">
        <v>23374.149999999998</v>
      </c>
      <c r="O394">
        <v>13</v>
      </c>
      <c r="P394" s="12">
        <v>47848.26</v>
      </c>
      <c r="Q394" s="12">
        <v>46748.299999999996</v>
      </c>
      <c r="R394" s="12">
        <v>1099.9600000000064</v>
      </c>
      <c r="S394" t="s">
        <v>113</v>
      </c>
      <c r="T394" t="s">
        <v>108</v>
      </c>
      <c r="U394" t="s">
        <v>1209</v>
      </c>
    </row>
    <row r="395" spans="1:21" x14ac:dyDescent="0.25">
      <c r="A395" t="s">
        <v>1942</v>
      </c>
      <c r="B395" s="8">
        <v>45933</v>
      </c>
      <c r="C395" t="s">
        <v>2617</v>
      </c>
      <c r="D395" t="s">
        <v>770</v>
      </c>
      <c r="E395" t="s">
        <v>218</v>
      </c>
      <c r="F395">
        <v>44</v>
      </c>
      <c r="G395" t="s">
        <v>2</v>
      </c>
      <c r="H395" t="s">
        <v>3</v>
      </c>
      <c r="I395" t="s">
        <v>24</v>
      </c>
      <c r="J395" t="s">
        <v>25</v>
      </c>
      <c r="K395" t="s">
        <v>22</v>
      </c>
      <c r="L395">
        <v>3</v>
      </c>
      <c r="M395" s="12">
        <v>35800</v>
      </c>
      <c r="N395" s="12">
        <v>28640</v>
      </c>
      <c r="O395">
        <v>3</v>
      </c>
      <c r="P395" s="12">
        <v>104178</v>
      </c>
      <c r="Q395" s="12">
        <v>85920</v>
      </c>
      <c r="R395" s="12">
        <v>18258</v>
      </c>
      <c r="S395" t="s">
        <v>113</v>
      </c>
      <c r="T395" t="s">
        <v>107</v>
      </c>
      <c r="U395" t="s">
        <v>1207</v>
      </c>
    </row>
    <row r="396" spans="1:21" x14ac:dyDescent="0.25">
      <c r="A396" t="s">
        <v>1944</v>
      </c>
      <c r="B396" s="8">
        <v>45868</v>
      </c>
      <c r="C396" t="s">
        <v>1496</v>
      </c>
      <c r="D396" t="s">
        <v>607</v>
      </c>
      <c r="E396" t="s">
        <v>198</v>
      </c>
      <c r="F396">
        <v>28</v>
      </c>
      <c r="G396" t="s">
        <v>14</v>
      </c>
      <c r="H396" t="s">
        <v>15</v>
      </c>
      <c r="I396" t="s">
        <v>34</v>
      </c>
      <c r="J396" t="s">
        <v>137</v>
      </c>
      <c r="K396" t="s">
        <v>22</v>
      </c>
      <c r="L396">
        <v>4</v>
      </c>
      <c r="M396" s="12">
        <v>6900</v>
      </c>
      <c r="N396" s="12">
        <v>5727</v>
      </c>
      <c r="O396">
        <v>7</v>
      </c>
      <c r="P396" s="12">
        <v>25668</v>
      </c>
      <c r="Q396" s="12">
        <v>22908</v>
      </c>
      <c r="R396" s="12">
        <v>2760</v>
      </c>
      <c r="S396" t="s">
        <v>113</v>
      </c>
      <c r="T396" t="s">
        <v>107</v>
      </c>
      <c r="U396" t="s">
        <v>1198</v>
      </c>
    </row>
    <row r="397" spans="1:21" x14ac:dyDescent="0.25">
      <c r="A397" t="s">
        <v>1946</v>
      </c>
      <c r="B397" s="8">
        <v>45938</v>
      </c>
      <c r="C397" t="s">
        <v>3089</v>
      </c>
      <c r="D397" t="s">
        <v>745</v>
      </c>
      <c r="E397" t="s">
        <v>198</v>
      </c>
      <c r="F397">
        <v>35</v>
      </c>
      <c r="G397" t="s">
        <v>14</v>
      </c>
      <c r="H397" t="s">
        <v>15</v>
      </c>
      <c r="I397" t="s">
        <v>59</v>
      </c>
      <c r="J397" t="s">
        <v>73</v>
      </c>
      <c r="K397" t="s">
        <v>64</v>
      </c>
      <c r="L397">
        <v>2</v>
      </c>
      <c r="M397" s="12">
        <v>120</v>
      </c>
      <c r="N397" s="12">
        <v>81.599999999999994</v>
      </c>
      <c r="O397">
        <v>4</v>
      </c>
      <c r="P397" s="12">
        <v>230.39999999999998</v>
      </c>
      <c r="Q397" s="12">
        <v>163.19999999999999</v>
      </c>
      <c r="R397" s="12">
        <v>67.199999999999989</v>
      </c>
      <c r="S397" t="s">
        <v>113</v>
      </c>
      <c r="T397" t="s">
        <v>109</v>
      </c>
      <c r="U397" t="s">
        <v>1198</v>
      </c>
    </row>
    <row r="398" spans="1:21" x14ac:dyDescent="0.25">
      <c r="A398" t="s">
        <v>1948</v>
      </c>
      <c r="B398" s="8">
        <v>45978</v>
      </c>
      <c r="C398" t="s">
        <v>1318</v>
      </c>
      <c r="D398" t="s">
        <v>653</v>
      </c>
      <c r="E398" t="s">
        <v>218</v>
      </c>
      <c r="F398">
        <v>41</v>
      </c>
      <c r="G398" t="s">
        <v>10</v>
      </c>
      <c r="H398" t="s">
        <v>8</v>
      </c>
      <c r="I398" t="s">
        <v>59</v>
      </c>
      <c r="J398" t="s">
        <v>73</v>
      </c>
      <c r="K398" t="s">
        <v>64</v>
      </c>
      <c r="L398">
        <v>1</v>
      </c>
      <c r="M398" s="12">
        <v>120</v>
      </c>
      <c r="N398" s="12">
        <v>81.599999999999994</v>
      </c>
      <c r="O398">
        <v>6</v>
      </c>
      <c r="P398" s="12">
        <v>112.8</v>
      </c>
      <c r="Q398" s="12">
        <v>81.599999999999994</v>
      </c>
      <c r="R398" s="12">
        <v>31.200000000000003</v>
      </c>
      <c r="S398" t="s">
        <v>1249</v>
      </c>
      <c r="T398" t="s">
        <v>110</v>
      </c>
      <c r="U398" t="s">
        <v>1203</v>
      </c>
    </row>
    <row r="399" spans="1:21" x14ac:dyDescent="0.25">
      <c r="A399" t="s">
        <v>1949</v>
      </c>
      <c r="B399" s="8">
        <v>45877</v>
      </c>
      <c r="C399" t="s">
        <v>3398</v>
      </c>
      <c r="D399" t="s">
        <v>641</v>
      </c>
      <c r="E399" t="s">
        <v>198</v>
      </c>
      <c r="F399">
        <v>45</v>
      </c>
      <c r="G399" t="s">
        <v>17</v>
      </c>
      <c r="H399" t="s">
        <v>15</v>
      </c>
      <c r="I399" t="s">
        <v>32</v>
      </c>
      <c r="J399" t="s">
        <v>29</v>
      </c>
      <c r="K399" t="s">
        <v>22</v>
      </c>
      <c r="L399">
        <v>1</v>
      </c>
      <c r="M399" s="12">
        <v>9500</v>
      </c>
      <c r="N399" s="12">
        <v>6650</v>
      </c>
      <c r="O399">
        <v>5</v>
      </c>
      <c r="P399" s="12">
        <v>9025</v>
      </c>
      <c r="Q399" s="12">
        <v>6650</v>
      </c>
      <c r="R399" s="12">
        <v>2375</v>
      </c>
      <c r="S399" t="s">
        <v>1246</v>
      </c>
      <c r="T399" t="s">
        <v>109</v>
      </c>
      <c r="U399" t="s">
        <v>1205</v>
      </c>
    </row>
    <row r="400" spans="1:21" x14ac:dyDescent="0.25">
      <c r="A400" t="s">
        <v>1951</v>
      </c>
      <c r="B400" s="8">
        <v>45926</v>
      </c>
      <c r="C400" t="s">
        <v>2464</v>
      </c>
      <c r="D400" t="s">
        <v>432</v>
      </c>
      <c r="E400" t="s">
        <v>218</v>
      </c>
      <c r="F400">
        <v>54</v>
      </c>
      <c r="G400" t="s">
        <v>17</v>
      </c>
      <c r="H400" t="s">
        <v>15</v>
      </c>
      <c r="I400" t="s">
        <v>21</v>
      </c>
      <c r="J400" t="s">
        <v>23</v>
      </c>
      <c r="K400" t="s">
        <v>22</v>
      </c>
      <c r="L400">
        <v>1</v>
      </c>
      <c r="M400" s="12">
        <v>54999</v>
      </c>
      <c r="N400" s="12">
        <v>45099.18</v>
      </c>
      <c r="O400">
        <v>7</v>
      </c>
      <c r="P400" s="12">
        <v>51149.07</v>
      </c>
      <c r="Q400" s="12">
        <v>45099.18</v>
      </c>
      <c r="R400" s="12">
        <v>6049.8899999999994</v>
      </c>
      <c r="S400" t="s">
        <v>1246</v>
      </c>
      <c r="T400" t="s">
        <v>107</v>
      </c>
      <c r="U400" t="s">
        <v>1198</v>
      </c>
    </row>
    <row r="401" spans="1:21" x14ac:dyDescent="0.25">
      <c r="A401" t="s">
        <v>1952</v>
      </c>
      <c r="B401" s="8">
        <v>45923</v>
      </c>
      <c r="C401" t="s">
        <v>2145</v>
      </c>
      <c r="D401" t="s">
        <v>761</v>
      </c>
      <c r="E401" t="s">
        <v>198</v>
      </c>
      <c r="F401">
        <v>34</v>
      </c>
      <c r="G401" t="s">
        <v>289</v>
      </c>
      <c r="H401" t="s">
        <v>3</v>
      </c>
      <c r="I401" t="s">
        <v>26</v>
      </c>
      <c r="J401" t="s">
        <v>27</v>
      </c>
      <c r="K401" t="s">
        <v>22</v>
      </c>
      <c r="L401">
        <v>3</v>
      </c>
      <c r="M401" s="12">
        <v>27499</v>
      </c>
      <c r="N401" s="12">
        <v>23374.149999999998</v>
      </c>
      <c r="O401">
        <v>3</v>
      </c>
      <c r="P401" s="12">
        <v>80022.09</v>
      </c>
      <c r="Q401" s="12">
        <v>70122.45</v>
      </c>
      <c r="R401" s="12">
        <v>9899.64</v>
      </c>
      <c r="S401" t="s">
        <v>1246</v>
      </c>
      <c r="T401" t="s">
        <v>107</v>
      </c>
      <c r="U401" t="s">
        <v>1205</v>
      </c>
    </row>
    <row r="402" spans="1:21" x14ac:dyDescent="0.25">
      <c r="A402" t="s">
        <v>1953</v>
      </c>
      <c r="B402" s="8">
        <v>46020</v>
      </c>
      <c r="C402" t="s">
        <v>2713</v>
      </c>
      <c r="D402" t="s">
        <v>788</v>
      </c>
      <c r="E402" t="s">
        <v>218</v>
      </c>
      <c r="F402">
        <v>57</v>
      </c>
      <c r="G402" t="s">
        <v>4</v>
      </c>
      <c r="H402" t="s">
        <v>3</v>
      </c>
      <c r="I402" t="s">
        <v>32</v>
      </c>
      <c r="J402" t="s">
        <v>29</v>
      </c>
      <c r="K402" t="s">
        <v>22</v>
      </c>
      <c r="L402">
        <v>5</v>
      </c>
      <c r="M402" s="12">
        <v>9500</v>
      </c>
      <c r="N402" s="12">
        <v>6650</v>
      </c>
      <c r="O402">
        <v>12</v>
      </c>
      <c r="P402" s="12">
        <v>41800</v>
      </c>
      <c r="Q402" s="12">
        <v>33250</v>
      </c>
      <c r="R402" s="12">
        <v>8550</v>
      </c>
      <c r="S402" t="s">
        <v>1249</v>
      </c>
      <c r="T402" t="s">
        <v>110</v>
      </c>
      <c r="U402" t="s">
        <v>1201</v>
      </c>
    </row>
    <row r="403" spans="1:21" x14ac:dyDescent="0.25">
      <c r="A403" t="s">
        <v>1954</v>
      </c>
      <c r="B403" s="8">
        <v>45751</v>
      </c>
      <c r="C403" t="s">
        <v>2524</v>
      </c>
      <c r="D403" t="s">
        <v>543</v>
      </c>
      <c r="E403" t="s">
        <v>198</v>
      </c>
      <c r="F403">
        <v>51</v>
      </c>
      <c r="G403" t="s">
        <v>7</v>
      </c>
      <c r="H403" t="s">
        <v>8</v>
      </c>
      <c r="I403" t="s">
        <v>53</v>
      </c>
      <c r="J403" t="s">
        <v>48</v>
      </c>
      <c r="K403" t="s">
        <v>43</v>
      </c>
      <c r="L403">
        <v>4</v>
      </c>
      <c r="M403" s="12">
        <v>6499</v>
      </c>
      <c r="N403" s="12">
        <v>4549.2999999999993</v>
      </c>
      <c r="O403">
        <v>10</v>
      </c>
      <c r="P403" s="12">
        <v>23396.400000000001</v>
      </c>
      <c r="Q403" s="12">
        <v>18197.199999999997</v>
      </c>
      <c r="R403" s="12">
        <v>5199.2000000000044</v>
      </c>
      <c r="S403" t="s">
        <v>113</v>
      </c>
      <c r="T403" t="s">
        <v>109</v>
      </c>
      <c r="U403" t="s">
        <v>1207</v>
      </c>
    </row>
    <row r="404" spans="1:21" x14ac:dyDescent="0.25">
      <c r="A404" t="s">
        <v>1956</v>
      </c>
      <c r="B404" s="8">
        <v>45747</v>
      </c>
      <c r="C404" t="s">
        <v>3442</v>
      </c>
      <c r="D404" t="s">
        <v>1155</v>
      </c>
      <c r="E404" t="s">
        <v>218</v>
      </c>
      <c r="F404">
        <v>53</v>
      </c>
      <c r="G404" t="s">
        <v>290</v>
      </c>
      <c r="H404" t="s">
        <v>3</v>
      </c>
      <c r="I404" t="s">
        <v>26</v>
      </c>
      <c r="J404" t="s">
        <v>27</v>
      </c>
      <c r="K404" t="s">
        <v>22</v>
      </c>
      <c r="L404">
        <v>5</v>
      </c>
      <c r="M404" s="12">
        <v>27499</v>
      </c>
      <c r="N404" s="12">
        <v>23374.149999999998</v>
      </c>
      <c r="O404">
        <v>8</v>
      </c>
      <c r="P404" s="12">
        <v>126495.40000000001</v>
      </c>
      <c r="Q404" s="12">
        <v>116870.74999999999</v>
      </c>
      <c r="R404" s="12">
        <v>9624.6500000000233</v>
      </c>
      <c r="S404" t="s">
        <v>113</v>
      </c>
      <c r="T404" t="s">
        <v>109</v>
      </c>
      <c r="U404" t="s">
        <v>1205</v>
      </c>
    </row>
    <row r="405" spans="1:21" x14ac:dyDescent="0.25">
      <c r="A405" t="s">
        <v>1958</v>
      </c>
      <c r="B405" s="8">
        <v>45991</v>
      </c>
      <c r="C405" t="s">
        <v>4569</v>
      </c>
      <c r="D405" t="s">
        <v>1079</v>
      </c>
      <c r="E405" t="s">
        <v>218</v>
      </c>
      <c r="F405">
        <v>65</v>
      </c>
      <c r="G405" t="s">
        <v>4</v>
      </c>
      <c r="H405" t="s">
        <v>3</v>
      </c>
      <c r="I405" t="s">
        <v>40</v>
      </c>
      <c r="J405" t="s">
        <v>39</v>
      </c>
      <c r="K405" t="s">
        <v>22</v>
      </c>
      <c r="L405">
        <v>4</v>
      </c>
      <c r="M405" s="12">
        <v>1100</v>
      </c>
      <c r="N405" s="12">
        <v>715</v>
      </c>
      <c r="O405">
        <v>17</v>
      </c>
      <c r="P405" s="12">
        <v>3652</v>
      </c>
      <c r="Q405" s="12">
        <v>2860</v>
      </c>
      <c r="R405" s="12">
        <v>792</v>
      </c>
      <c r="S405" t="s">
        <v>113</v>
      </c>
      <c r="T405" t="s">
        <v>107</v>
      </c>
      <c r="U405" t="s">
        <v>1198</v>
      </c>
    </row>
    <row r="406" spans="1:21" x14ac:dyDescent="0.25">
      <c r="A406" t="s">
        <v>1960</v>
      </c>
      <c r="B406" s="8">
        <v>45880</v>
      </c>
      <c r="C406" t="s">
        <v>2055</v>
      </c>
      <c r="D406" t="s">
        <v>690</v>
      </c>
      <c r="E406" t="s">
        <v>218</v>
      </c>
      <c r="F406">
        <v>22</v>
      </c>
      <c r="G406" t="s">
        <v>10</v>
      </c>
      <c r="H406" t="s">
        <v>8</v>
      </c>
      <c r="I406" t="s">
        <v>36</v>
      </c>
      <c r="J406" t="s">
        <v>136</v>
      </c>
      <c r="K406" t="s">
        <v>22</v>
      </c>
      <c r="L406">
        <v>1</v>
      </c>
      <c r="M406" s="12">
        <v>3590</v>
      </c>
      <c r="N406" s="12">
        <v>2333.5</v>
      </c>
      <c r="O406">
        <v>4</v>
      </c>
      <c r="P406" s="12">
        <v>3446.4</v>
      </c>
      <c r="Q406" s="12">
        <v>2333.5</v>
      </c>
      <c r="R406" s="12">
        <v>1112.9000000000001</v>
      </c>
      <c r="S406" t="s">
        <v>113</v>
      </c>
      <c r="T406" t="s">
        <v>109</v>
      </c>
      <c r="U406" t="s">
        <v>1207</v>
      </c>
    </row>
    <row r="407" spans="1:21" x14ac:dyDescent="0.25">
      <c r="A407" t="s">
        <v>1962</v>
      </c>
      <c r="B407" s="8">
        <v>45824</v>
      </c>
      <c r="C407" t="s">
        <v>1413</v>
      </c>
      <c r="D407" t="s">
        <v>1098</v>
      </c>
      <c r="E407" t="s">
        <v>198</v>
      </c>
      <c r="F407">
        <v>31</v>
      </c>
      <c r="G407" t="s">
        <v>10</v>
      </c>
      <c r="H407" t="s">
        <v>8</v>
      </c>
      <c r="I407" t="s">
        <v>38</v>
      </c>
      <c r="J407" t="s">
        <v>37</v>
      </c>
      <c r="K407" t="s">
        <v>22</v>
      </c>
      <c r="L407">
        <v>3</v>
      </c>
      <c r="M407" s="12">
        <v>1650</v>
      </c>
      <c r="N407" s="12">
        <v>990</v>
      </c>
      <c r="O407">
        <v>10</v>
      </c>
      <c r="P407" s="12">
        <v>4455</v>
      </c>
      <c r="Q407" s="12">
        <v>2970</v>
      </c>
      <c r="R407" s="12">
        <v>1485</v>
      </c>
      <c r="S407" t="s">
        <v>1246</v>
      </c>
      <c r="T407" t="s">
        <v>107</v>
      </c>
      <c r="U407" t="s">
        <v>1203</v>
      </c>
    </row>
    <row r="408" spans="1:21" x14ac:dyDescent="0.25">
      <c r="A408" t="s">
        <v>1964</v>
      </c>
      <c r="B408" s="8">
        <v>45826</v>
      </c>
      <c r="C408" t="s">
        <v>3325</v>
      </c>
      <c r="D408" t="s">
        <v>849</v>
      </c>
      <c r="E408" t="s">
        <v>198</v>
      </c>
      <c r="F408">
        <v>27</v>
      </c>
      <c r="G408" t="s">
        <v>17</v>
      </c>
      <c r="H408" t="s">
        <v>15</v>
      </c>
      <c r="I408" t="s">
        <v>24</v>
      </c>
      <c r="J408" t="s">
        <v>25</v>
      </c>
      <c r="K408" t="s">
        <v>22</v>
      </c>
      <c r="L408">
        <v>1</v>
      </c>
      <c r="M408" s="12">
        <v>35800</v>
      </c>
      <c r="N408" s="12">
        <v>28640</v>
      </c>
      <c r="O408">
        <v>7</v>
      </c>
      <c r="P408" s="12">
        <v>33294</v>
      </c>
      <c r="Q408" s="12">
        <v>28640</v>
      </c>
      <c r="R408" s="12">
        <v>4654</v>
      </c>
      <c r="S408" t="s">
        <v>1246</v>
      </c>
      <c r="T408" t="s">
        <v>108</v>
      </c>
      <c r="U408" t="s">
        <v>1209</v>
      </c>
    </row>
    <row r="409" spans="1:21" x14ac:dyDescent="0.25">
      <c r="A409" t="s">
        <v>1965</v>
      </c>
      <c r="B409" s="8">
        <v>45760</v>
      </c>
      <c r="C409" t="s">
        <v>1864</v>
      </c>
      <c r="D409" t="s">
        <v>845</v>
      </c>
      <c r="E409" t="s">
        <v>218</v>
      </c>
      <c r="F409">
        <v>52</v>
      </c>
      <c r="G409" t="s">
        <v>14</v>
      </c>
      <c r="H409" t="s">
        <v>15</v>
      </c>
      <c r="I409" t="s">
        <v>49</v>
      </c>
      <c r="J409" t="s">
        <v>56</v>
      </c>
      <c r="K409" t="s">
        <v>43</v>
      </c>
      <c r="L409">
        <v>3</v>
      </c>
      <c r="M409" s="12">
        <v>31999</v>
      </c>
      <c r="N409" s="12">
        <v>25599.200000000001</v>
      </c>
      <c r="O409">
        <v>10</v>
      </c>
      <c r="P409" s="12">
        <v>86397.3</v>
      </c>
      <c r="Q409" s="12">
        <v>76797.600000000006</v>
      </c>
      <c r="R409" s="12">
        <v>9599.6999999999971</v>
      </c>
      <c r="S409" t="s">
        <v>1246</v>
      </c>
      <c r="T409" t="s">
        <v>110</v>
      </c>
      <c r="U409" t="s">
        <v>1211</v>
      </c>
    </row>
    <row r="410" spans="1:21" x14ac:dyDescent="0.25">
      <c r="A410" t="s">
        <v>1967</v>
      </c>
      <c r="B410" s="8">
        <v>45890</v>
      </c>
      <c r="C410" t="s">
        <v>2019</v>
      </c>
      <c r="D410" t="s">
        <v>639</v>
      </c>
      <c r="E410" t="s">
        <v>218</v>
      </c>
      <c r="F410">
        <v>52</v>
      </c>
      <c r="G410" t="s">
        <v>17</v>
      </c>
      <c r="H410" t="s">
        <v>15</v>
      </c>
      <c r="I410" t="s">
        <v>34</v>
      </c>
      <c r="J410" t="s">
        <v>137</v>
      </c>
      <c r="K410" t="s">
        <v>22</v>
      </c>
      <c r="L410">
        <v>5</v>
      </c>
      <c r="M410" s="12">
        <v>6900</v>
      </c>
      <c r="N410" s="12">
        <v>5727</v>
      </c>
      <c r="O410">
        <v>7</v>
      </c>
      <c r="P410" s="12">
        <v>32084.999999999996</v>
      </c>
      <c r="Q410" s="12">
        <v>28635</v>
      </c>
      <c r="R410" s="12">
        <v>3449.9999999999964</v>
      </c>
      <c r="S410" t="s">
        <v>1246</v>
      </c>
      <c r="T410" t="s">
        <v>109</v>
      </c>
      <c r="U410" t="s">
        <v>1209</v>
      </c>
    </row>
    <row r="411" spans="1:21" x14ac:dyDescent="0.25">
      <c r="A411" t="s">
        <v>1968</v>
      </c>
      <c r="B411" s="8">
        <v>45805</v>
      </c>
      <c r="C411" t="s">
        <v>2279</v>
      </c>
      <c r="D411" t="s">
        <v>1150</v>
      </c>
      <c r="E411" t="s">
        <v>218</v>
      </c>
      <c r="F411">
        <v>26</v>
      </c>
      <c r="G411" t="s">
        <v>11</v>
      </c>
      <c r="H411" t="s">
        <v>12</v>
      </c>
      <c r="I411" t="s">
        <v>51</v>
      </c>
      <c r="J411" t="s">
        <v>54</v>
      </c>
      <c r="K411" t="s">
        <v>43</v>
      </c>
      <c r="L411">
        <v>1</v>
      </c>
      <c r="M411" s="12">
        <v>27499</v>
      </c>
      <c r="N411" s="12">
        <v>21724.210000000003</v>
      </c>
      <c r="O411">
        <v>4</v>
      </c>
      <c r="P411" s="12">
        <v>26399.039999999997</v>
      </c>
      <c r="Q411" s="12">
        <v>21724.210000000003</v>
      </c>
      <c r="R411" s="12">
        <v>4674.8299999999945</v>
      </c>
      <c r="S411" t="s">
        <v>1249</v>
      </c>
      <c r="T411" t="s">
        <v>109</v>
      </c>
      <c r="U411" t="s">
        <v>1198</v>
      </c>
    </row>
    <row r="412" spans="1:21" x14ac:dyDescent="0.25">
      <c r="A412" t="s">
        <v>1969</v>
      </c>
      <c r="B412" s="8">
        <v>45981</v>
      </c>
      <c r="C412" t="s">
        <v>2068</v>
      </c>
      <c r="D412" t="s">
        <v>775</v>
      </c>
      <c r="E412" t="s">
        <v>218</v>
      </c>
      <c r="F412">
        <v>60</v>
      </c>
      <c r="G412" t="s">
        <v>14</v>
      </c>
      <c r="H412" t="s">
        <v>15</v>
      </c>
      <c r="I412" t="s">
        <v>24</v>
      </c>
      <c r="J412" t="s">
        <v>25</v>
      </c>
      <c r="K412" t="s">
        <v>22</v>
      </c>
      <c r="L412">
        <v>5</v>
      </c>
      <c r="M412" s="12">
        <v>35800</v>
      </c>
      <c r="N412" s="12">
        <v>28640</v>
      </c>
      <c r="O412">
        <v>14</v>
      </c>
      <c r="P412" s="12">
        <v>153940</v>
      </c>
      <c r="Q412" s="12">
        <v>143200</v>
      </c>
      <c r="R412" s="12">
        <v>10740</v>
      </c>
      <c r="S412" t="s">
        <v>1246</v>
      </c>
      <c r="T412" t="s">
        <v>109</v>
      </c>
      <c r="U412" t="s">
        <v>1201</v>
      </c>
    </row>
    <row r="413" spans="1:21" x14ac:dyDescent="0.25">
      <c r="A413" t="s">
        <v>1970</v>
      </c>
      <c r="B413" s="8">
        <v>46002</v>
      </c>
      <c r="C413" t="s">
        <v>3522</v>
      </c>
      <c r="D413" t="s">
        <v>407</v>
      </c>
      <c r="E413" t="s">
        <v>218</v>
      </c>
      <c r="F413">
        <v>30</v>
      </c>
      <c r="G413" t="s">
        <v>4</v>
      </c>
      <c r="H413" t="s">
        <v>3</v>
      </c>
      <c r="I413" t="s">
        <v>49</v>
      </c>
      <c r="J413" t="s">
        <v>56</v>
      </c>
      <c r="K413" t="s">
        <v>43</v>
      </c>
      <c r="L413">
        <v>1</v>
      </c>
      <c r="M413" s="12">
        <v>31999</v>
      </c>
      <c r="N413" s="12">
        <v>25599.200000000001</v>
      </c>
      <c r="O413">
        <v>13</v>
      </c>
      <c r="P413" s="12">
        <v>27839.13</v>
      </c>
      <c r="Q413" s="12">
        <v>25599.200000000001</v>
      </c>
      <c r="R413" s="12">
        <v>2239.9300000000003</v>
      </c>
      <c r="S413" t="s">
        <v>1246</v>
      </c>
      <c r="T413" t="s">
        <v>109</v>
      </c>
      <c r="U413" t="s">
        <v>1194</v>
      </c>
    </row>
    <row r="414" spans="1:21" x14ac:dyDescent="0.25">
      <c r="A414" t="s">
        <v>1972</v>
      </c>
      <c r="B414" s="8">
        <v>45708</v>
      </c>
      <c r="C414" t="s">
        <v>2079</v>
      </c>
      <c r="D414" t="s">
        <v>612</v>
      </c>
      <c r="E414" t="s">
        <v>198</v>
      </c>
      <c r="F414">
        <v>23</v>
      </c>
      <c r="G414" t="s">
        <v>14</v>
      </c>
      <c r="H414" t="s">
        <v>15</v>
      </c>
      <c r="I414" t="s">
        <v>51</v>
      </c>
      <c r="J414" t="s">
        <v>54</v>
      </c>
      <c r="K414" t="s">
        <v>43</v>
      </c>
      <c r="L414">
        <v>5</v>
      </c>
      <c r="M414" s="12">
        <v>27499</v>
      </c>
      <c r="N414" s="12">
        <v>21724.210000000003</v>
      </c>
      <c r="O414">
        <v>8</v>
      </c>
      <c r="P414" s="12">
        <v>126495.40000000001</v>
      </c>
      <c r="Q414" s="12">
        <v>108621.05000000002</v>
      </c>
      <c r="R414" s="12">
        <v>17874.349999999991</v>
      </c>
      <c r="S414" t="s">
        <v>1246</v>
      </c>
      <c r="T414" t="s">
        <v>107</v>
      </c>
      <c r="U414" t="s">
        <v>1211</v>
      </c>
    </row>
    <row r="415" spans="1:21" x14ac:dyDescent="0.25">
      <c r="A415" t="s">
        <v>1974</v>
      </c>
      <c r="B415" s="8">
        <v>45699</v>
      </c>
      <c r="C415" t="s">
        <v>2379</v>
      </c>
      <c r="D415" t="s">
        <v>750</v>
      </c>
      <c r="E415" t="s">
        <v>218</v>
      </c>
      <c r="F415">
        <v>24</v>
      </c>
      <c r="G415" t="s">
        <v>9</v>
      </c>
      <c r="H415" t="s">
        <v>8</v>
      </c>
      <c r="I415" t="s">
        <v>55</v>
      </c>
      <c r="J415" t="s">
        <v>65</v>
      </c>
      <c r="K415" t="s">
        <v>64</v>
      </c>
      <c r="L415">
        <v>4</v>
      </c>
      <c r="M415" s="12">
        <v>80</v>
      </c>
      <c r="N415" s="12">
        <v>56</v>
      </c>
      <c r="O415">
        <v>3</v>
      </c>
      <c r="P415" s="12">
        <v>310.39999999999998</v>
      </c>
      <c r="Q415" s="12">
        <v>224</v>
      </c>
      <c r="R415" s="12">
        <v>86.399999999999977</v>
      </c>
      <c r="S415" t="s">
        <v>113</v>
      </c>
      <c r="T415" t="s">
        <v>109</v>
      </c>
      <c r="U415" t="s">
        <v>1201</v>
      </c>
    </row>
    <row r="416" spans="1:21" x14ac:dyDescent="0.25">
      <c r="A416" t="s">
        <v>1976</v>
      </c>
      <c r="B416" s="8">
        <v>45667</v>
      </c>
      <c r="C416" t="s">
        <v>1551</v>
      </c>
      <c r="D416" t="s">
        <v>830</v>
      </c>
      <c r="E416" t="s">
        <v>218</v>
      </c>
      <c r="F416">
        <v>20</v>
      </c>
      <c r="G416" t="s">
        <v>5</v>
      </c>
      <c r="H416" t="s">
        <v>3</v>
      </c>
      <c r="I416" t="s">
        <v>42</v>
      </c>
      <c r="J416" t="s">
        <v>44</v>
      </c>
      <c r="K416" t="s">
        <v>43</v>
      </c>
      <c r="L416">
        <v>3</v>
      </c>
      <c r="M416" s="12">
        <v>8999</v>
      </c>
      <c r="N416" s="12">
        <v>6479.28</v>
      </c>
      <c r="O416">
        <v>4</v>
      </c>
      <c r="P416" s="12">
        <v>25917.119999999999</v>
      </c>
      <c r="Q416" s="12">
        <v>19437.84</v>
      </c>
      <c r="R416" s="12">
        <v>6479.2799999999988</v>
      </c>
      <c r="S416" t="s">
        <v>113</v>
      </c>
      <c r="T416" t="s">
        <v>111</v>
      </c>
      <c r="U416" t="s">
        <v>1194</v>
      </c>
    </row>
    <row r="417" spans="1:21" x14ac:dyDescent="0.25">
      <c r="A417" t="s">
        <v>1978</v>
      </c>
      <c r="B417" s="8">
        <v>45776</v>
      </c>
      <c r="C417" t="s">
        <v>1546</v>
      </c>
      <c r="D417" t="s">
        <v>975</v>
      </c>
      <c r="E417" t="s">
        <v>198</v>
      </c>
      <c r="F417">
        <v>25</v>
      </c>
      <c r="G417" t="s">
        <v>7</v>
      </c>
      <c r="H417" t="s">
        <v>8</v>
      </c>
      <c r="I417" t="s">
        <v>51</v>
      </c>
      <c r="J417" t="s">
        <v>54</v>
      </c>
      <c r="K417" t="s">
        <v>43</v>
      </c>
      <c r="L417">
        <v>4</v>
      </c>
      <c r="M417" s="12">
        <v>27499</v>
      </c>
      <c r="N417" s="12">
        <v>21724.210000000003</v>
      </c>
      <c r="O417">
        <v>6</v>
      </c>
      <c r="P417" s="12">
        <v>103396.23999999999</v>
      </c>
      <c r="Q417" s="12">
        <v>86896.840000000011</v>
      </c>
      <c r="R417" s="12">
        <v>16499.39999999998</v>
      </c>
      <c r="S417" t="s">
        <v>1246</v>
      </c>
      <c r="T417" t="s">
        <v>109</v>
      </c>
      <c r="U417" t="s">
        <v>1199</v>
      </c>
    </row>
    <row r="418" spans="1:21" x14ac:dyDescent="0.25">
      <c r="A418" t="s">
        <v>1980</v>
      </c>
      <c r="B418" s="8">
        <v>45774</v>
      </c>
      <c r="C418" t="s">
        <v>2102</v>
      </c>
      <c r="D418" t="s">
        <v>1134</v>
      </c>
      <c r="E418" t="s">
        <v>198</v>
      </c>
      <c r="F418">
        <v>19</v>
      </c>
      <c r="G418" t="s">
        <v>16</v>
      </c>
      <c r="H418" t="s">
        <v>15</v>
      </c>
      <c r="I418" t="s">
        <v>40</v>
      </c>
      <c r="J418" t="s">
        <v>39</v>
      </c>
      <c r="K418" t="s">
        <v>22</v>
      </c>
      <c r="L418">
        <v>3</v>
      </c>
      <c r="M418" s="12">
        <v>1100</v>
      </c>
      <c r="N418" s="12">
        <v>715</v>
      </c>
      <c r="O418">
        <v>5</v>
      </c>
      <c r="P418" s="12">
        <v>3135</v>
      </c>
      <c r="Q418" s="12">
        <v>2145</v>
      </c>
      <c r="R418" s="12">
        <v>990</v>
      </c>
      <c r="S418" t="s">
        <v>113</v>
      </c>
      <c r="T418" t="s">
        <v>107</v>
      </c>
      <c r="U418" t="s">
        <v>1211</v>
      </c>
    </row>
    <row r="419" spans="1:21" x14ac:dyDescent="0.25">
      <c r="A419" t="s">
        <v>1982</v>
      </c>
      <c r="B419" s="8">
        <v>45662</v>
      </c>
      <c r="C419" t="s">
        <v>2563</v>
      </c>
      <c r="D419" t="s">
        <v>815</v>
      </c>
      <c r="E419" t="s">
        <v>218</v>
      </c>
      <c r="F419">
        <v>37</v>
      </c>
      <c r="G419" t="s">
        <v>9</v>
      </c>
      <c r="H419" t="s">
        <v>8</v>
      </c>
      <c r="I419" t="s">
        <v>26</v>
      </c>
      <c r="J419" t="s">
        <v>27</v>
      </c>
      <c r="K419" t="s">
        <v>22</v>
      </c>
      <c r="L419">
        <v>2</v>
      </c>
      <c r="M419" s="12">
        <v>27499</v>
      </c>
      <c r="N419" s="12">
        <v>23374.149999999998</v>
      </c>
      <c r="O419">
        <v>10</v>
      </c>
      <c r="P419" s="12">
        <v>49498.200000000004</v>
      </c>
      <c r="Q419" s="12">
        <v>46748.299999999996</v>
      </c>
      <c r="R419" s="12">
        <v>2749.9000000000087</v>
      </c>
      <c r="S419" t="s">
        <v>1246</v>
      </c>
      <c r="T419" t="s">
        <v>110</v>
      </c>
      <c r="U419" t="s">
        <v>1201</v>
      </c>
    </row>
    <row r="420" spans="1:21" x14ac:dyDescent="0.25">
      <c r="A420" t="s">
        <v>1983</v>
      </c>
      <c r="B420" s="8">
        <v>45801</v>
      </c>
      <c r="C420" t="s">
        <v>2419</v>
      </c>
      <c r="D420" t="s">
        <v>491</v>
      </c>
      <c r="E420" t="s">
        <v>198</v>
      </c>
      <c r="F420">
        <v>60</v>
      </c>
      <c r="G420" t="s">
        <v>289</v>
      </c>
      <c r="H420" t="s">
        <v>3</v>
      </c>
      <c r="I420" t="s">
        <v>42</v>
      </c>
      <c r="J420" t="s">
        <v>44</v>
      </c>
      <c r="K420" t="s">
        <v>43</v>
      </c>
      <c r="L420">
        <v>3</v>
      </c>
      <c r="M420" s="12">
        <v>8999</v>
      </c>
      <c r="N420" s="12">
        <v>6479.28</v>
      </c>
      <c r="O420">
        <v>5</v>
      </c>
      <c r="P420" s="12">
        <v>25647.149999999998</v>
      </c>
      <c r="Q420" s="12">
        <v>19437.84</v>
      </c>
      <c r="R420" s="12">
        <v>6209.3099999999977</v>
      </c>
      <c r="S420" t="s">
        <v>1249</v>
      </c>
      <c r="T420" t="s">
        <v>108</v>
      </c>
      <c r="U420" t="s">
        <v>1198</v>
      </c>
    </row>
    <row r="421" spans="1:21" x14ac:dyDescent="0.25">
      <c r="A421" t="s">
        <v>1984</v>
      </c>
      <c r="B421" s="8">
        <v>45867</v>
      </c>
      <c r="C421" t="s">
        <v>2548</v>
      </c>
      <c r="D421" t="s">
        <v>734</v>
      </c>
      <c r="E421" t="s">
        <v>218</v>
      </c>
      <c r="F421">
        <v>38</v>
      </c>
      <c r="G421" t="s">
        <v>16</v>
      </c>
      <c r="H421" t="s">
        <v>15</v>
      </c>
      <c r="I421" t="s">
        <v>59</v>
      </c>
      <c r="J421" t="s">
        <v>73</v>
      </c>
      <c r="K421" t="s">
        <v>64</v>
      </c>
      <c r="L421">
        <v>1</v>
      </c>
      <c r="M421" s="12">
        <v>120</v>
      </c>
      <c r="N421" s="12">
        <v>81.599999999999994</v>
      </c>
      <c r="O421">
        <v>5</v>
      </c>
      <c r="P421" s="12">
        <v>114</v>
      </c>
      <c r="Q421" s="12">
        <v>81.599999999999994</v>
      </c>
      <c r="R421" s="12">
        <v>32.400000000000006</v>
      </c>
      <c r="S421" t="s">
        <v>1246</v>
      </c>
      <c r="T421" t="s">
        <v>108</v>
      </c>
      <c r="U421" t="s">
        <v>1209</v>
      </c>
    </row>
    <row r="422" spans="1:21" x14ac:dyDescent="0.25">
      <c r="A422" t="s">
        <v>1985</v>
      </c>
      <c r="B422" s="8">
        <v>45758</v>
      </c>
      <c r="C422" t="s">
        <v>1995</v>
      </c>
      <c r="D422" t="s">
        <v>753</v>
      </c>
      <c r="E422" t="s">
        <v>218</v>
      </c>
      <c r="F422">
        <v>25</v>
      </c>
      <c r="G422" t="s">
        <v>16</v>
      </c>
      <c r="H422" t="s">
        <v>15</v>
      </c>
      <c r="I422" t="s">
        <v>40</v>
      </c>
      <c r="J422" t="s">
        <v>39</v>
      </c>
      <c r="K422" t="s">
        <v>22</v>
      </c>
      <c r="L422">
        <v>1</v>
      </c>
      <c r="M422" s="12">
        <v>1100</v>
      </c>
      <c r="N422" s="12">
        <v>715</v>
      </c>
      <c r="O422">
        <v>5</v>
      </c>
      <c r="P422" s="12">
        <v>1045</v>
      </c>
      <c r="Q422" s="12">
        <v>715</v>
      </c>
      <c r="R422" s="12">
        <v>330</v>
      </c>
      <c r="S422" t="s">
        <v>113</v>
      </c>
      <c r="T422" t="s">
        <v>107</v>
      </c>
      <c r="U422" t="s">
        <v>1209</v>
      </c>
    </row>
    <row r="423" spans="1:21" x14ac:dyDescent="0.25">
      <c r="A423" t="s">
        <v>1987</v>
      </c>
      <c r="B423" s="8">
        <v>45740</v>
      </c>
      <c r="C423" t="s">
        <v>4152</v>
      </c>
      <c r="D423" t="s">
        <v>747</v>
      </c>
      <c r="E423" t="s">
        <v>218</v>
      </c>
      <c r="F423">
        <v>39</v>
      </c>
      <c r="G423" t="s">
        <v>16</v>
      </c>
      <c r="H423" t="s">
        <v>15</v>
      </c>
      <c r="I423" t="s">
        <v>24</v>
      </c>
      <c r="J423" t="s">
        <v>25</v>
      </c>
      <c r="K423" t="s">
        <v>22</v>
      </c>
      <c r="L423">
        <v>4</v>
      </c>
      <c r="M423" s="12">
        <v>35800</v>
      </c>
      <c r="N423" s="12">
        <v>28640</v>
      </c>
      <c r="O423">
        <v>6</v>
      </c>
      <c r="P423" s="12">
        <v>134608</v>
      </c>
      <c r="Q423" s="12">
        <v>114560</v>
      </c>
      <c r="R423" s="12">
        <v>20048</v>
      </c>
      <c r="S423" t="s">
        <v>1246</v>
      </c>
      <c r="T423" t="s">
        <v>109</v>
      </c>
      <c r="U423" t="s">
        <v>1196</v>
      </c>
    </row>
    <row r="424" spans="1:21" x14ac:dyDescent="0.25">
      <c r="A424" t="s">
        <v>1989</v>
      </c>
      <c r="B424" s="8">
        <v>45938</v>
      </c>
      <c r="C424" t="s">
        <v>2124</v>
      </c>
      <c r="D424" t="s">
        <v>1004</v>
      </c>
      <c r="E424" t="s">
        <v>198</v>
      </c>
      <c r="F424">
        <v>46</v>
      </c>
      <c r="G424" t="s">
        <v>5</v>
      </c>
      <c r="H424" t="s">
        <v>3</v>
      </c>
      <c r="I424" t="s">
        <v>55</v>
      </c>
      <c r="J424" t="s">
        <v>65</v>
      </c>
      <c r="K424" t="s">
        <v>64</v>
      </c>
      <c r="L424">
        <v>4</v>
      </c>
      <c r="M424" s="12">
        <v>80</v>
      </c>
      <c r="N424" s="12">
        <v>56</v>
      </c>
      <c r="O424">
        <v>4</v>
      </c>
      <c r="P424" s="12">
        <v>307.2</v>
      </c>
      <c r="Q424" s="12">
        <v>224</v>
      </c>
      <c r="R424" s="12">
        <v>83.199999999999989</v>
      </c>
      <c r="S424" t="s">
        <v>1246</v>
      </c>
      <c r="T424" t="s">
        <v>108</v>
      </c>
      <c r="U424" t="s">
        <v>1201</v>
      </c>
    </row>
    <row r="425" spans="1:21" x14ac:dyDescent="0.25">
      <c r="A425" t="s">
        <v>1990</v>
      </c>
      <c r="B425" s="8">
        <v>45825</v>
      </c>
      <c r="C425" t="s">
        <v>4635</v>
      </c>
      <c r="D425" t="s">
        <v>588</v>
      </c>
      <c r="E425" t="s">
        <v>198</v>
      </c>
      <c r="F425">
        <v>55</v>
      </c>
      <c r="G425" t="s">
        <v>289</v>
      </c>
      <c r="H425" t="s">
        <v>3</v>
      </c>
      <c r="I425" t="s">
        <v>57</v>
      </c>
      <c r="J425" t="s">
        <v>67</v>
      </c>
      <c r="K425" t="s">
        <v>64</v>
      </c>
      <c r="L425">
        <v>1</v>
      </c>
      <c r="M425" s="12">
        <v>150</v>
      </c>
      <c r="N425" s="12">
        <v>97.5</v>
      </c>
      <c r="O425">
        <v>9</v>
      </c>
      <c r="P425" s="12">
        <v>136.5</v>
      </c>
      <c r="Q425" s="12">
        <v>97.5</v>
      </c>
      <c r="R425" s="12">
        <v>39</v>
      </c>
      <c r="S425" t="s">
        <v>1246</v>
      </c>
      <c r="T425" t="s">
        <v>108</v>
      </c>
      <c r="U425" t="s">
        <v>1198</v>
      </c>
    </row>
    <row r="426" spans="1:21" x14ac:dyDescent="0.25">
      <c r="A426" t="s">
        <v>1992</v>
      </c>
      <c r="B426" s="8">
        <v>45694</v>
      </c>
      <c r="C426" t="s">
        <v>1565</v>
      </c>
      <c r="D426" t="s">
        <v>860</v>
      </c>
      <c r="E426" t="s">
        <v>218</v>
      </c>
      <c r="F426">
        <v>57</v>
      </c>
      <c r="G426" t="s">
        <v>9</v>
      </c>
      <c r="H426" t="s">
        <v>8</v>
      </c>
      <c r="I426" t="s">
        <v>21</v>
      </c>
      <c r="J426" t="s">
        <v>23</v>
      </c>
      <c r="K426" t="s">
        <v>22</v>
      </c>
      <c r="L426">
        <v>3</v>
      </c>
      <c r="M426" s="12">
        <v>54999</v>
      </c>
      <c r="N426" s="12">
        <v>45099.18</v>
      </c>
      <c r="O426">
        <v>7</v>
      </c>
      <c r="P426" s="12">
        <v>153447.21</v>
      </c>
      <c r="Q426" s="12">
        <v>135297.54</v>
      </c>
      <c r="R426" s="12">
        <v>18149.669999999984</v>
      </c>
      <c r="S426" t="s">
        <v>113</v>
      </c>
      <c r="T426" t="s">
        <v>107</v>
      </c>
      <c r="U426" t="s">
        <v>1196</v>
      </c>
    </row>
    <row r="427" spans="1:21" x14ac:dyDescent="0.25">
      <c r="A427" t="s">
        <v>1994</v>
      </c>
      <c r="B427" s="8">
        <v>45776</v>
      </c>
      <c r="C427" t="s">
        <v>1353</v>
      </c>
      <c r="D427" t="s">
        <v>854</v>
      </c>
      <c r="E427" t="s">
        <v>218</v>
      </c>
      <c r="F427">
        <v>28</v>
      </c>
      <c r="G427" t="s">
        <v>2</v>
      </c>
      <c r="H427" t="s">
        <v>3</v>
      </c>
      <c r="I427" t="s">
        <v>38</v>
      </c>
      <c r="J427" t="s">
        <v>37</v>
      </c>
      <c r="K427" t="s">
        <v>22</v>
      </c>
      <c r="L427">
        <v>2</v>
      </c>
      <c r="M427" s="12">
        <v>1650</v>
      </c>
      <c r="N427" s="12">
        <v>990</v>
      </c>
      <c r="O427">
        <v>7</v>
      </c>
      <c r="P427" s="12">
        <v>3069</v>
      </c>
      <c r="Q427" s="12">
        <v>1980</v>
      </c>
      <c r="R427" s="12">
        <v>1089</v>
      </c>
      <c r="S427" t="s">
        <v>1246</v>
      </c>
      <c r="T427" t="s">
        <v>107</v>
      </c>
      <c r="U427" t="s">
        <v>1205</v>
      </c>
    </row>
    <row r="428" spans="1:21" x14ac:dyDescent="0.25">
      <c r="A428" t="s">
        <v>1996</v>
      </c>
      <c r="B428" s="8">
        <v>45870</v>
      </c>
      <c r="C428" t="s">
        <v>1483</v>
      </c>
      <c r="D428" t="s">
        <v>563</v>
      </c>
      <c r="E428" t="s">
        <v>218</v>
      </c>
      <c r="F428">
        <v>28</v>
      </c>
      <c r="G428" t="s">
        <v>7</v>
      </c>
      <c r="H428" t="s">
        <v>8</v>
      </c>
      <c r="I428" t="s">
        <v>32</v>
      </c>
      <c r="J428" t="s">
        <v>29</v>
      </c>
      <c r="K428" t="s">
        <v>22</v>
      </c>
      <c r="L428">
        <v>3</v>
      </c>
      <c r="M428" s="12">
        <v>9500</v>
      </c>
      <c r="N428" s="12">
        <v>6650</v>
      </c>
      <c r="O428">
        <v>3</v>
      </c>
      <c r="P428" s="12">
        <v>27645</v>
      </c>
      <c r="Q428" s="12">
        <v>19950</v>
      </c>
      <c r="R428" s="12">
        <v>7695</v>
      </c>
      <c r="S428" t="s">
        <v>113</v>
      </c>
      <c r="T428" t="s">
        <v>107</v>
      </c>
      <c r="U428" t="s">
        <v>1199</v>
      </c>
    </row>
    <row r="429" spans="1:21" x14ac:dyDescent="0.25">
      <c r="A429" t="s">
        <v>1998</v>
      </c>
      <c r="B429" s="8">
        <v>45930</v>
      </c>
      <c r="C429" t="s">
        <v>2815</v>
      </c>
      <c r="D429" t="s">
        <v>816</v>
      </c>
      <c r="E429" t="s">
        <v>218</v>
      </c>
      <c r="F429">
        <v>55</v>
      </c>
      <c r="G429" t="s">
        <v>10</v>
      </c>
      <c r="H429" t="s">
        <v>8</v>
      </c>
      <c r="I429" t="s">
        <v>30</v>
      </c>
      <c r="J429" t="s">
        <v>41</v>
      </c>
      <c r="K429" t="s">
        <v>22</v>
      </c>
      <c r="L429">
        <v>2</v>
      </c>
      <c r="M429" s="12">
        <v>13749</v>
      </c>
      <c r="N429" s="12">
        <v>10999.2</v>
      </c>
      <c r="O429">
        <v>6</v>
      </c>
      <c r="P429" s="12">
        <v>25848.12</v>
      </c>
      <c r="Q429" s="12">
        <v>21998.400000000001</v>
      </c>
      <c r="R429" s="12">
        <v>3849.7199999999975</v>
      </c>
      <c r="S429" t="s">
        <v>1246</v>
      </c>
      <c r="T429" t="s">
        <v>108</v>
      </c>
      <c r="U429" t="s">
        <v>1205</v>
      </c>
    </row>
    <row r="430" spans="1:21" x14ac:dyDescent="0.25">
      <c r="A430" t="s">
        <v>2000</v>
      </c>
      <c r="B430" s="8">
        <v>45688</v>
      </c>
      <c r="C430" t="s">
        <v>3634</v>
      </c>
      <c r="D430" t="s">
        <v>1052</v>
      </c>
      <c r="E430" t="s">
        <v>198</v>
      </c>
      <c r="F430">
        <v>64</v>
      </c>
      <c r="G430" t="s">
        <v>7</v>
      </c>
      <c r="H430" t="s">
        <v>8</v>
      </c>
      <c r="I430" t="s">
        <v>55</v>
      </c>
      <c r="J430" t="s">
        <v>65</v>
      </c>
      <c r="K430" t="s">
        <v>64</v>
      </c>
      <c r="L430">
        <v>4</v>
      </c>
      <c r="M430" s="12">
        <v>80</v>
      </c>
      <c r="N430" s="12">
        <v>56</v>
      </c>
      <c r="O430">
        <v>15</v>
      </c>
      <c r="P430" s="12">
        <v>272</v>
      </c>
      <c r="Q430" s="12">
        <v>224</v>
      </c>
      <c r="R430" s="12">
        <v>48</v>
      </c>
      <c r="S430" t="s">
        <v>1246</v>
      </c>
      <c r="T430" t="s">
        <v>109</v>
      </c>
      <c r="U430" t="s">
        <v>1196</v>
      </c>
    </row>
    <row r="431" spans="1:21" x14ac:dyDescent="0.25">
      <c r="A431" t="s">
        <v>2002</v>
      </c>
      <c r="B431" s="8">
        <v>45662</v>
      </c>
      <c r="C431" t="s">
        <v>2005</v>
      </c>
      <c r="D431" t="s">
        <v>804</v>
      </c>
      <c r="E431" t="s">
        <v>198</v>
      </c>
      <c r="F431">
        <v>18</v>
      </c>
      <c r="G431" t="s">
        <v>290</v>
      </c>
      <c r="H431" t="s">
        <v>3</v>
      </c>
      <c r="I431" t="s">
        <v>55</v>
      </c>
      <c r="J431" t="s">
        <v>65</v>
      </c>
      <c r="K431" t="s">
        <v>64</v>
      </c>
      <c r="L431">
        <v>1</v>
      </c>
      <c r="M431" s="12">
        <v>80</v>
      </c>
      <c r="N431" s="12">
        <v>56</v>
      </c>
      <c r="O431">
        <v>8</v>
      </c>
      <c r="P431" s="12">
        <v>73.600000000000009</v>
      </c>
      <c r="Q431" s="12">
        <v>56</v>
      </c>
      <c r="R431" s="12">
        <v>17.600000000000009</v>
      </c>
      <c r="S431" t="s">
        <v>113</v>
      </c>
      <c r="T431" t="s">
        <v>108</v>
      </c>
      <c r="U431" t="s">
        <v>1198</v>
      </c>
    </row>
    <row r="432" spans="1:21" x14ac:dyDescent="0.25">
      <c r="A432" t="s">
        <v>2004</v>
      </c>
      <c r="B432" s="8">
        <v>45915</v>
      </c>
      <c r="C432" t="s">
        <v>1699</v>
      </c>
      <c r="D432" t="s">
        <v>608</v>
      </c>
      <c r="E432" t="s">
        <v>198</v>
      </c>
      <c r="F432">
        <v>37</v>
      </c>
      <c r="G432" t="s">
        <v>2</v>
      </c>
      <c r="H432" t="s">
        <v>3</v>
      </c>
      <c r="I432" t="s">
        <v>63</v>
      </c>
      <c r="J432" t="s">
        <v>77</v>
      </c>
      <c r="K432" t="s">
        <v>64</v>
      </c>
      <c r="L432">
        <v>4</v>
      </c>
      <c r="M432" s="12">
        <v>650</v>
      </c>
      <c r="N432" s="12">
        <v>468</v>
      </c>
      <c r="O432">
        <v>1</v>
      </c>
      <c r="P432" s="12">
        <v>2574</v>
      </c>
      <c r="Q432" s="12">
        <v>1872</v>
      </c>
      <c r="R432" s="12">
        <v>702</v>
      </c>
      <c r="S432" t="s">
        <v>113</v>
      </c>
      <c r="T432" t="s">
        <v>107</v>
      </c>
      <c r="U432" t="s">
        <v>1209</v>
      </c>
    </row>
    <row r="433" spans="1:21" x14ac:dyDescent="0.25">
      <c r="A433" t="s">
        <v>2006</v>
      </c>
      <c r="B433" s="8">
        <v>45869</v>
      </c>
      <c r="C433" t="s">
        <v>1345</v>
      </c>
      <c r="D433" t="s">
        <v>1172</v>
      </c>
      <c r="E433" t="s">
        <v>218</v>
      </c>
      <c r="F433">
        <v>63</v>
      </c>
      <c r="G433" t="s">
        <v>9</v>
      </c>
      <c r="H433" t="s">
        <v>8</v>
      </c>
      <c r="I433" t="s">
        <v>47</v>
      </c>
      <c r="J433" t="s">
        <v>52</v>
      </c>
      <c r="K433" t="s">
        <v>43</v>
      </c>
      <c r="L433">
        <v>5</v>
      </c>
      <c r="M433" s="12">
        <v>42999</v>
      </c>
      <c r="N433" s="12">
        <v>33539.22</v>
      </c>
      <c r="O433">
        <v>6</v>
      </c>
      <c r="P433" s="12">
        <v>202095.3</v>
      </c>
      <c r="Q433" s="12">
        <v>167696.1</v>
      </c>
      <c r="R433" s="12">
        <v>34399.199999999983</v>
      </c>
      <c r="S433" t="s">
        <v>1246</v>
      </c>
      <c r="T433" t="s">
        <v>109</v>
      </c>
      <c r="U433" t="s">
        <v>1201</v>
      </c>
    </row>
    <row r="434" spans="1:21" x14ac:dyDescent="0.25">
      <c r="A434" t="s">
        <v>2008</v>
      </c>
      <c r="B434" s="8">
        <v>45821</v>
      </c>
      <c r="C434" t="s">
        <v>1259</v>
      </c>
      <c r="D434" t="s">
        <v>1156</v>
      </c>
      <c r="E434" t="s">
        <v>198</v>
      </c>
      <c r="F434">
        <v>50</v>
      </c>
      <c r="G434" t="s">
        <v>14</v>
      </c>
      <c r="H434" t="s">
        <v>15</v>
      </c>
      <c r="I434" t="s">
        <v>24</v>
      </c>
      <c r="J434" t="s">
        <v>25</v>
      </c>
      <c r="K434" t="s">
        <v>22</v>
      </c>
      <c r="L434">
        <v>2</v>
      </c>
      <c r="M434" s="12">
        <v>35800</v>
      </c>
      <c r="N434" s="12">
        <v>28640</v>
      </c>
      <c r="O434">
        <v>6</v>
      </c>
      <c r="P434" s="12">
        <v>67304</v>
      </c>
      <c r="Q434" s="12">
        <v>57280</v>
      </c>
      <c r="R434" s="12">
        <v>10024</v>
      </c>
      <c r="S434" t="s">
        <v>1246</v>
      </c>
      <c r="T434" t="s">
        <v>109</v>
      </c>
      <c r="U434" t="s">
        <v>1201</v>
      </c>
    </row>
    <row r="435" spans="1:21" x14ac:dyDescent="0.25">
      <c r="A435" t="s">
        <v>2010</v>
      </c>
      <c r="B435" s="8">
        <v>45701</v>
      </c>
      <c r="C435" t="s">
        <v>1374</v>
      </c>
      <c r="D435" t="s">
        <v>1158</v>
      </c>
      <c r="E435" t="s">
        <v>218</v>
      </c>
      <c r="F435">
        <v>37</v>
      </c>
      <c r="G435" t="s">
        <v>2</v>
      </c>
      <c r="H435" t="s">
        <v>3</v>
      </c>
      <c r="I435" t="s">
        <v>28</v>
      </c>
      <c r="J435" t="s">
        <v>35</v>
      </c>
      <c r="K435" t="s">
        <v>22</v>
      </c>
      <c r="L435">
        <v>1</v>
      </c>
      <c r="M435" s="12">
        <v>16499</v>
      </c>
      <c r="N435" s="12">
        <v>14519.12</v>
      </c>
      <c r="O435">
        <v>7</v>
      </c>
      <c r="P435" s="12">
        <v>15344.07</v>
      </c>
      <c r="Q435" s="12">
        <v>14519.12</v>
      </c>
      <c r="R435" s="12">
        <v>824.94999999999891</v>
      </c>
      <c r="S435" t="s">
        <v>113</v>
      </c>
      <c r="T435" t="s">
        <v>108</v>
      </c>
      <c r="U435" t="s">
        <v>1207</v>
      </c>
    </row>
    <row r="436" spans="1:21" x14ac:dyDescent="0.25">
      <c r="A436" t="s">
        <v>2012</v>
      </c>
      <c r="B436" s="8">
        <v>45767</v>
      </c>
      <c r="C436" t="s">
        <v>3139</v>
      </c>
      <c r="D436" t="s">
        <v>387</v>
      </c>
      <c r="E436" t="s">
        <v>198</v>
      </c>
      <c r="F436">
        <v>30</v>
      </c>
      <c r="G436" t="s">
        <v>9</v>
      </c>
      <c r="H436" t="s">
        <v>8</v>
      </c>
      <c r="I436" t="s">
        <v>55</v>
      </c>
      <c r="J436" t="s">
        <v>65</v>
      </c>
      <c r="K436" t="s">
        <v>64</v>
      </c>
      <c r="L436">
        <v>3</v>
      </c>
      <c r="M436" s="12">
        <v>80</v>
      </c>
      <c r="N436" s="12">
        <v>56</v>
      </c>
      <c r="O436">
        <v>0</v>
      </c>
      <c r="P436" s="12">
        <v>240</v>
      </c>
      <c r="Q436" s="12">
        <v>168</v>
      </c>
      <c r="R436" s="12">
        <v>72</v>
      </c>
      <c r="S436" t="s">
        <v>113</v>
      </c>
      <c r="T436" t="s">
        <v>108</v>
      </c>
      <c r="U436" t="s">
        <v>1205</v>
      </c>
    </row>
    <row r="437" spans="1:21" x14ac:dyDescent="0.25">
      <c r="A437" t="s">
        <v>2014</v>
      </c>
      <c r="B437" s="8">
        <v>45925</v>
      </c>
      <c r="C437" t="s">
        <v>3279</v>
      </c>
      <c r="D437" t="s">
        <v>436</v>
      </c>
      <c r="E437" t="s">
        <v>218</v>
      </c>
      <c r="F437">
        <v>64</v>
      </c>
      <c r="G437" t="s">
        <v>2</v>
      </c>
      <c r="H437" t="s">
        <v>3</v>
      </c>
      <c r="I437" t="s">
        <v>38</v>
      </c>
      <c r="J437" t="s">
        <v>37</v>
      </c>
      <c r="K437" t="s">
        <v>22</v>
      </c>
      <c r="L437">
        <v>4</v>
      </c>
      <c r="M437" s="12">
        <v>1650</v>
      </c>
      <c r="N437" s="12">
        <v>990</v>
      </c>
      <c r="O437">
        <v>7</v>
      </c>
      <c r="P437" s="12">
        <v>6138</v>
      </c>
      <c r="Q437" s="12">
        <v>3960</v>
      </c>
      <c r="R437" s="12">
        <v>2178</v>
      </c>
      <c r="S437" t="s">
        <v>1246</v>
      </c>
      <c r="T437" t="s">
        <v>107</v>
      </c>
      <c r="U437" t="s">
        <v>1205</v>
      </c>
    </row>
    <row r="438" spans="1:21" x14ac:dyDescent="0.25">
      <c r="A438" t="s">
        <v>2016</v>
      </c>
      <c r="B438" s="8">
        <v>45944</v>
      </c>
      <c r="C438" t="s">
        <v>2667</v>
      </c>
      <c r="D438" t="s">
        <v>751</v>
      </c>
      <c r="E438" t="s">
        <v>198</v>
      </c>
      <c r="F438">
        <v>62</v>
      </c>
      <c r="G438" t="s">
        <v>290</v>
      </c>
      <c r="H438" t="s">
        <v>3</v>
      </c>
      <c r="I438" t="s">
        <v>61</v>
      </c>
      <c r="J438" t="s">
        <v>146</v>
      </c>
      <c r="K438" t="s">
        <v>64</v>
      </c>
      <c r="L438">
        <v>1</v>
      </c>
      <c r="M438" s="12">
        <v>250</v>
      </c>
      <c r="N438" s="12">
        <v>155</v>
      </c>
      <c r="O438">
        <v>1</v>
      </c>
      <c r="P438" s="12">
        <v>247.5</v>
      </c>
      <c r="Q438" s="12">
        <v>155</v>
      </c>
      <c r="R438" s="12">
        <v>92.5</v>
      </c>
      <c r="S438" t="s">
        <v>1246</v>
      </c>
      <c r="T438" t="s">
        <v>107</v>
      </c>
      <c r="U438" t="s">
        <v>1203</v>
      </c>
    </row>
    <row r="439" spans="1:21" x14ac:dyDescent="0.25">
      <c r="A439" t="s">
        <v>2018</v>
      </c>
      <c r="B439" s="8">
        <v>45973</v>
      </c>
      <c r="C439" t="s">
        <v>1263</v>
      </c>
      <c r="D439" t="s">
        <v>399</v>
      </c>
      <c r="E439" t="s">
        <v>218</v>
      </c>
      <c r="F439">
        <v>25</v>
      </c>
      <c r="G439" t="s">
        <v>17</v>
      </c>
      <c r="H439" t="s">
        <v>15</v>
      </c>
      <c r="I439" t="s">
        <v>28</v>
      </c>
      <c r="J439" t="s">
        <v>35</v>
      </c>
      <c r="K439" t="s">
        <v>22</v>
      </c>
      <c r="L439">
        <v>1</v>
      </c>
      <c r="M439" s="12">
        <v>16499</v>
      </c>
      <c r="N439" s="12">
        <v>14519.12</v>
      </c>
      <c r="O439">
        <v>18</v>
      </c>
      <c r="P439" s="12">
        <v>13529.18</v>
      </c>
      <c r="Q439" s="12">
        <v>14519.12</v>
      </c>
      <c r="R439" s="12">
        <v>-989.94000000000051</v>
      </c>
      <c r="S439" t="s">
        <v>113</v>
      </c>
      <c r="T439" t="s">
        <v>108</v>
      </c>
      <c r="U439" t="s">
        <v>1198</v>
      </c>
    </row>
    <row r="440" spans="1:21" x14ac:dyDescent="0.25">
      <c r="A440" t="s">
        <v>2020</v>
      </c>
      <c r="B440" s="8">
        <v>45938</v>
      </c>
      <c r="C440" t="s">
        <v>2876</v>
      </c>
      <c r="D440" t="s">
        <v>598</v>
      </c>
      <c r="E440" t="s">
        <v>218</v>
      </c>
      <c r="F440">
        <v>42</v>
      </c>
      <c r="G440" t="s">
        <v>290</v>
      </c>
      <c r="H440" t="s">
        <v>3</v>
      </c>
      <c r="I440" t="s">
        <v>30</v>
      </c>
      <c r="J440" t="s">
        <v>41</v>
      </c>
      <c r="K440" t="s">
        <v>22</v>
      </c>
      <c r="L440">
        <v>5</v>
      </c>
      <c r="M440" s="12">
        <v>13749</v>
      </c>
      <c r="N440" s="12">
        <v>10999.2</v>
      </c>
      <c r="O440">
        <v>3</v>
      </c>
      <c r="P440" s="12">
        <v>66682.649999999994</v>
      </c>
      <c r="Q440" s="12">
        <v>54996</v>
      </c>
      <c r="R440" s="12">
        <v>11686.649999999994</v>
      </c>
      <c r="S440" t="s">
        <v>1246</v>
      </c>
      <c r="T440" t="s">
        <v>107</v>
      </c>
      <c r="U440" t="s">
        <v>1198</v>
      </c>
    </row>
    <row r="441" spans="1:21" x14ac:dyDescent="0.25">
      <c r="A441" t="s">
        <v>2022</v>
      </c>
      <c r="B441" s="8">
        <v>45775</v>
      </c>
      <c r="C441" t="s">
        <v>2066</v>
      </c>
      <c r="D441" t="s">
        <v>445</v>
      </c>
      <c r="E441" t="s">
        <v>218</v>
      </c>
      <c r="F441">
        <v>22</v>
      </c>
      <c r="G441" t="s">
        <v>290</v>
      </c>
      <c r="H441" t="s">
        <v>3</v>
      </c>
      <c r="I441" t="s">
        <v>24</v>
      </c>
      <c r="J441" t="s">
        <v>25</v>
      </c>
      <c r="K441" t="s">
        <v>22</v>
      </c>
      <c r="L441">
        <v>5</v>
      </c>
      <c r="M441" s="12">
        <v>35800</v>
      </c>
      <c r="N441" s="12">
        <v>28640</v>
      </c>
      <c r="O441">
        <v>7</v>
      </c>
      <c r="P441" s="12">
        <v>166470</v>
      </c>
      <c r="Q441" s="12">
        <v>143200</v>
      </c>
      <c r="R441" s="12">
        <v>23270</v>
      </c>
      <c r="S441" t="s">
        <v>113</v>
      </c>
      <c r="T441" t="s">
        <v>107</v>
      </c>
      <c r="U441" t="s">
        <v>1207</v>
      </c>
    </row>
    <row r="442" spans="1:21" x14ac:dyDescent="0.25">
      <c r="A442" t="s">
        <v>2023</v>
      </c>
      <c r="B442" s="8">
        <v>46009</v>
      </c>
      <c r="C442" t="s">
        <v>2113</v>
      </c>
      <c r="D442" t="s">
        <v>790</v>
      </c>
      <c r="E442" t="s">
        <v>198</v>
      </c>
      <c r="F442">
        <v>58</v>
      </c>
      <c r="G442" t="s">
        <v>2</v>
      </c>
      <c r="H442" t="s">
        <v>3</v>
      </c>
      <c r="I442" t="s">
        <v>57</v>
      </c>
      <c r="J442" t="s">
        <v>67</v>
      </c>
      <c r="K442" t="s">
        <v>64</v>
      </c>
      <c r="L442">
        <v>5</v>
      </c>
      <c r="M442" s="12">
        <v>150</v>
      </c>
      <c r="N442" s="12">
        <v>97.5</v>
      </c>
      <c r="O442">
        <v>7</v>
      </c>
      <c r="P442" s="12">
        <v>697.5</v>
      </c>
      <c r="Q442" s="12">
        <v>487.5</v>
      </c>
      <c r="R442" s="12">
        <v>210</v>
      </c>
      <c r="S442" t="s">
        <v>1246</v>
      </c>
      <c r="T442" t="s">
        <v>108</v>
      </c>
      <c r="U442" t="s">
        <v>1199</v>
      </c>
    </row>
    <row r="443" spans="1:21" x14ac:dyDescent="0.25">
      <c r="A443" t="s">
        <v>2024</v>
      </c>
      <c r="B443" s="8">
        <v>45895</v>
      </c>
      <c r="C443" t="s">
        <v>1758</v>
      </c>
      <c r="D443" t="s">
        <v>502</v>
      </c>
      <c r="E443" t="s">
        <v>218</v>
      </c>
      <c r="F443">
        <v>23</v>
      </c>
      <c r="G443" t="s">
        <v>4</v>
      </c>
      <c r="H443" t="s">
        <v>3</v>
      </c>
      <c r="I443" t="s">
        <v>28</v>
      </c>
      <c r="J443" t="s">
        <v>35</v>
      </c>
      <c r="K443" t="s">
        <v>22</v>
      </c>
      <c r="L443">
        <v>4</v>
      </c>
      <c r="M443" s="12">
        <v>16499</v>
      </c>
      <c r="N443" s="12">
        <v>14519.12</v>
      </c>
      <c r="O443">
        <v>3</v>
      </c>
      <c r="P443" s="12">
        <v>64016.119999999995</v>
      </c>
      <c r="Q443" s="12">
        <v>58076.480000000003</v>
      </c>
      <c r="R443" s="12">
        <v>5939.6399999999921</v>
      </c>
      <c r="S443" t="s">
        <v>1246</v>
      </c>
      <c r="T443" t="s">
        <v>107</v>
      </c>
      <c r="U443" t="s">
        <v>1211</v>
      </c>
    </row>
    <row r="444" spans="1:21" x14ac:dyDescent="0.25">
      <c r="A444" t="s">
        <v>2026</v>
      </c>
      <c r="B444" s="8">
        <v>45949</v>
      </c>
      <c r="C444" t="s">
        <v>4132</v>
      </c>
      <c r="D444" t="s">
        <v>875</v>
      </c>
      <c r="E444" t="s">
        <v>198</v>
      </c>
      <c r="F444">
        <v>40</v>
      </c>
      <c r="G444" t="s">
        <v>2</v>
      </c>
      <c r="H444" t="s">
        <v>3</v>
      </c>
      <c r="I444" t="s">
        <v>55</v>
      </c>
      <c r="J444" t="s">
        <v>65</v>
      </c>
      <c r="K444" t="s">
        <v>64</v>
      </c>
      <c r="L444">
        <v>3</v>
      </c>
      <c r="M444" s="12">
        <v>80</v>
      </c>
      <c r="N444" s="12">
        <v>56</v>
      </c>
      <c r="O444">
        <v>2</v>
      </c>
      <c r="P444" s="12">
        <v>235.2</v>
      </c>
      <c r="Q444" s="12">
        <v>168</v>
      </c>
      <c r="R444" s="12">
        <v>67.199999999999989</v>
      </c>
      <c r="S444" t="s">
        <v>1246</v>
      </c>
      <c r="T444" t="s">
        <v>107</v>
      </c>
      <c r="U444" t="s">
        <v>1201</v>
      </c>
    </row>
    <row r="445" spans="1:21" x14ac:dyDescent="0.25">
      <c r="A445" t="s">
        <v>2028</v>
      </c>
      <c r="B445" s="8">
        <v>45924</v>
      </c>
      <c r="C445" t="s">
        <v>2055</v>
      </c>
      <c r="D445" t="s">
        <v>690</v>
      </c>
      <c r="E445" t="s">
        <v>218</v>
      </c>
      <c r="F445">
        <v>22</v>
      </c>
      <c r="G445" t="s">
        <v>10</v>
      </c>
      <c r="H445" t="s">
        <v>8</v>
      </c>
      <c r="I445" t="s">
        <v>38</v>
      </c>
      <c r="J445" t="s">
        <v>37</v>
      </c>
      <c r="K445" t="s">
        <v>22</v>
      </c>
      <c r="L445">
        <v>2</v>
      </c>
      <c r="M445" s="12">
        <v>1650</v>
      </c>
      <c r="N445" s="12">
        <v>990</v>
      </c>
      <c r="O445">
        <v>5</v>
      </c>
      <c r="P445" s="12">
        <v>3135</v>
      </c>
      <c r="Q445" s="12">
        <v>1980</v>
      </c>
      <c r="R445" s="12">
        <v>1155</v>
      </c>
      <c r="S445" t="s">
        <v>1246</v>
      </c>
      <c r="T445" t="s">
        <v>108</v>
      </c>
      <c r="U445" t="s">
        <v>1198</v>
      </c>
    </row>
    <row r="446" spans="1:21" x14ac:dyDescent="0.25">
      <c r="A446" t="s">
        <v>2030</v>
      </c>
      <c r="B446" s="8">
        <v>45892</v>
      </c>
      <c r="C446" t="s">
        <v>3773</v>
      </c>
      <c r="D446" t="s">
        <v>618</v>
      </c>
      <c r="E446" t="s">
        <v>218</v>
      </c>
      <c r="F446">
        <v>26</v>
      </c>
      <c r="G446" t="s">
        <v>289</v>
      </c>
      <c r="H446" t="s">
        <v>3</v>
      </c>
      <c r="I446" t="s">
        <v>32</v>
      </c>
      <c r="J446" t="s">
        <v>29</v>
      </c>
      <c r="K446" t="s">
        <v>22</v>
      </c>
      <c r="L446">
        <v>4</v>
      </c>
      <c r="M446" s="12">
        <v>9500</v>
      </c>
      <c r="N446" s="12">
        <v>6650</v>
      </c>
      <c r="O446">
        <v>3</v>
      </c>
      <c r="P446" s="12">
        <v>36860</v>
      </c>
      <c r="Q446" s="12">
        <v>26600</v>
      </c>
      <c r="R446" s="12">
        <v>10260</v>
      </c>
      <c r="S446" t="s">
        <v>1246</v>
      </c>
      <c r="T446" t="s">
        <v>107</v>
      </c>
      <c r="U446" t="s">
        <v>1199</v>
      </c>
    </row>
    <row r="447" spans="1:21" x14ac:dyDescent="0.25">
      <c r="A447" t="s">
        <v>2032</v>
      </c>
      <c r="B447" s="8">
        <v>45687</v>
      </c>
      <c r="C447" t="s">
        <v>1800</v>
      </c>
      <c r="D447" t="s">
        <v>863</v>
      </c>
      <c r="E447" t="s">
        <v>218</v>
      </c>
      <c r="F447">
        <v>24</v>
      </c>
      <c r="G447" t="s">
        <v>11</v>
      </c>
      <c r="H447" t="s">
        <v>12</v>
      </c>
      <c r="I447" t="s">
        <v>51</v>
      </c>
      <c r="J447" t="s">
        <v>54</v>
      </c>
      <c r="K447" t="s">
        <v>43</v>
      </c>
      <c r="L447">
        <v>4</v>
      </c>
      <c r="M447" s="12">
        <v>27499</v>
      </c>
      <c r="N447" s="12">
        <v>21724.210000000003</v>
      </c>
      <c r="O447">
        <v>4</v>
      </c>
      <c r="P447" s="12">
        <v>105596.15999999999</v>
      </c>
      <c r="Q447" s="12">
        <v>86896.840000000011</v>
      </c>
      <c r="R447" s="12">
        <v>18699.319999999978</v>
      </c>
      <c r="S447" t="s">
        <v>113</v>
      </c>
      <c r="T447" t="s">
        <v>108</v>
      </c>
      <c r="U447" t="s">
        <v>1207</v>
      </c>
    </row>
    <row r="448" spans="1:21" x14ac:dyDescent="0.25">
      <c r="A448" t="s">
        <v>2033</v>
      </c>
      <c r="B448" s="8">
        <v>45822</v>
      </c>
      <c r="C448" t="s">
        <v>5085</v>
      </c>
      <c r="D448" t="s">
        <v>1159</v>
      </c>
      <c r="E448" t="s">
        <v>198</v>
      </c>
      <c r="F448">
        <v>37</v>
      </c>
      <c r="G448" t="s">
        <v>9</v>
      </c>
      <c r="H448" t="s">
        <v>8</v>
      </c>
      <c r="I448" t="s">
        <v>32</v>
      </c>
      <c r="J448" t="s">
        <v>29</v>
      </c>
      <c r="K448" t="s">
        <v>22</v>
      </c>
      <c r="L448">
        <v>5</v>
      </c>
      <c r="M448" s="12">
        <v>9500</v>
      </c>
      <c r="N448" s="12">
        <v>6650</v>
      </c>
      <c r="O448">
        <v>9</v>
      </c>
      <c r="P448" s="12">
        <v>43225</v>
      </c>
      <c r="Q448" s="12">
        <v>33250</v>
      </c>
      <c r="R448" s="12">
        <v>9975</v>
      </c>
      <c r="S448" t="s">
        <v>1246</v>
      </c>
      <c r="T448" t="s">
        <v>107</v>
      </c>
      <c r="U448" t="s">
        <v>1194</v>
      </c>
    </row>
    <row r="449" spans="1:21" x14ac:dyDescent="0.25">
      <c r="A449" t="s">
        <v>2035</v>
      </c>
      <c r="B449" s="8">
        <v>45933</v>
      </c>
      <c r="C449" t="s">
        <v>3373</v>
      </c>
      <c r="D449" t="s">
        <v>466</v>
      </c>
      <c r="E449" t="s">
        <v>198</v>
      </c>
      <c r="F449">
        <v>49</v>
      </c>
      <c r="G449" t="s">
        <v>7</v>
      </c>
      <c r="H449" t="s">
        <v>8</v>
      </c>
      <c r="I449" t="s">
        <v>49</v>
      </c>
      <c r="J449" t="s">
        <v>56</v>
      </c>
      <c r="K449" t="s">
        <v>43</v>
      </c>
      <c r="L449">
        <v>4</v>
      </c>
      <c r="M449" s="12">
        <v>31999</v>
      </c>
      <c r="N449" s="12">
        <v>25599.200000000001</v>
      </c>
      <c r="O449">
        <v>6</v>
      </c>
      <c r="P449" s="12">
        <v>120316.23999999999</v>
      </c>
      <c r="Q449" s="12">
        <v>102396.8</v>
      </c>
      <c r="R449" s="12">
        <v>17919.439999999988</v>
      </c>
      <c r="S449" t="s">
        <v>113</v>
      </c>
      <c r="T449" t="s">
        <v>108</v>
      </c>
      <c r="U449" t="s">
        <v>1201</v>
      </c>
    </row>
    <row r="450" spans="1:21" x14ac:dyDescent="0.25">
      <c r="A450" t="s">
        <v>2037</v>
      </c>
      <c r="B450" s="8">
        <v>45947</v>
      </c>
      <c r="C450" t="s">
        <v>1498</v>
      </c>
      <c r="D450" t="s">
        <v>1005</v>
      </c>
      <c r="E450" t="s">
        <v>218</v>
      </c>
      <c r="F450">
        <v>50</v>
      </c>
      <c r="G450" t="s">
        <v>2</v>
      </c>
      <c r="H450" t="s">
        <v>3</v>
      </c>
      <c r="I450" t="s">
        <v>36</v>
      </c>
      <c r="J450" t="s">
        <v>136</v>
      </c>
      <c r="K450" t="s">
        <v>22</v>
      </c>
      <c r="L450">
        <v>3</v>
      </c>
      <c r="M450" s="12">
        <v>3590</v>
      </c>
      <c r="N450" s="12">
        <v>2333.5</v>
      </c>
      <c r="O450">
        <v>7</v>
      </c>
      <c r="P450" s="12">
        <v>10016.099999999999</v>
      </c>
      <c r="Q450" s="12">
        <v>7000.5</v>
      </c>
      <c r="R450" s="12">
        <v>3015.5999999999985</v>
      </c>
      <c r="S450" t="s">
        <v>1246</v>
      </c>
      <c r="T450" t="s">
        <v>108</v>
      </c>
      <c r="U450" t="s">
        <v>1211</v>
      </c>
    </row>
    <row r="451" spans="1:21" x14ac:dyDescent="0.25">
      <c r="A451" t="s">
        <v>2039</v>
      </c>
      <c r="B451" s="8">
        <v>45740</v>
      </c>
      <c r="C451" t="s">
        <v>1355</v>
      </c>
      <c r="D451" t="s">
        <v>887</v>
      </c>
      <c r="E451" t="s">
        <v>198</v>
      </c>
      <c r="F451">
        <v>26</v>
      </c>
      <c r="G451" t="s">
        <v>290</v>
      </c>
      <c r="H451" t="s">
        <v>3</v>
      </c>
      <c r="I451" t="s">
        <v>36</v>
      </c>
      <c r="J451" t="s">
        <v>136</v>
      </c>
      <c r="K451" t="s">
        <v>22</v>
      </c>
      <c r="L451">
        <v>4</v>
      </c>
      <c r="M451" s="12">
        <v>3590</v>
      </c>
      <c r="N451" s="12">
        <v>2333.5</v>
      </c>
      <c r="O451">
        <v>3</v>
      </c>
      <c r="P451" s="12">
        <v>13929.199999999999</v>
      </c>
      <c r="Q451" s="12">
        <v>9334</v>
      </c>
      <c r="R451" s="12">
        <v>4595.1999999999989</v>
      </c>
      <c r="S451" t="s">
        <v>113</v>
      </c>
      <c r="T451" t="s">
        <v>109</v>
      </c>
      <c r="U451" t="s">
        <v>1201</v>
      </c>
    </row>
    <row r="452" spans="1:21" x14ac:dyDescent="0.25">
      <c r="A452" t="s">
        <v>2041</v>
      </c>
      <c r="B452" s="8">
        <v>45715</v>
      </c>
      <c r="C452" t="s">
        <v>3522</v>
      </c>
      <c r="D452" t="s">
        <v>407</v>
      </c>
      <c r="E452" t="s">
        <v>218</v>
      </c>
      <c r="F452">
        <v>30</v>
      </c>
      <c r="G452" t="s">
        <v>4</v>
      </c>
      <c r="H452" t="s">
        <v>3</v>
      </c>
      <c r="I452" t="s">
        <v>49</v>
      </c>
      <c r="J452" t="s">
        <v>56</v>
      </c>
      <c r="K452" t="s">
        <v>43</v>
      </c>
      <c r="L452">
        <v>3</v>
      </c>
      <c r="M452" s="12">
        <v>31999</v>
      </c>
      <c r="N452" s="12">
        <v>25599.200000000001</v>
      </c>
      <c r="O452">
        <v>9</v>
      </c>
      <c r="P452" s="12">
        <v>87357.27</v>
      </c>
      <c r="Q452" s="12">
        <v>76797.600000000006</v>
      </c>
      <c r="R452" s="12">
        <v>10559.669999999998</v>
      </c>
      <c r="S452" t="s">
        <v>1246</v>
      </c>
      <c r="T452" t="s">
        <v>107</v>
      </c>
      <c r="U452" t="s">
        <v>1194</v>
      </c>
    </row>
    <row r="453" spans="1:21" x14ac:dyDescent="0.25">
      <c r="A453" t="s">
        <v>2043</v>
      </c>
      <c r="B453" s="8">
        <v>45676</v>
      </c>
      <c r="C453" t="s">
        <v>1349</v>
      </c>
      <c r="D453" t="s">
        <v>1110</v>
      </c>
      <c r="E453" t="s">
        <v>218</v>
      </c>
      <c r="F453">
        <v>25</v>
      </c>
      <c r="G453" t="s">
        <v>5</v>
      </c>
      <c r="H453" t="s">
        <v>3</v>
      </c>
      <c r="I453" t="s">
        <v>42</v>
      </c>
      <c r="J453" t="s">
        <v>44</v>
      </c>
      <c r="K453" t="s">
        <v>43</v>
      </c>
      <c r="L453">
        <v>1</v>
      </c>
      <c r="M453" s="12">
        <v>8999</v>
      </c>
      <c r="N453" s="12">
        <v>6479.28</v>
      </c>
      <c r="O453">
        <v>4</v>
      </c>
      <c r="P453" s="12">
        <v>8639.0399999999991</v>
      </c>
      <c r="Q453" s="12">
        <v>6479.28</v>
      </c>
      <c r="R453" s="12">
        <v>2159.7599999999993</v>
      </c>
      <c r="S453" t="s">
        <v>113</v>
      </c>
      <c r="T453" t="s">
        <v>111</v>
      </c>
      <c r="U453" t="s">
        <v>1194</v>
      </c>
    </row>
    <row r="454" spans="1:21" x14ac:dyDescent="0.25">
      <c r="A454" t="s">
        <v>2044</v>
      </c>
      <c r="B454" s="8">
        <v>46008</v>
      </c>
      <c r="C454" t="s">
        <v>1446</v>
      </c>
      <c r="D454" t="s">
        <v>782</v>
      </c>
      <c r="E454" t="s">
        <v>198</v>
      </c>
      <c r="F454">
        <v>34</v>
      </c>
      <c r="G454" t="s">
        <v>11</v>
      </c>
      <c r="H454" t="s">
        <v>12</v>
      </c>
      <c r="I454" t="s">
        <v>63</v>
      </c>
      <c r="J454" t="s">
        <v>77</v>
      </c>
      <c r="K454" t="s">
        <v>64</v>
      </c>
      <c r="L454">
        <v>2</v>
      </c>
      <c r="M454" s="12">
        <v>650</v>
      </c>
      <c r="N454" s="12">
        <v>468</v>
      </c>
      <c r="O454">
        <v>3</v>
      </c>
      <c r="P454" s="12">
        <v>1261</v>
      </c>
      <c r="Q454" s="12">
        <v>936</v>
      </c>
      <c r="R454" s="12">
        <v>325</v>
      </c>
      <c r="S454" t="s">
        <v>113</v>
      </c>
      <c r="T454" t="s">
        <v>109</v>
      </c>
      <c r="U454" t="s">
        <v>1196</v>
      </c>
    </row>
    <row r="455" spans="1:21" x14ac:dyDescent="0.25">
      <c r="A455" t="s">
        <v>2045</v>
      </c>
      <c r="B455" s="8">
        <v>46004</v>
      </c>
      <c r="C455" t="s">
        <v>3640</v>
      </c>
      <c r="D455" t="s">
        <v>742</v>
      </c>
      <c r="E455" t="s">
        <v>218</v>
      </c>
      <c r="F455">
        <v>63</v>
      </c>
      <c r="G455" t="s">
        <v>4</v>
      </c>
      <c r="H455" t="s">
        <v>3</v>
      </c>
      <c r="I455" t="s">
        <v>57</v>
      </c>
      <c r="J455" t="s">
        <v>67</v>
      </c>
      <c r="K455" t="s">
        <v>64</v>
      </c>
      <c r="L455">
        <v>5</v>
      </c>
      <c r="M455" s="12">
        <v>150</v>
      </c>
      <c r="N455" s="12">
        <v>97.5</v>
      </c>
      <c r="O455">
        <v>5</v>
      </c>
      <c r="P455" s="12">
        <v>712.5</v>
      </c>
      <c r="Q455" s="12">
        <v>487.5</v>
      </c>
      <c r="R455" s="12">
        <v>225</v>
      </c>
      <c r="S455" t="s">
        <v>1246</v>
      </c>
      <c r="T455" t="s">
        <v>107</v>
      </c>
      <c r="U455" t="s">
        <v>1198</v>
      </c>
    </row>
    <row r="456" spans="1:21" x14ac:dyDescent="0.25">
      <c r="A456" t="s">
        <v>2047</v>
      </c>
      <c r="B456" s="8">
        <v>45748</v>
      </c>
      <c r="C456" t="s">
        <v>1289</v>
      </c>
      <c r="D456" t="s">
        <v>1116</v>
      </c>
      <c r="E456" t="s">
        <v>218</v>
      </c>
      <c r="F456">
        <v>20</v>
      </c>
      <c r="G456" t="s">
        <v>16</v>
      </c>
      <c r="H456" t="s">
        <v>15</v>
      </c>
      <c r="I456" t="s">
        <v>63</v>
      </c>
      <c r="J456" t="s">
        <v>77</v>
      </c>
      <c r="K456" t="s">
        <v>64</v>
      </c>
      <c r="L456">
        <v>3</v>
      </c>
      <c r="M456" s="12">
        <v>650</v>
      </c>
      <c r="N456" s="12">
        <v>468</v>
      </c>
      <c r="O456">
        <v>3</v>
      </c>
      <c r="P456" s="12">
        <v>1891.5</v>
      </c>
      <c r="Q456" s="12">
        <v>1404</v>
      </c>
      <c r="R456" s="12">
        <v>487.5</v>
      </c>
      <c r="S456" t="s">
        <v>1246</v>
      </c>
      <c r="T456" t="s">
        <v>111</v>
      </c>
      <c r="U456" t="s">
        <v>1198</v>
      </c>
    </row>
    <row r="457" spans="1:21" x14ac:dyDescent="0.25">
      <c r="A457" t="s">
        <v>2049</v>
      </c>
      <c r="B457" s="8">
        <v>45933</v>
      </c>
      <c r="C457" t="s">
        <v>2820</v>
      </c>
      <c r="D457" t="s">
        <v>770</v>
      </c>
      <c r="E457" t="s">
        <v>218</v>
      </c>
      <c r="F457">
        <v>29</v>
      </c>
      <c r="G457" t="s">
        <v>2</v>
      </c>
      <c r="H457" t="s">
        <v>3</v>
      </c>
      <c r="I457" t="s">
        <v>24</v>
      </c>
      <c r="J457" t="s">
        <v>25</v>
      </c>
      <c r="K457" t="s">
        <v>22</v>
      </c>
      <c r="L457">
        <v>3</v>
      </c>
      <c r="M457" s="12">
        <v>35800</v>
      </c>
      <c r="N457" s="12">
        <v>28640</v>
      </c>
      <c r="O457">
        <v>5</v>
      </c>
      <c r="P457" s="12">
        <v>102030</v>
      </c>
      <c r="Q457" s="12">
        <v>85920</v>
      </c>
      <c r="R457" s="12">
        <v>16110</v>
      </c>
      <c r="S457" t="s">
        <v>113</v>
      </c>
      <c r="T457" t="s">
        <v>108</v>
      </c>
      <c r="U457" t="s">
        <v>1201</v>
      </c>
    </row>
    <row r="458" spans="1:21" x14ac:dyDescent="0.25">
      <c r="A458" t="s">
        <v>2051</v>
      </c>
      <c r="B458" s="8">
        <v>45839</v>
      </c>
      <c r="C458" t="s">
        <v>3338</v>
      </c>
      <c r="D458" t="s">
        <v>741</v>
      </c>
      <c r="E458" t="s">
        <v>218</v>
      </c>
      <c r="F458">
        <v>34</v>
      </c>
      <c r="G458" t="s">
        <v>4</v>
      </c>
      <c r="H458" t="s">
        <v>3</v>
      </c>
      <c r="I458" t="s">
        <v>32</v>
      </c>
      <c r="J458" t="s">
        <v>29</v>
      </c>
      <c r="K458" t="s">
        <v>22</v>
      </c>
      <c r="L458">
        <v>5</v>
      </c>
      <c r="M458" s="12">
        <v>9500</v>
      </c>
      <c r="N458" s="12">
        <v>6650</v>
      </c>
      <c r="O458">
        <v>8</v>
      </c>
      <c r="P458" s="12">
        <v>43700</v>
      </c>
      <c r="Q458" s="12">
        <v>33250</v>
      </c>
      <c r="R458" s="12">
        <v>10450</v>
      </c>
      <c r="S458" t="s">
        <v>1246</v>
      </c>
      <c r="T458" t="s">
        <v>107</v>
      </c>
      <c r="U458" t="s">
        <v>1198</v>
      </c>
    </row>
    <row r="459" spans="1:21" x14ac:dyDescent="0.25">
      <c r="A459" t="s">
        <v>2052</v>
      </c>
      <c r="B459" s="8">
        <v>45939</v>
      </c>
      <c r="C459" t="s">
        <v>3261</v>
      </c>
      <c r="D459" t="s">
        <v>888</v>
      </c>
      <c r="E459" t="s">
        <v>218</v>
      </c>
      <c r="F459">
        <v>63</v>
      </c>
      <c r="G459" t="s">
        <v>11</v>
      </c>
      <c r="H459" t="s">
        <v>12</v>
      </c>
      <c r="I459" t="s">
        <v>34</v>
      </c>
      <c r="J459" t="s">
        <v>137</v>
      </c>
      <c r="K459" t="s">
        <v>22</v>
      </c>
      <c r="L459">
        <v>3</v>
      </c>
      <c r="M459" s="12">
        <v>6900</v>
      </c>
      <c r="N459" s="12">
        <v>5727</v>
      </c>
      <c r="O459">
        <v>6</v>
      </c>
      <c r="P459" s="12">
        <v>19458</v>
      </c>
      <c r="Q459" s="12">
        <v>17181</v>
      </c>
      <c r="R459" s="12">
        <v>2277</v>
      </c>
      <c r="S459" t="s">
        <v>1246</v>
      </c>
      <c r="T459" t="s">
        <v>107</v>
      </c>
      <c r="U459" t="s">
        <v>1203</v>
      </c>
    </row>
    <row r="460" spans="1:21" x14ac:dyDescent="0.25">
      <c r="A460" t="s">
        <v>2053</v>
      </c>
      <c r="B460" s="8">
        <v>45768</v>
      </c>
      <c r="C460" t="s">
        <v>2001</v>
      </c>
      <c r="D460" t="s">
        <v>597</v>
      </c>
      <c r="E460" t="s">
        <v>218</v>
      </c>
      <c r="F460">
        <v>27</v>
      </c>
      <c r="G460" t="s">
        <v>17</v>
      </c>
      <c r="H460" t="s">
        <v>15</v>
      </c>
      <c r="I460" t="s">
        <v>47</v>
      </c>
      <c r="J460" t="s">
        <v>52</v>
      </c>
      <c r="K460" t="s">
        <v>43</v>
      </c>
      <c r="L460">
        <v>5</v>
      </c>
      <c r="M460" s="12">
        <v>42999</v>
      </c>
      <c r="N460" s="12">
        <v>33539.22</v>
      </c>
      <c r="O460">
        <v>9</v>
      </c>
      <c r="P460" s="12">
        <v>195645.45</v>
      </c>
      <c r="Q460" s="12">
        <v>167696.1</v>
      </c>
      <c r="R460" s="12">
        <v>27949.350000000006</v>
      </c>
      <c r="S460" t="s">
        <v>1246</v>
      </c>
      <c r="T460" t="s">
        <v>108</v>
      </c>
      <c r="U460" t="s">
        <v>1207</v>
      </c>
    </row>
    <row r="461" spans="1:21" x14ac:dyDescent="0.25">
      <c r="A461" t="s">
        <v>2054</v>
      </c>
      <c r="B461" s="8">
        <v>45660</v>
      </c>
      <c r="C461" t="s">
        <v>2141</v>
      </c>
      <c r="D461" t="s">
        <v>861</v>
      </c>
      <c r="E461" t="s">
        <v>198</v>
      </c>
      <c r="F461">
        <v>26</v>
      </c>
      <c r="G461" t="s">
        <v>7</v>
      </c>
      <c r="H461" t="s">
        <v>8</v>
      </c>
      <c r="I461" t="s">
        <v>59</v>
      </c>
      <c r="J461" t="s">
        <v>73</v>
      </c>
      <c r="K461" t="s">
        <v>64</v>
      </c>
      <c r="L461">
        <v>4</v>
      </c>
      <c r="M461" s="12">
        <v>120</v>
      </c>
      <c r="N461" s="12">
        <v>81.599999999999994</v>
      </c>
      <c r="O461">
        <v>11</v>
      </c>
      <c r="P461" s="12">
        <v>427.2</v>
      </c>
      <c r="Q461" s="12">
        <v>326.39999999999998</v>
      </c>
      <c r="R461" s="12">
        <v>100.80000000000001</v>
      </c>
      <c r="S461" t="s">
        <v>1246</v>
      </c>
      <c r="T461" t="s">
        <v>110</v>
      </c>
      <c r="U461" t="s">
        <v>1194</v>
      </c>
    </row>
    <row r="462" spans="1:21" x14ac:dyDescent="0.25">
      <c r="A462" t="s">
        <v>2056</v>
      </c>
      <c r="B462" s="8">
        <v>45732</v>
      </c>
      <c r="C462" t="s">
        <v>1787</v>
      </c>
      <c r="D462" t="s">
        <v>833</v>
      </c>
      <c r="E462" t="s">
        <v>218</v>
      </c>
      <c r="F462">
        <v>21</v>
      </c>
      <c r="G462" t="s">
        <v>10</v>
      </c>
      <c r="H462" t="s">
        <v>8</v>
      </c>
      <c r="I462" t="s">
        <v>42</v>
      </c>
      <c r="J462" t="s">
        <v>44</v>
      </c>
      <c r="K462" t="s">
        <v>43</v>
      </c>
      <c r="L462">
        <v>1</v>
      </c>
      <c r="M462" s="12">
        <v>8999</v>
      </c>
      <c r="N462" s="12">
        <v>6479.28</v>
      </c>
      <c r="O462">
        <v>8</v>
      </c>
      <c r="P462" s="12">
        <v>8279.08</v>
      </c>
      <c r="Q462" s="12">
        <v>6479.28</v>
      </c>
      <c r="R462" s="12">
        <v>1799.8000000000002</v>
      </c>
      <c r="S462" t="s">
        <v>113</v>
      </c>
      <c r="T462" t="s">
        <v>107</v>
      </c>
      <c r="U462" t="s">
        <v>1211</v>
      </c>
    </row>
    <row r="463" spans="1:21" x14ac:dyDescent="0.25">
      <c r="A463" t="s">
        <v>2057</v>
      </c>
      <c r="B463" s="8">
        <v>45914</v>
      </c>
      <c r="C463" t="s">
        <v>2422</v>
      </c>
      <c r="D463" t="s">
        <v>859</v>
      </c>
      <c r="E463" t="s">
        <v>218</v>
      </c>
      <c r="F463">
        <v>61</v>
      </c>
      <c r="G463" t="s">
        <v>11</v>
      </c>
      <c r="H463" t="s">
        <v>12</v>
      </c>
      <c r="I463" t="s">
        <v>61</v>
      </c>
      <c r="J463" t="s">
        <v>146</v>
      </c>
      <c r="K463" t="s">
        <v>64</v>
      </c>
      <c r="L463">
        <v>2</v>
      </c>
      <c r="M463" s="12">
        <v>250</v>
      </c>
      <c r="N463" s="12">
        <v>155</v>
      </c>
      <c r="O463">
        <v>3</v>
      </c>
      <c r="P463" s="12">
        <v>485</v>
      </c>
      <c r="Q463" s="12">
        <v>310</v>
      </c>
      <c r="R463" s="12">
        <v>175</v>
      </c>
      <c r="S463" t="s">
        <v>113</v>
      </c>
      <c r="T463" t="s">
        <v>110</v>
      </c>
      <c r="U463" t="s">
        <v>1201</v>
      </c>
    </row>
    <row r="464" spans="1:21" x14ac:dyDescent="0.25">
      <c r="A464" t="s">
        <v>2059</v>
      </c>
      <c r="B464" s="8">
        <v>45941</v>
      </c>
      <c r="C464" t="s">
        <v>1816</v>
      </c>
      <c r="D464" t="s">
        <v>874</v>
      </c>
      <c r="E464" t="s">
        <v>198</v>
      </c>
      <c r="F464">
        <v>61</v>
      </c>
      <c r="G464" t="s">
        <v>11</v>
      </c>
      <c r="H464" t="s">
        <v>12</v>
      </c>
      <c r="I464" t="s">
        <v>42</v>
      </c>
      <c r="J464" t="s">
        <v>44</v>
      </c>
      <c r="K464" t="s">
        <v>43</v>
      </c>
      <c r="L464">
        <v>4</v>
      </c>
      <c r="M464" s="12">
        <v>8999</v>
      </c>
      <c r="N464" s="12">
        <v>6479.28</v>
      </c>
      <c r="O464">
        <v>5</v>
      </c>
      <c r="P464" s="12">
        <v>34196.199999999997</v>
      </c>
      <c r="Q464" s="12">
        <v>25917.119999999999</v>
      </c>
      <c r="R464" s="12">
        <v>8279.0799999999981</v>
      </c>
      <c r="S464" t="s">
        <v>1246</v>
      </c>
      <c r="T464" t="s">
        <v>107</v>
      </c>
      <c r="U464" t="s">
        <v>1194</v>
      </c>
    </row>
    <row r="465" spans="1:21" x14ac:dyDescent="0.25">
      <c r="A465" t="s">
        <v>2060</v>
      </c>
      <c r="B465" s="8">
        <v>45971</v>
      </c>
      <c r="C465" t="s">
        <v>1400</v>
      </c>
      <c r="D465" t="s">
        <v>909</v>
      </c>
      <c r="E465" t="s">
        <v>218</v>
      </c>
      <c r="F465">
        <v>57</v>
      </c>
      <c r="G465" t="s">
        <v>5</v>
      </c>
      <c r="H465" t="s">
        <v>3</v>
      </c>
      <c r="I465" t="s">
        <v>63</v>
      </c>
      <c r="J465" t="s">
        <v>77</v>
      </c>
      <c r="K465" t="s">
        <v>64</v>
      </c>
      <c r="L465">
        <v>1</v>
      </c>
      <c r="M465" s="12">
        <v>650</v>
      </c>
      <c r="N465" s="12">
        <v>468</v>
      </c>
      <c r="O465">
        <v>4</v>
      </c>
      <c r="P465" s="12">
        <v>624</v>
      </c>
      <c r="Q465" s="12">
        <v>468</v>
      </c>
      <c r="R465" s="12">
        <v>156</v>
      </c>
      <c r="S465" t="s">
        <v>113</v>
      </c>
      <c r="T465" t="s">
        <v>107</v>
      </c>
      <c r="U465" t="s">
        <v>1211</v>
      </c>
    </row>
    <row r="466" spans="1:21" x14ac:dyDescent="0.25">
      <c r="A466" t="s">
        <v>2061</v>
      </c>
      <c r="B466" s="8">
        <v>46018</v>
      </c>
      <c r="C466" t="s">
        <v>1766</v>
      </c>
      <c r="D466" t="s">
        <v>974</v>
      </c>
      <c r="E466" t="s">
        <v>198</v>
      </c>
      <c r="F466">
        <v>42</v>
      </c>
      <c r="G466" t="s">
        <v>9</v>
      </c>
      <c r="H466" t="s">
        <v>8</v>
      </c>
      <c r="I466" t="s">
        <v>26</v>
      </c>
      <c r="J466" t="s">
        <v>27</v>
      </c>
      <c r="K466" t="s">
        <v>22</v>
      </c>
      <c r="L466">
        <v>4</v>
      </c>
      <c r="M466" s="12">
        <v>27499</v>
      </c>
      <c r="N466" s="12">
        <v>23374.149999999998</v>
      </c>
      <c r="O466">
        <v>14</v>
      </c>
      <c r="P466" s="12">
        <v>94596.56</v>
      </c>
      <c r="Q466" s="12">
        <v>93496.599999999991</v>
      </c>
      <c r="R466" s="12">
        <v>1099.9600000000064</v>
      </c>
      <c r="S466" t="s">
        <v>1246</v>
      </c>
      <c r="T466" t="s">
        <v>107</v>
      </c>
      <c r="U466" t="s">
        <v>1209</v>
      </c>
    </row>
    <row r="467" spans="1:21" x14ac:dyDescent="0.25">
      <c r="A467" t="s">
        <v>2063</v>
      </c>
      <c r="B467" s="8">
        <v>45884</v>
      </c>
      <c r="C467" t="s">
        <v>4380</v>
      </c>
      <c r="D467" t="s">
        <v>870</v>
      </c>
      <c r="E467" t="s">
        <v>218</v>
      </c>
      <c r="F467">
        <v>24</v>
      </c>
      <c r="G467" t="s">
        <v>10</v>
      </c>
      <c r="H467" t="s">
        <v>8</v>
      </c>
      <c r="I467" t="s">
        <v>51</v>
      </c>
      <c r="J467" t="s">
        <v>54</v>
      </c>
      <c r="K467" t="s">
        <v>43</v>
      </c>
      <c r="L467">
        <v>2</v>
      </c>
      <c r="M467" s="12">
        <v>27499</v>
      </c>
      <c r="N467" s="12">
        <v>21724.210000000003</v>
      </c>
      <c r="O467">
        <v>10</v>
      </c>
      <c r="P467" s="12">
        <v>49498.200000000004</v>
      </c>
      <c r="Q467" s="12">
        <v>43448.420000000006</v>
      </c>
      <c r="R467" s="12">
        <v>6049.7799999999988</v>
      </c>
      <c r="S467" t="s">
        <v>1246</v>
      </c>
      <c r="T467" t="s">
        <v>109</v>
      </c>
      <c r="U467" t="s">
        <v>1207</v>
      </c>
    </row>
    <row r="468" spans="1:21" x14ac:dyDescent="0.25">
      <c r="A468" t="s">
        <v>2064</v>
      </c>
      <c r="B468" s="8">
        <v>45823</v>
      </c>
      <c r="C468" t="s">
        <v>3331</v>
      </c>
      <c r="D468" t="s">
        <v>440</v>
      </c>
      <c r="E468" t="s">
        <v>218</v>
      </c>
      <c r="F468">
        <v>27</v>
      </c>
      <c r="G468" t="s">
        <v>289</v>
      </c>
      <c r="H468" t="s">
        <v>3</v>
      </c>
      <c r="I468" t="s">
        <v>57</v>
      </c>
      <c r="J468" t="s">
        <v>67</v>
      </c>
      <c r="K468" t="s">
        <v>64</v>
      </c>
      <c r="L468">
        <v>5</v>
      </c>
      <c r="M468" s="12">
        <v>150</v>
      </c>
      <c r="N468" s="12">
        <v>97.5</v>
      </c>
      <c r="O468">
        <v>8</v>
      </c>
      <c r="P468" s="12">
        <v>690</v>
      </c>
      <c r="Q468" s="12">
        <v>487.5</v>
      </c>
      <c r="R468" s="12">
        <v>202.5</v>
      </c>
      <c r="S468" t="s">
        <v>1246</v>
      </c>
      <c r="T468" t="s">
        <v>107</v>
      </c>
      <c r="U468" t="s">
        <v>1199</v>
      </c>
    </row>
    <row r="469" spans="1:21" x14ac:dyDescent="0.25">
      <c r="A469" t="s">
        <v>2065</v>
      </c>
      <c r="B469" s="8">
        <v>45919</v>
      </c>
      <c r="C469" t="s">
        <v>1811</v>
      </c>
      <c r="D469" t="s">
        <v>945</v>
      </c>
      <c r="E469" t="s">
        <v>198</v>
      </c>
      <c r="F469">
        <v>60</v>
      </c>
      <c r="G469" t="s">
        <v>5</v>
      </c>
      <c r="H469" t="s">
        <v>3</v>
      </c>
      <c r="I469" t="s">
        <v>30</v>
      </c>
      <c r="J469" t="s">
        <v>41</v>
      </c>
      <c r="K469" t="s">
        <v>22</v>
      </c>
      <c r="L469">
        <v>2</v>
      </c>
      <c r="M469" s="12">
        <v>13749</v>
      </c>
      <c r="N469" s="12">
        <v>10999.2</v>
      </c>
      <c r="O469">
        <v>7</v>
      </c>
      <c r="P469" s="12">
        <v>25573.14</v>
      </c>
      <c r="Q469" s="12">
        <v>21998.400000000001</v>
      </c>
      <c r="R469" s="12">
        <v>3574.739999999998</v>
      </c>
      <c r="S469" t="s">
        <v>1246</v>
      </c>
      <c r="T469" t="s">
        <v>108</v>
      </c>
      <c r="U469" t="s">
        <v>1211</v>
      </c>
    </row>
    <row r="470" spans="1:21" x14ac:dyDescent="0.25">
      <c r="A470" t="s">
        <v>2067</v>
      </c>
      <c r="B470" s="8">
        <v>45806</v>
      </c>
      <c r="C470" t="s">
        <v>2650</v>
      </c>
      <c r="D470" t="s">
        <v>1102</v>
      </c>
      <c r="E470" t="s">
        <v>218</v>
      </c>
      <c r="F470">
        <v>62</v>
      </c>
      <c r="G470" t="s">
        <v>16</v>
      </c>
      <c r="H470" t="s">
        <v>15</v>
      </c>
      <c r="I470" t="s">
        <v>45</v>
      </c>
      <c r="J470" t="s">
        <v>46</v>
      </c>
      <c r="K470" t="s">
        <v>43</v>
      </c>
      <c r="L470">
        <v>5</v>
      </c>
      <c r="M470" s="12">
        <v>11999</v>
      </c>
      <c r="N470" s="12">
        <v>8999.25</v>
      </c>
      <c r="O470">
        <v>2</v>
      </c>
      <c r="P470" s="12">
        <v>58795.1</v>
      </c>
      <c r="Q470" s="12">
        <v>44996.25</v>
      </c>
      <c r="R470" s="12">
        <v>13798.849999999999</v>
      </c>
      <c r="S470" t="s">
        <v>1246</v>
      </c>
      <c r="T470" t="s">
        <v>110</v>
      </c>
      <c r="U470" t="s">
        <v>1205</v>
      </c>
    </row>
    <row r="471" spans="1:21" x14ac:dyDescent="0.25">
      <c r="A471" t="s">
        <v>2069</v>
      </c>
      <c r="B471" s="8">
        <v>45895</v>
      </c>
      <c r="C471" t="s">
        <v>5088</v>
      </c>
      <c r="D471" t="s">
        <v>965</v>
      </c>
      <c r="E471" t="s">
        <v>198</v>
      </c>
      <c r="F471">
        <v>54</v>
      </c>
      <c r="G471" t="s">
        <v>2</v>
      </c>
      <c r="H471" t="s">
        <v>3</v>
      </c>
      <c r="I471" t="s">
        <v>57</v>
      </c>
      <c r="J471" t="s">
        <v>67</v>
      </c>
      <c r="K471" t="s">
        <v>64</v>
      </c>
      <c r="L471">
        <v>1</v>
      </c>
      <c r="M471" s="12">
        <v>150</v>
      </c>
      <c r="N471" s="12">
        <v>97.5</v>
      </c>
      <c r="O471">
        <v>1</v>
      </c>
      <c r="P471" s="12">
        <v>148.5</v>
      </c>
      <c r="Q471" s="12">
        <v>97.5</v>
      </c>
      <c r="R471" s="12">
        <v>51</v>
      </c>
      <c r="S471" t="s">
        <v>113</v>
      </c>
      <c r="T471" t="s">
        <v>108</v>
      </c>
      <c r="U471" t="s">
        <v>1199</v>
      </c>
    </row>
    <row r="472" spans="1:21" x14ac:dyDescent="0.25">
      <c r="A472" t="s">
        <v>2070</v>
      </c>
      <c r="B472" s="8">
        <v>45930</v>
      </c>
      <c r="C472" t="s">
        <v>2859</v>
      </c>
      <c r="D472" t="s">
        <v>758</v>
      </c>
      <c r="E472" t="s">
        <v>218</v>
      </c>
      <c r="F472">
        <v>36</v>
      </c>
      <c r="G472" t="s">
        <v>17</v>
      </c>
      <c r="H472" t="s">
        <v>15</v>
      </c>
      <c r="I472" t="s">
        <v>38</v>
      </c>
      <c r="J472" t="s">
        <v>37</v>
      </c>
      <c r="K472" t="s">
        <v>22</v>
      </c>
      <c r="L472">
        <v>1</v>
      </c>
      <c r="M472" s="12">
        <v>1650</v>
      </c>
      <c r="N472" s="12">
        <v>990</v>
      </c>
      <c r="O472">
        <v>7</v>
      </c>
      <c r="P472" s="12">
        <v>1534.5</v>
      </c>
      <c r="Q472" s="12">
        <v>990</v>
      </c>
      <c r="R472" s="12">
        <v>544.5</v>
      </c>
      <c r="S472" t="s">
        <v>113</v>
      </c>
      <c r="T472" t="s">
        <v>108</v>
      </c>
      <c r="U472" t="s">
        <v>1199</v>
      </c>
    </row>
    <row r="473" spans="1:21" x14ac:dyDescent="0.25">
      <c r="A473" t="s">
        <v>2072</v>
      </c>
      <c r="B473" s="8">
        <v>45905</v>
      </c>
      <c r="C473" t="s">
        <v>2001</v>
      </c>
      <c r="D473" t="s">
        <v>597</v>
      </c>
      <c r="E473" t="s">
        <v>218</v>
      </c>
      <c r="F473">
        <v>27</v>
      </c>
      <c r="G473" t="s">
        <v>17</v>
      </c>
      <c r="H473" t="s">
        <v>15</v>
      </c>
      <c r="I473" t="s">
        <v>36</v>
      </c>
      <c r="J473" t="s">
        <v>136</v>
      </c>
      <c r="K473" t="s">
        <v>22</v>
      </c>
      <c r="L473">
        <v>2</v>
      </c>
      <c r="M473" s="12">
        <v>3590</v>
      </c>
      <c r="N473" s="12">
        <v>2333.5</v>
      </c>
      <c r="O473">
        <v>3</v>
      </c>
      <c r="P473" s="12">
        <v>6964.5999999999995</v>
      </c>
      <c r="Q473" s="12">
        <v>4667</v>
      </c>
      <c r="R473" s="12">
        <v>2297.5999999999995</v>
      </c>
      <c r="S473" t="s">
        <v>1246</v>
      </c>
      <c r="T473" t="s">
        <v>108</v>
      </c>
      <c r="U473" t="s">
        <v>1205</v>
      </c>
    </row>
    <row r="474" spans="1:21" x14ac:dyDescent="0.25">
      <c r="A474" t="s">
        <v>2074</v>
      </c>
      <c r="B474" s="8">
        <v>45932</v>
      </c>
      <c r="C474" t="s">
        <v>2100</v>
      </c>
      <c r="D474" t="s">
        <v>1017</v>
      </c>
      <c r="E474" t="s">
        <v>198</v>
      </c>
      <c r="F474">
        <v>65</v>
      </c>
      <c r="G474" t="s">
        <v>289</v>
      </c>
      <c r="H474" t="s">
        <v>3</v>
      </c>
      <c r="I474" t="s">
        <v>51</v>
      </c>
      <c r="J474" t="s">
        <v>54</v>
      </c>
      <c r="K474" t="s">
        <v>43</v>
      </c>
      <c r="L474">
        <v>2</v>
      </c>
      <c r="M474" s="12">
        <v>27499</v>
      </c>
      <c r="N474" s="12">
        <v>21724.210000000003</v>
      </c>
      <c r="O474">
        <v>7</v>
      </c>
      <c r="P474" s="12">
        <v>51148.14</v>
      </c>
      <c r="Q474" s="12">
        <v>43448.420000000006</v>
      </c>
      <c r="R474" s="12">
        <v>7699.7199999999939</v>
      </c>
      <c r="S474" t="s">
        <v>1246</v>
      </c>
      <c r="T474" t="s">
        <v>107</v>
      </c>
      <c r="U474" t="s">
        <v>1196</v>
      </c>
    </row>
    <row r="475" spans="1:21" x14ac:dyDescent="0.25">
      <c r="A475" t="s">
        <v>2075</v>
      </c>
      <c r="B475" s="8">
        <v>45680</v>
      </c>
      <c r="C475" t="s">
        <v>1297</v>
      </c>
      <c r="D475" t="s">
        <v>746</v>
      </c>
      <c r="E475" t="s">
        <v>198</v>
      </c>
      <c r="F475">
        <v>45</v>
      </c>
      <c r="G475" t="s">
        <v>2</v>
      </c>
      <c r="H475" t="s">
        <v>3</v>
      </c>
      <c r="I475" t="s">
        <v>51</v>
      </c>
      <c r="J475" t="s">
        <v>54</v>
      </c>
      <c r="K475" t="s">
        <v>43</v>
      </c>
      <c r="L475">
        <v>1</v>
      </c>
      <c r="M475" s="12">
        <v>27499</v>
      </c>
      <c r="N475" s="12">
        <v>21724.210000000003</v>
      </c>
      <c r="O475">
        <v>5</v>
      </c>
      <c r="P475" s="12">
        <v>26124.05</v>
      </c>
      <c r="Q475" s="12">
        <v>21724.210000000003</v>
      </c>
      <c r="R475" s="12">
        <v>4399.8399999999965</v>
      </c>
      <c r="S475" t="s">
        <v>113</v>
      </c>
      <c r="T475" t="s">
        <v>110</v>
      </c>
      <c r="U475" t="s">
        <v>1203</v>
      </c>
    </row>
    <row r="476" spans="1:21" x14ac:dyDescent="0.25">
      <c r="A476" t="s">
        <v>2077</v>
      </c>
      <c r="B476" s="8">
        <v>45955</v>
      </c>
      <c r="C476" t="s">
        <v>3573</v>
      </c>
      <c r="D476" t="s">
        <v>838</v>
      </c>
      <c r="E476" t="s">
        <v>218</v>
      </c>
      <c r="F476">
        <v>59</v>
      </c>
      <c r="G476" t="s">
        <v>7</v>
      </c>
      <c r="H476" t="s">
        <v>8</v>
      </c>
      <c r="I476" t="s">
        <v>47</v>
      </c>
      <c r="J476" t="s">
        <v>52</v>
      </c>
      <c r="K476" t="s">
        <v>43</v>
      </c>
      <c r="L476">
        <v>5</v>
      </c>
      <c r="M476" s="12">
        <v>42999</v>
      </c>
      <c r="N476" s="12">
        <v>33539.22</v>
      </c>
      <c r="O476">
        <v>5</v>
      </c>
      <c r="P476" s="12">
        <v>204245.25</v>
      </c>
      <c r="Q476" s="12">
        <v>167696.1</v>
      </c>
      <c r="R476" s="12">
        <v>36549.149999999994</v>
      </c>
      <c r="S476" t="s">
        <v>1246</v>
      </c>
      <c r="T476" t="s">
        <v>107</v>
      </c>
      <c r="U476" t="s">
        <v>1203</v>
      </c>
    </row>
    <row r="477" spans="1:21" x14ac:dyDescent="0.25">
      <c r="A477" t="s">
        <v>2078</v>
      </c>
      <c r="B477" s="8">
        <v>45921</v>
      </c>
      <c r="C477" t="s">
        <v>2699</v>
      </c>
      <c r="D477" t="s">
        <v>925</v>
      </c>
      <c r="E477" t="s">
        <v>218</v>
      </c>
      <c r="F477">
        <v>65</v>
      </c>
      <c r="G477" t="s">
        <v>289</v>
      </c>
      <c r="H477" t="s">
        <v>3</v>
      </c>
      <c r="I477" t="s">
        <v>21</v>
      </c>
      <c r="J477" t="s">
        <v>23</v>
      </c>
      <c r="K477" t="s">
        <v>22</v>
      </c>
      <c r="L477">
        <v>2</v>
      </c>
      <c r="M477" s="12">
        <v>54999</v>
      </c>
      <c r="N477" s="12">
        <v>45099.18</v>
      </c>
      <c r="O477">
        <v>5</v>
      </c>
      <c r="P477" s="12">
        <v>104498.09999999999</v>
      </c>
      <c r="Q477" s="12">
        <v>90198.36</v>
      </c>
      <c r="R477" s="12">
        <v>14299.739999999991</v>
      </c>
      <c r="S477" t="s">
        <v>1246</v>
      </c>
      <c r="T477" t="s">
        <v>107</v>
      </c>
      <c r="U477" t="s">
        <v>1196</v>
      </c>
    </row>
    <row r="478" spans="1:21" x14ac:dyDescent="0.25">
      <c r="A478" t="s">
        <v>2080</v>
      </c>
      <c r="B478" s="8">
        <v>45849</v>
      </c>
      <c r="C478" t="s">
        <v>2097</v>
      </c>
      <c r="D478" t="s">
        <v>424</v>
      </c>
      <c r="E478" t="s">
        <v>218</v>
      </c>
      <c r="F478">
        <v>23</v>
      </c>
      <c r="G478" t="s">
        <v>2</v>
      </c>
      <c r="H478" t="s">
        <v>3</v>
      </c>
      <c r="I478" t="s">
        <v>21</v>
      </c>
      <c r="J478" t="s">
        <v>23</v>
      </c>
      <c r="K478" t="s">
        <v>22</v>
      </c>
      <c r="L478">
        <v>5</v>
      </c>
      <c r="M478" s="12">
        <v>54999</v>
      </c>
      <c r="N478" s="12">
        <v>45099.18</v>
      </c>
      <c r="O478">
        <v>8</v>
      </c>
      <c r="P478" s="12">
        <v>252995.40000000002</v>
      </c>
      <c r="Q478" s="12">
        <v>225495.9</v>
      </c>
      <c r="R478" s="12">
        <v>27499.500000000029</v>
      </c>
      <c r="S478" t="s">
        <v>1246</v>
      </c>
      <c r="T478" t="s">
        <v>107</v>
      </c>
      <c r="U478" t="s">
        <v>1199</v>
      </c>
    </row>
    <row r="479" spans="1:21" x14ac:dyDescent="0.25">
      <c r="A479" t="s">
        <v>2081</v>
      </c>
      <c r="B479" s="8">
        <v>45745</v>
      </c>
      <c r="C479" t="s">
        <v>3866</v>
      </c>
      <c r="D479" t="s">
        <v>928</v>
      </c>
      <c r="E479" t="s">
        <v>218</v>
      </c>
      <c r="F479">
        <v>49</v>
      </c>
      <c r="G479" t="s">
        <v>9</v>
      </c>
      <c r="H479" t="s">
        <v>8</v>
      </c>
      <c r="I479" t="s">
        <v>51</v>
      </c>
      <c r="J479" t="s">
        <v>54</v>
      </c>
      <c r="K479" t="s">
        <v>43</v>
      </c>
      <c r="L479">
        <v>2</v>
      </c>
      <c r="M479" s="12">
        <v>27499</v>
      </c>
      <c r="N479" s="12">
        <v>21724.210000000003</v>
      </c>
      <c r="O479">
        <v>10</v>
      </c>
      <c r="P479" s="12">
        <v>49498.200000000004</v>
      </c>
      <c r="Q479" s="12">
        <v>43448.420000000006</v>
      </c>
      <c r="R479" s="12">
        <v>6049.7799999999988</v>
      </c>
      <c r="S479" t="s">
        <v>1249</v>
      </c>
      <c r="T479" t="s">
        <v>108</v>
      </c>
      <c r="U479" t="s">
        <v>1194</v>
      </c>
    </row>
    <row r="480" spans="1:21" x14ac:dyDescent="0.25">
      <c r="A480" t="s">
        <v>2083</v>
      </c>
      <c r="B480" s="8">
        <v>46014</v>
      </c>
      <c r="C480" t="s">
        <v>3331</v>
      </c>
      <c r="D480" t="s">
        <v>440</v>
      </c>
      <c r="E480" t="s">
        <v>218</v>
      </c>
      <c r="F480">
        <v>27</v>
      </c>
      <c r="G480" t="s">
        <v>289</v>
      </c>
      <c r="H480" t="s">
        <v>3</v>
      </c>
      <c r="I480" t="s">
        <v>38</v>
      </c>
      <c r="J480" t="s">
        <v>37</v>
      </c>
      <c r="K480" t="s">
        <v>22</v>
      </c>
      <c r="L480">
        <v>5</v>
      </c>
      <c r="M480" s="12">
        <v>1650</v>
      </c>
      <c r="N480" s="12">
        <v>990</v>
      </c>
      <c r="O480">
        <v>17</v>
      </c>
      <c r="P480" s="12">
        <v>6847.5</v>
      </c>
      <c r="Q480" s="12">
        <v>4950</v>
      </c>
      <c r="R480" s="12">
        <v>1897.5</v>
      </c>
      <c r="S480" t="s">
        <v>113</v>
      </c>
      <c r="T480" t="s">
        <v>107</v>
      </c>
      <c r="U480" t="s">
        <v>1201</v>
      </c>
    </row>
    <row r="481" spans="1:21" x14ac:dyDescent="0.25">
      <c r="A481" t="s">
        <v>2085</v>
      </c>
      <c r="B481" s="8">
        <v>45667</v>
      </c>
      <c r="C481" t="s">
        <v>2365</v>
      </c>
      <c r="D481" t="s">
        <v>1003</v>
      </c>
      <c r="E481" t="s">
        <v>218</v>
      </c>
      <c r="F481">
        <v>25</v>
      </c>
      <c r="G481" t="s">
        <v>5</v>
      </c>
      <c r="H481" t="s">
        <v>3</v>
      </c>
      <c r="I481" t="s">
        <v>45</v>
      </c>
      <c r="J481" t="s">
        <v>46</v>
      </c>
      <c r="K481" t="s">
        <v>43</v>
      </c>
      <c r="L481">
        <v>3</v>
      </c>
      <c r="M481" s="12">
        <v>11999</v>
      </c>
      <c r="N481" s="12">
        <v>8999.25</v>
      </c>
      <c r="O481">
        <v>3</v>
      </c>
      <c r="P481" s="12">
        <v>34917.089999999997</v>
      </c>
      <c r="Q481" s="12">
        <v>26997.75</v>
      </c>
      <c r="R481" s="12">
        <v>7919.3399999999965</v>
      </c>
      <c r="S481" t="s">
        <v>1246</v>
      </c>
      <c r="T481" t="s">
        <v>107</v>
      </c>
      <c r="U481" t="s">
        <v>1199</v>
      </c>
    </row>
    <row r="482" spans="1:21" x14ac:dyDescent="0.25">
      <c r="A482" t="s">
        <v>2087</v>
      </c>
      <c r="B482" s="8">
        <v>45778</v>
      </c>
      <c r="C482" t="s">
        <v>2718</v>
      </c>
      <c r="D482" t="s">
        <v>812</v>
      </c>
      <c r="E482" t="s">
        <v>198</v>
      </c>
      <c r="F482">
        <v>39</v>
      </c>
      <c r="G482" t="s">
        <v>14</v>
      </c>
      <c r="H482" t="s">
        <v>15</v>
      </c>
      <c r="I482" t="s">
        <v>26</v>
      </c>
      <c r="J482" t="s">
        <v>27</v>
      </c>
      <c r="K482" t="s">
        <v>22</v>
      </c>
      <c r="L482">
        <v>1</v>
      </c>
      <c r="M482" s="12">
        <v>27499</v>
      </c>
      <c r="N482" s="12">
        <v>23374.149999999998</v>
      </c>
      <c r="O482">
        <v>7</v>
      </c>
      <c r="P482" s="12">
        <v>25574.07</v>
      </c>
      <c r="Q482" s="12">
        <v>23374.149999999998</v>
      </c>
      <c r="R482" s="12">
        <v>2199.9200000000019</v>
      </c>
      <c r="S482" t="s">
        <v>113</v>
      </c>
      <c r="T482" t="s">
        <v>107</v>
      </c>
      <c r="U482" t="s">
        <v>1194</v>
      </c>
    </row>
    <row r="483" spans="1:21" x14ac:dyDescent="0.25">
      <c r="A483" t="s">
        <v>2089</v>
      </c>
      <c r="B483" s="8">
        <v>45735</v>
      </c>
      <c r="C483" t="s">
        <v>2929</v>
      </c>
      <c r="D483" t="s">
        <v>711</v>
      </c>
      <c r="E483" t="s">
        <v>218</v>
      </c>
      <c r="F483">
        <v>27</v>
      </c>
      <c r="G483" t="s">
        <v>5</v>
      </c>
      <c r="H483" t="s">
        <v>3</v>
      </c>
      <c r="I483" t="s">
        <v>38</v>
      </c>
      <c r="J483" t="s">
        <v>37</v>
      </c>
      <c r="K483" t="s">
        <v>22</v>
      </c>
      <c r="L483">
        <v>5</v>
      </c>
      <c r="M483" s="12">
        <v>1650</v>
      </c>
      <c r="N483" s="12">
        <v>990</v>
      </c>
      <c r="O483">
        <v>3</v>
      </c>
      <c r="P483" s="12">
        <v>8002.5</v>
      </c>
      <c r="Q483" s="12">
        <v>4950</v>
      </c>
      <c r="R483" s="12">
        <v>3052.5</v>
      </c>
      <c r="S483" t="s">
        <v>1246</v>
      </c>
      <c r="T483" t="s">
        <v>108</v>
      </c>
      <c r="U483" t="s">
        <v>1209</v>
      </c>
    </row>
    <row r="484" spans="1:21" x14ac:dyDescent="0.25">
      <c r="A484" t="s">
        <v>2091</v>
      </c>
      <c r="B484" s="8">
        <v>45949</v>
      </c>
      <c r="C484" t="s">
        <v>1491</v>
      </c>
      <c r="D484" t="s">
        <v>532</v>
      </c>
      <c r="E484" t="s">
        <v>198</v>
      </c>
      <c r="F484">
        <v>56</v>
      </c>
      <c r="G484" t="s">
        <v>289</v>
      </c>
      <c r="H484" t="s">
        <v>3</v>
      </c>
      <c r="I484" t="s">
        <v>28</v>
      </c>
      <c r="J484" t="s">
        <v>35</v>
      </c>
      <c r="K484" t="s">
        <v>22</v>
      </c>
      <c r="L484">
        <v>4</v>
      </c>
      <c r="M484" s="12">
        <v>16499</v>
      </c>
      <c r="N484" s="12">
        <v>14519.12</v>
      </c>
      <c r="O484">
        <v>8</v>
      </c>
      <c r="P484" s="12">
        <v>60716.32</v>
      </c>
      <c r="Q484" s="12">
        <v>58076.480000000003</v>
      </c>
      <c r="R484" s="12">
        <v>2639.8399999999965</v>
      </c>
      <c r="S484" t="s">
        <v>1249</v>
      </c>
      <c r="T484" t="s">
        <v>107</v>
      </c>
      <c r="U484" t="s">
        <v>1201</v>
      </c>
    </row>
    <row r="485" spans="1:21" x14ac:dyDescent="0.25">
      <c r="A485" t="s">
        <v>2093</v>
      </c>
      <c r="B485" s="8">
        <v>45673</v>
      </c>
      <c r="C485" t="s">
        <v>2699</v>
      </c>
      <c r="D485" t="s">
        <v>925</v>
      </c>
      <c r="E485" t="s">
        <v>218</v>
      </c>
      <c r="F485">
        <v>65</v>
      </c>
      <c r="G485" t="s">
        <v>289</v>
      </c>
      <c r="H485" t="s">
        <v>3</v>
      </c>
      <c r="I485" t="s">
        <v>26</v>
      </c>
      <c r="J485" t="s">
        <v>27</v>
      </c>
      <c r="K485" t="s">
        <v>22</v>
      </c>
      <c r="L485">
        <v>2</v>
      </c>
      <c r="M485" s="12">
        <v>27499</v>
      </c>
      <c r="N485" s="12">
        <v>23374.149999999998</v>
      </c>
      <c r="O485">
        <v>7</v>
      </c>
      <c r="P485" s="12">
        <v>51148.14</v>
      </c>
      <c r="Q485" s="12">
        <v>46748.299999999996</v>
      </c>
      <c r="R485" s="12">
        <v>4399.8400000000038</v>
      </c>
      <c r="S485" t="s">
        <v>113</v>
      </c>
      <c r="T485" t="s">
        <v>108</v>
      </c>
      <c r="U485" t="s">
        <v>1194</v>
      </c>
    </row>
    <row r="486" spans="1:21" x14ac:dyDescent="0.25">
      <c r="A486" t="s">
        <v>2094</v>
      </c>
      <c r="B486" s="8">
        <v>45819</v>
      </c>
      <c r="C486" t="s">
        <v>2329</v>
      </c>
      <c r="D486" t="s">
        <v>634</v>
      </c>
      <c r="E486" t="s">
        <v>218</v>
      </c>
      <c r="F486">
        <v>62</v>
      </c>
      <c r="G486" t="s">
        <v>16</v>
      </c>
      <c r="H486" t="s">
        <v>15</v>
      </c>
      <c r="I486" t="s">
        <v>59</v>
      </c>
      <c r="J486" t="s">
        <v>73</v>
      </c>
      <c r="K486" t="s">
        <v>64</v>
      </c>
      <c r="L486">
        <v>2</v>
      </c>
      <c r="M486" s="12">
        <v>120</v>
      </c>
      <c r="N486" s="12">
        <v>81.599999999999994</v>
      </c>
      <c r="O486">
        <v>14</v>
      </c>
      <c r="P486" s="12">
        <v>206.4</v>
      </c>
      <c r="Q486" s="12">
        <v>163.19999999999999</v>
      </c>
      <c r="R486" s="12">
        <v>43.200000000000017</v>
      </c>
      <c r="S486" t="s">
        <v>1246</v>
      </c>
      <c r="T486" t="s">
        <v>107</v>
      </c>
      <c r="U486" t="s">
        <v>1207</v>
      </c>
    </row>
    <row r="487" spans="1:21" x14ac:dyDescent="0.25">
      <c r="A487" t="s">
        <v>2095</v>
      </c>
      <c r="B487" s="8">
        <v>46000</v>
      </c>
      <c r="C487" t="s">
        <v>2895</v>
      </c>
      <c r="D487" t="s">
        <v>774</v>
      </c>
      <c r="E487" t="s">
        <v>218</v>
      </c>
      <c r="F487">
        <v>35</v>
      </c>
      <c r="G487" t="s">
        <v>289</v>
      </c>
      <c r="H487" t="s">
        <v>3</v>
      </c>
      <c r="I487" t="s">
        <v>36</v>
      </c>
      <c r="J487" t="s">
        <v>136</v>
      </c>
      <c r="K487" t="s">
        <v>22</v>
      </c>
      <c r="L487">
        <v>5</v>
      </c>
      <c r="M487" s="12">
        <v>3590</v>
      </c>
      <c r="N487" s="12">
        <v>2333.5</v>
      </c>
      <c r="O487">
        <v>12</v>
      </c>
      <c r="P487" s="12">
        <v>15796</v>
      </c>
      <c r="Q487" s="12">
        <v>11667.5</v>
      </c>
      <c r="R487" s="12">
        <v>4128.5</v>
      </c>
      <c r="S487" t="s">
        <v>1246</v>
      </c>
      <c r="T487" t="s">
        <v>109</v>
      </c>
      <c r="U487" t="s">
        <v>1203</v>
      </c>
    </row>
    <row r="488" spans="1:21" x14ac:dyDescent="0.25">
      <c r="A488" t="s">
        <v>2096</v>
      </c>
      <c r="B488" s="8">
        <v>45666</v>
      </c>
      <c r="C488" t="s">
        <v>1807</v>
      </c>
      <c r="D488" t="s">
        <v>666</v>
      </c>
      <c r="E488" t="s">
        <v>198</v>
      </c>
      <c r="F488">
        <v>63</v>
      </c>
      <c r="G488" t="s">
        <v>289</v>
      </c>
      <c r="H488" t="s">
        <v>3</v>
      </c>
      <c r="I488" t="s">
        <v>40</v>
      </c>
      <c r="J488" t="s">
        <v>39</v>
      </c>
      <c r="K488" t="s">
        <v>22</v>
      </c>
      <c r="L488">
        <v>1</v>
      </c>
      <c r="M488" s="12">
        <v>1100</v>
      </c>
      <c r="N488" s="12">
        <v>715</v>
      </c>
      <c r="O488">
        <v>7</v>
      </c>
      <c r="P488" s="12">
        <v>1022.9999999999999</v>
      </c>
      <c r="Q488" s="12">
        <v>715</v>
      </c>
      <c r="R488" s="12">
        <v>307.99999999999989</v>
      </c>
      <c r="S488" t="s">
        <v>1246</v>
      </c>
      <c r="T488" t="s">
        <v>108</v>
      </c>
      <c r="U488" t="s">
        <v>1196</v>
      </c>
    </row>
    <row r="489" spans="1:21" x14ac:dyDescent="0.25">
      <c r="A489" t="s">
        <v>2098</v>
      </c>
      <c r="B489" s="8">
        <v>45953</v>
      </c>
      <c r="C489" t="s">
        <v>2250</v>
      </c>
      <c r="D489" t="s">
        <v>983</v>
      </c>
      <c r="E489" t="s">
        <v>198</v>
      </c>
      <c r="F489">
        <v>25</v>
      </c>
      <c r="G489" t="s">
        <v>289</v>
      </c>
      <c r="H489" t="s">
        <v>3</v>
      </c>
      <c r="I489" t="s">
        <v>61</v>
      </c>
      <c r="J489" t="s">
        <v>146</v>
      </c>
      <c r="K489" t="s">
        <v>64</v>
      </c>
      <c r="L489">
        <v>5</v>
      </c>
      <c r="M489" s="12">
        <v>250</v>
      </c>
      <c r="N489" s="12">
        <v>155</v>
      </c>
      <c r="O489">
        <v>2</v>
      </c>
      <c r="P489" s="12">
        <v>1225</v>
      </c>
      <c r="Q489" s="12">
        <v>775</v>
      </c>
      <c r="R489" s="12">
        <v>450</v>
      </c>
      <c r="S489" t="s">
        <v>1246</v>
      </c>
      <c r="T489" t="s">
        <v>110</v>
      </c>
      <c r="U489" t="s">
        <v>1199</v>
      </c>
    </row>
    <row r="490" spans="1:21" x14ac:dyDescent="0.25">
      <c r="A490" t="s">
        <v>2099</v>
      </c>
      <c r="B490" s="8">
        <v>45676</v>
      </c>
      <c r="C490" t="s">
        <v>1425</v>
      </c>
      <c r="D490" t="s">
        <v>702</v>
      </c>
      <c r="E490" t="s">
        <v>198</v>
      </c>
      <c r="F490">
        <v>32</v>
      </c>
      <c r="G490" t="s">
        <v>16</v>
      </c>
      <c r="H490" t="s">
        <v>15</v>
      </c>
      <c r="I490" t="s">
        <v>21</v>
      </c>
      <c r="J490" t="s">
        <v>23</v>
      </c>
      <c r="K490" t="s">
        <v>22</v>
      </c>
      <c r="L490">
        <v>4</v>
      </c>
      <c r="M490" s="12">
        <v>54999</v>
      </c>
      <c r="N490" s="12">
        <v>45099.18</v>
      </c>
      <c r="O490">
        <v>10</v>
      </c>
      <c r="P490" s="12">
        <v>197996.4</v>
      </c>
      <c r="Q490" s="12">
        <v>180396.72</v>
      </c>
      <c r="R490" s="12">
        <v>17599.679999999993</v>
      </c>
      <c r="S490" t="s">
        <v>113</v>
      </c>
      <c r="T490" t="s">
        <v>107</v>
      </c>
      <c r="U490" t="s">
        <v>1203</v>
      </c>
    </row>
    <row r="491" spans="1:21" x14ac:dyDescent="0.25">
      <c r="A491" t="s">
        <v>2101</v>
      </c>
      <c r="B491" s="8">
        <v>45667</v>
      </c>
      <c r="C491" t="s">
        <v>4273</v>
      </c>
      <c r="D491" t="s">
        <v>719</v>
      </c>
      <c r="E491" t="s">
        <v>198</v>
      </c>
      <c r="F491">
        <v>43</v>
      </c>
      <c r="G491" t="s">
        <v>290</v>
      </c>
      <c r="H491" t="s">
        <v>3</v>
      </c>
      <c r="I491" t="s">
        <v>38</v>
      </c>
      <c r="J491" t="s">
        <v>37</v>
      </c>
      <c r="K491" t="s">
        <v>22</v>
      </c>
      <c r="L491">
        <v>2</v>
      </c>
      <c r="M491" s="12">
        <v>1650</v>
      </c>
      <c r="N491" s="12">
        <v>990</v>
      </c>
      <c r="O491">
        <v>8</v>
      </c>
      <c r="P491" s="12">
        <v>3036</v>
      </c>
      <c r="Q491" s="12">
        <v>1980</v>
      </c>
      <c r="R491" s="12">
        <v>1056</v>
      </c>
      <c r="S491" t="s">
        <v>113</v>
      </c>
      <c r="T491" t="s">
        <v>108</v>
      </c>
      <c r="U491" t="s">
        <v>1199</v>
      </c>
    </row>
    <row r="492" spans="1:21" x14ac:dyDescent="0.25">
      <c r="A492" t="s">
        <v>2103</v>
      </c>
      <c r="B492" s="8">
        <v>45865</v>
      </c>
      <c r="C492" t="s">
        <v>2428</v>
      </c>
      <c r="D492" t="s">
        <v>1016</v>
      </c>
      <c r="E492" t="s">
        <v>218</v>
      </c>
      <c r="F492">
        <v>26</v>
      </c>
      <c r="G492" t="s">
        <v>4</v>
      </c>
      <c r="H492" t="s">
        <v>3</v>
      </c>
      <c r="I492" t="s">
        <v>63</v>
      </c>
      <c r="J492" t="s">
        <v>77</v>
      </c>
      <c r="K492" t="s">
        <v>64</v>
      </c>
      <c r="L492">
        <v>1</v>
      </c>
      <c r="M492" s="12">
        <v>650</v>
      </c>
      <c r="N492" s="12">
        <v>468</v>
      </c>
      <c r="O492">
        <v>1</v>
      </c>
      <c r="P492" s="12">
        <v>643.5</v>
      </c>
      <c r="Q492" s="12">
        <v>468</v>
      </c>
      <c r="R492" s="12">
        <v>175.5</v>
      </c>
      <c r="S492" t="s">
        <v>113</v>
      </c>
      <c r="T492" t="s">
        <v>107</v>
      </c>
      <c r="U492" t="s">
        <v>1203</v>
      </c>
    </row>
    <row r="493" spans="1:21" x14ac:dyDescent="0.25">
      <c r="A493" t="s">
        <v>2105</v>
      </c>
      <c r="B493" s="8">
        <v>45664</v>
      </c>
      <c r="C493" t="s">
        <v>1823</v>
      </c>
      <c r="D493" t="s">
        <v>1097</v>
      </c>
      <c r="E493" t="s">
        <v>218</v>
      </c>
      <c r="F493">
        <v>41</v>
      </c>
      <c r="G493" t="s">
        <v>2</v>
      </c>
      <c r="H493" t="s">
        <v>3</v>
      </c>
      <c r="I493" t="s">
        <v>24</v>
      </c>
      <c r="J493" t="s">
        <v>25</v>
      </c>
      <c r="K493" t="s">
        <v>22</v>
      </c>
      <c r="L493">
        <v>2</v>
      </c>
      <c r="M493" s="12">
        <v>35800</v>
      </c>
      <c r="N493" s="12">
        <v>28640</v>
      </c>
      <c r="O493">
        <v>6</v>
      </c>
      <c r="P493" s="12">
        <v>67304</v>
      </c>
      <c r="Q493" s="12">
        <v>57280</v>
      </c>
      <c r="R493" s="12">
        <v>10024</v>
      </c>
      <c r="S493" t="s">
        <v>1246</v>
      </c>
      <c r="T493" t="s">
        <v>109</v>
      </c>
      <c r="U493" t="s">
        <v>1203</v>
      </c>
    </row>
    <row r="494" spans="1:21" x14ac:dyDescent="0.25">
      <c r="A494" t="s">
        <v>2107</v>
      </c>
      <c r="B494" s="8">
        <v>45786</v>
      </c>
      <c r="C494" t="s">
        <v>1870</v>
      </c>
      <c r="D494" t="s">
        <v>831</v>
      </c>
      <c r="E494" t="s">
        <v>198</v>
      </c>
      <c r="F494">
        <v>57</v>
      </c>
      <c r="G494" t="s">
        <v>11</v>
      </c>
      <c r="H494" t="s">
        <v>12</v>
      </c>
      <c r="I494" t="s">
        <v>63</v>
      </c>
      <c r="J494" t="s">
        <v>77</v>
      </c>
      <c r="K494" t="s">
        <v>64</v>
      </c>
      <c r="L494">
        <v>3</v>
      </c>
      <c r="M494" s="12">
        <v>650</v>
      </c>
      <c r="N494" s="12">
        <v>468</v>
      </c>
      <c r="O494">
        <v>11</v>
      </c>
      <c r="P494" s="12">
        <v>1735.5</v>
      </c>
      <c r="Q494" s="12">
        <v>1404</v>
      </c>
      <c r="R494" s="12">
        <v>331.5</v>
      </c>
      <c r="S494" t="s">
        <v>1249</v>
      </c>
      <c r="T494" t="s">
        <v>109</v>
      </c>
      <c r="U494" t="s">
        <v>1198</v>
      </c>
    </row>
    <row r="495" spans="1:21" x14ac:dyDescent="0.25">
      <c r="A495" t="s">
        <v>2109</v>
      </c>
      <c r="B495" s="8">
        <v>45783</v>
      </c>
      <c r="C495" t="s">
        <v>2861</v>
      </c>
      <c r="D495" t="s">
        <v>764</v>
      </c>
      <c r="E495" t="s">
        <v>218</v>
      </c>
      <c r="F495">
        <v>44</v>
      </c>
      <c r="G495" t="s">
        <v>10</v>
      </c>
      <c r="H495" t="s">
        <v>8</v>
      </c>
      <c r="I495" t="s">
        <v>45</v>
      </c>
      <c r="J495" t="s">
        <v>46</v>
      </c>
      <c r="K495" t="s">
        <v>43</v>
      </c>
      <c r="L495">
        <v>2</v>
      </c>
      <c r="M495" s="12">
        <v>11999</v>
      </c>
      <c r="N495" s="12">
        <v>8999.25</v>
      </c>
      <c r="O495">
        <v>4</v>
      </c>
      <c r="P495" s="12">
        <v>23038.079999999998</v>
      </c>
      <c r="Q495" s="12">
        <v>17998.5</v>
      </c>
      <c r="R495" s="12">
        <v>5039.5799999999981</v>
      </c>
      <c r="S495" t="s">
        <v>113</v>
      </c>
      <c r="T495" t="s">
        <v>108</v>
      </c>
      <c r="U495" t="s">
        <v>1196</v>
      </c>
    </row>
    <row r="496" spans="1:21" x14ac:dyDescent="0.25">
      <c r="A496" t="s">
        <v>2111</v>
      </c>
      <c r="B496" s="8">
        <v>45944</v>
      </c>
      <c r="C496" t="s">
        <v>1701</v>
      </c>
      <c r="D496" t="s">
        <v>475</v>
      </c>
      <c r="E496" t="s">
        <v>218</v>
      </c>
      <c r="F496">
        <v>18</v>
      </c>
      <c r="G496" t="s">
        <v>7</v>
      </c>
      <c r="H496" t="s">
        <v>8</v>
      </c>
      <c r="I496" t="s">
        <v>34</v>
      </c>
      <c r="J496" t="s">
        <v>137</v>
      </c>
      <c r="K496" t="s">
        <v>22</v>
      </c>
      <c r="L496">
        <v>4</v>
      </c>
      <c r="M496" s="12">
        <v>6900</v>
      </c>
      <c r="N496" s="12">
        <v>5727</v>
      </c>
      <c r="O496">
        <v>6</v>
      </c>
      <c r="P496" s="12">
        <v>25944</v>
      </c>
      <c r="Q496" s="12">
        <v>22908</v>
      </c>
      <c r="R496" s="12">
        <v>3036</v>
      </c>
      <c r="S496" t="s">
        <v>1246</v>
      </c>
      <c r="T496" t="s">
        <v>107</v>
      </c>
      <c r="U496" t="s">
        <v>1211</v>
      </c>
    </row>
    <row r="497" spans="1:21" x14ac:dyDescent="0.25">
      <c r="A497" t="s">
        <v>2112</v>
      </c>
      <c r="B497" s="8">
        <v>45984</v>
      </c>
      <c r="C497" t="s">
        <v>2197</v>
      </c>
      <c r="D497" t="s">
        <v>500</v>
      </c>
      <c r="E497" t="s">
        <v>198</v>
      </c>
      <c r="F497">
        <v>39</v>
      </c>
      <c r="G497" t="s">
        <v>290</v>
      </c>
      <c r="H497" t="s">
        <v>3</v>
      </c>
      <c r="I497" t="s">
        <v>40</v>
      </c>
      <c r="J497" t="s">
        <v>39</v>
      </c>
      <c r="K497" t="s">
        <v>22</v>
      </c>
      <c r="L497">
        <v>1</v>
      </c>
      <c r="M497" s="12">
        <v>1100</v>
      </c>
      <c r="N497" s="12">
        <v>715</v>
      </c>
      <c r="O497">
        <v>16</v>
      </c>
      <c r="P497" s="12">
        <v>924</v>
      </c>
      <c r="Q497" s="12">
        <v>715</v>
      </c>
      <c r="R497" s="12">
        <v>209</v>
      </c>
      <c r="S497" t="s">
        <v>113</v>
      </c>
      <c r="T497" t="s">
        <v>111</v>
      </c>
      <c r="U497" t="s">
        <v>1194</v>
      </c>
    </row>
    <row r="498" spans="1:21" x14ac:dyDescent="0.25">
      <c r="A498" t="s">
        <v>2114</v>
      </c>
      <c r="B498" s="8">
        <v>45694</v>
      </c>
      <c r="C498" t="s">
        <v>2797</v>
      </c>
      <c r="D498" t="s">
        <v>380</v>
      </c>
      <c r="E498" t="s">
        <v>218</v>
      </c>
      <c r="F498">
        <v>58</v>
      </c>
      <c r="G498" t="s">
        <v>11</v>
      </c>
      <c r="H498" t="s">
        <v>12</v>
      </c>
      <c r="I498" t="s">
        <v>61</v>
      </c>
      <c r="J498" t="s">
        <v>146</v>
      </c>
      <c r="K498" t="s">
        <v>64</v>
      </c>
      <c r="L498">
        <v>2</v>
      </c>
      <c r="M498" s="12">
        <v>250</v>
      </c>
      <c r="N498" s="12">
        <v>155</v>
      </c>
      <c r="O498">
        <v>5</v>
      </c>
      <c r="P498" s="12">
        <v>475</v>
      </c>
      <c r="Q498" s="12">
        <v>310</v>
      </c>
      <c r="R498" s="12">
        <v>165</v>
      </c>
      <c r="S498" t="s">
        <v>1249</v>
      </c>
      <c r="T498" t="s">
        <v>108</v>
      </c>
      <c r="U498" t="s">
        <v>1196</v>
      </c>
    </row>
    <row r="499" spans="1:21" x14ac:dyDescent="0.25">
      <c r="A499" t="s">
        <v>2115</v>
      </c>
      <c r="B499" s="8">
        <v>45728</v>
      </c>
      <c r="C499" t="s">
        <v>3226</v>
      </c>
      <c r="D499" t="s">
        <v>1171</v>
      </c>
      <c r="E499" t="s">
        <v>198</v>
      </c>
      <c r="F499">
        <v>56</v>
      </c>
      <c r="G499" t="s">
        <v>14</v>
      </c>
      <c r="H499" t="s">
        <v>15</v>
      </c>
      <c r="I499" t="s">
        <v>59</v>
      </c>
      <c r="J499" t="s">
        <v>73</v>
      </c>
      <c r="K499" t="s">
        <v>64</v>
      </c>
      <c r="L499">
        <v>5</v>
      </c>
      <c r="M499" s="12">
        <v>120</v>
      </c>
      <c r="N499" s="12">
        <v>81.599999999999994</v>
      </c>
      <c r="O499">
        <v>1</v>
      </c>
      <c r="P499" s="12">
        <v>594</v>
      </c>
      <c r="Q499" s="12">
        <v>408</v>
      </c>
      <c r="R499" s="12">
        <v>186</v>
      </c>
      <c r="S499" t="s">
        <v>113</v>
      </c>
      <c r="T499" t="s">
        <v>108</v>
      </c>
      <c r="U499" t="s">
        <v>1198</v>
      </c>
    </row>
    <row r="500" spans="1:21" x14ac:dyDescent="0.25">
      <c r="A500" t="s">
        <v>2117</v>
      </c>
      <c r="B500" s="8">
        <v>45669</v>
      </c>
      <c r="C500" t="s">
        <v>1903</v>
      </c>
      <c r="D500" t="s">
        <v>1167</v>
      </c>
      <c r="E500" t="s">
        <v>198</v>
      </c>
      <c r="F500">
        <v>21</v>
      </c>
      <c r="G500" t="s">
        <v>17</v>
      </c>
      <c r="H500" t="s">
        <v>15</v>
      </c>
      <c r="I500" t="s">
        <v>42</v>
      </c>
      <c r="J500" t="s">
        <v>44</v>
      </c>
      <c r="K500" t="s">
        <v>43</v>
      </c>
      <c r="L500">
        <v>4</v>
      </c>
      <c r="M500" s="12">
        <v>8999</v>
      </c>
      <c r="N500" s="12">
        <v>6479.28</v>
      </c>
      <c r="O500">
        <v>4</v>
      </c>
      <c r="P500" s="12">
        <v>34556.159999999996</v>
      </c>
      <c r="Q500" s="12">
        <v>25917.119999999999</v>
      </c>
      <c r="R500" s="12">
        <v>8639.0399999999972</v>
      </c>
      <c r="S500" t="s">
        <v>1246</v>
      </c>
      <c r="T500" t="s">
        <v>107</v>
      </c>
      <c r="U500" t="s">
        <v>1196</v>
      </c>
    </row>
    <row r="501" spans="1:21" x14ac:dyDescent="0.25">
      <c r="A501" t="s">
        <v>2119</v>
      </c>
      <c r="B501" s="8">
        <v>45929</v>
      </c>
      <c r="C501" t="s">
        <v>1751</v>
      </c>
      <c r="D501" t="s">
        <v>795</v>
      </c>
      <c r="E501" t="s">
        <v>198</v>
      </c>
      <c r="F501">
        <v>65</v>
      </c>
      <c r="G501" t="s">
        <v>17</v>
      </c>
      <c r="H501" t="s">
        <v>15</v>
      </c>
      <c r="I501" t="s">
        <v>45</v>
      </c>
      <c r="J501" t="s">
        <v>46</v>
      </c>
      <c r="K501" t="s">
        <v>43</v>
      </c>
      <c r="L501">
        <v>1</v>
      </c>
      <c r="M501" s="12">
        <v>11999</v>
      </c>
      <c r="N501" s="12">
        <v>8999.25</v>
      </c>
      <c r="O501">
        <v>7</v>
      </c>
      <c r="P501" s="12">
        <v>11159.07</v>
      </c>
      <c r="Q501" s="12">
        <v>8999.25</v>
      </c>
      <c r="R501" s="12">
        <v>2159.8199999999997</v>
      </c>
      <c r="S501" t="s">
        <v>113</v>
      </c>
      <c r="T501" t="s">
        <v>108</v>
      </c>
      <c r="U501" t="s">
        <v>1194</v>
      </c>
    </row>
    <row r="502" spans="1:21" x14ac:dyDescent="0.25">
      <c r="A502" t="s">
        <v>2120</v>
      </c>
      <c r="B502" s="8">
        <v>45740</v>
      </c>
      <c r="C502" t="s">
        <v>1324</v>
      </c>
      <c r="D502" t="s">
        <v>727</v>
      </c>
      <c r="E502" t="s">
        <v>218</v>
      </c>
      <c r="F502">
        <v>44</v>
      </c>
      <c r="G502" t="s">
        <v>7</v>
      </c>
      <c r="H502" t="s">
        <v>8</v>
      </c>
      <c r="I502" t="s">
        <v>21</v>
      </c>
      <c r="J502" t="s">
        <v>23</v>
      </c>
      <c r="K502" t="s">
        <v>22</v>
      </c>
      <c r="L502">
        <v>5</v>
      </c>
      <c r="M502" s="12">
        <v>54999</v>
      </c>
      <c r="N502" s="12">
        <v>45099.18</v>
      </c>
      <c r="O502">
        <v>7</v>
      </c>
      <c r="P502" s="12">
        <v>255745.34999999998</v>
      </c>
      <c r="Q502" s="12">
        <v>225495.9</v>
      </c>
      <c r="R502" s="12">
        <v>30249.449999999983</v>
      </c>
      <c r="S502" t="s">
        <v>1246</v>
      </c>
      <c r="T502" t="s">
        <v>108</v>
      </c>
      <c r="U502" t="s">
        <v>1205</v>
      </c>
    </row>
    <row r="503" spans="1:21" x14ac:dyDescent="0.25">
      <c r="A503" t="s">
        <v>2122</v>
      </c>
      <c r="B503" s="8">
        <v>45742</v>
      </c>
      <c r="C503" t="s">
        <v>1498</v>
      </c>
      <c r="D503" t="s">
        <v>1005</v>
      </c>
      <c r="E503" t="s">
        <v>218</v>
      </c>
      <c r="F503">
        <v>50</v>
      </c>
      <c r="G503" t="s">
        <v>2</v>
      </c>
      <c r="H503" t="s">
        <v>3</v>
      </c>
      <c r="I503" t="s">
        <v>63</v>
      </c>
      <c r="J503" t="s">
        <v>77</v>
      </c>
      <c r="K503" t="s">
        <v>64</v>
      </c>
      <c r="L503">
        <v>3</v>
      </c>
      <c r="M503" s="12">
        <v>650</v>
      </c>
      <c r="N503" s="12">
        <v>468</v>
      </c>
      <c r="O503">
        <v>1</v>
      </c>
      <c r="P503" s="12">
        <v>1930.5</v>
      </c>
      <c r="Q503" s="12">
        <v>1404</v>
      </c>
      <c r="R503" s="12">
        <v>526.5</v>
      </c>
      <c r="S503" t="s">
        <v>1246</v>
      </c>
      <c r="T503" t="s">
        <v>108</v>
      </c>
      <c r="U503" t="s">
        <v>1201</v>
      </c>
    </row>
    <row r="504" spans="1:21" x14ac:dyDescent="0.25">
      <c r="A504" t="s">
        <v>2123</v>
      </c>
      <c r="B504" s="8">
        <v>45906</v>
      </c>
      <c r="C504" t="s">
        <v>1506</v>
      </c>
      <c r="D504" t="s">
        <v>1072</v>
      </c>
      <c r="E504" t="s">
        <v>198</v>
      </c>
      <c r="F504">
        <v>48</v>
      </c>
      <c r="G504" t="s">
        <v>5</v>
      </c>
      <c r="H504" t="s">
        <v>3</v>
      </c>
      <c r="I504" t="s">
        <v>59</v>
      </c>
      <c r="J504" t="s">
        <v>73</v>
      </c>
      <c r="K504" t="s">
        <v>64</v>
      </c>
      <c r="L504">
        <v>3</v>
      </c>
      <c r="M504" s="12">
        <v>120</v>
      </c>
      <c r="N504" s="12">
        <v>81.599999999999994</v>
      </c>
      <c r="O504">
        <v>0</v>
      </c>
      <c r="P504" s="12">
        <v>360</v>
      </c>
      <c r="Q504" s="12">
        <v>244.79999999999998</v>
      </c>
      <c r="R504" s="12">
        <v>115.20000000000002</v>
      </c>
      <c r="S504" t="s">
        <v>113</v>
      </c>
      <c r="T504" t="s">
        <v>107</v>
      </c>
      <c r="U504" t="s">
        <v>1205</v>
      </c>
    </row>
    <row r="505" spans="1:21" x14ac:dyDescent="0.25">
      <c r="A505" t="s">
        <v>2125</v>
      </c>
      <c r="B505" s="8">
        <v>45897</v>
      </c>
      <c r="C505" t="s">
        <v>2417</v>
      </c>
      <c r="D505" t="s">
        <v>1087</v>
      </c>
      <c r="E505" t="s">
        <v>198</v>
      </c>
      <c r="F505">
        <v>56</v>
      </c>
      <c r="G505" t="s">
        <v>16</v>
      </c>
      <c r="H505" t="s">
        <v>15</v>
      </c>
      <c r="I505" t="s">
        <v>42</v>
      </c>
      <c r="J505" t="s">
        <v>44</v>
      </c>
      <c r="K505" t="s">
        <v>43</v>
      </c>
      <c r="L505">
        <v>1</v>
      </c>
      <c r="M505" s="12">
        <v>8999</v>
      </c>
      <c r="N505" s="12">
        <v>6479.28</v>
      </c>
      <c r="O505">
        <v>7</v>
      </c>
      <c r="P505" s="12">
        <v>8369.07</v>
      </c>
      <c r="Q505" s="12">
        <v>6479.28</v>
      </c>
      <c r="R505" s="12">
        <v>1889.79</v>
      </c>
      <c r="S505" t="s">
        <v>113</v>
      </c>
      <c r="T505" t="s">
        <v>107</v>
      </c>
      <c r="U505" t="s">
        <v>1211</v>
      </c>
    </row>
    <row r="506" spans="1:21" x14ac:dyDescent="0.25">
      <c r="A506" t="s">
        <v>2127</v>
      </c>
      <c r="B506" s="8">
        <v>45969</v>
      </c>
      <c r="C506" t="s">
        <v>3373</v>
      </c>
      <c r="D506" t="s">
        <v>466</v>
      </c>
      <c r="E506" t="s">
        <v>198</v>
      </c>
      <c r="F506">
        <v>49</v>
      </c>
      <c r="G506" t="s">
        <v>7</v>
      </c>
      <c r="H506" t="s">
        <v>8</v>
      </c>
      <c r="I506" t="s">
        <v>38</v>
      </c>
      <c r="J506" t="s">
        <v>37</v>
      </c>
      <c r="K506" t="s">
        <v>22</v>
      </c>
      <c r="L506">
        <v>3</v>
      </c>
      <c r="M506" s="12">
        <v>1650</v>
      </c>
      <c r="N506" s="12">
        <v>990</v>
      </c>
      <c r="O506">
        <v>12</v>
      </c>
      <c r="P506" s="12">
        <v>4356</v>
      </c>
      <c r="Q506" s="12">
        <v>2970</v>
      </c>
      <c r="R506" s="12">
        <v>1386</v>
      </c>
      <c r="S506" t="s">
        <v>113</v>
      </c>
      <c r="T506" t="s">
        <v>108</v>
      </c>
      <c r="U506" t="s">
        <v>1203</v>
      </c>
    </row>
    <row r="507" spans="1:21" x14ac:dyDescent="0.25">
      <c r="A507" t="s">
        <v>2128</v>
      </c>
      <c r="B507" s="8">
        <v>45677</v>
      </c>
      <c r="C507" t="s">
        <v>1975</v>
      </c>
      <c r="D507" t="s">
        <v>431</v>
      </c>
      <c r="E507" t="s">
        <v>198</v>
      </c>
      <c r="F507">
        <v>34</v>
      </c>
      <c r="G507" t="s">
        <v>5</v>
      </c>
      <c r="H507" t="s">
        <v>3</v>
      </c>
      <c r="I507" t="s">
        <v>26</v>
      </c>
      <c r="J507" t="s">
        <v>27</v>
      </c>
      <c r="K507" t="s">
        <v>22</v>
      </c>
      <c r="L507">
        <v>3</v>
      </c>
      <c r="M507" s="12">
        <v>27499</v>
      </c>
      <c r="N507" s="12">
        <v>23374.149999999998</v>
      </c>
      <c r="O507">
        <v>9</v>
      </c>
      <c r="P507" s="12">
        <v>75072.27</v>
      </c>
      <c r="Q507" s="12">
        <v>70122.45</v>
      </c>
      <c r="R507" s="12">
        <v>4949.820000000007</v>
      </c>
      <c r="S507" t="s">
        <v>1246</v>
      </c>
      <c r="T507" t="s">
        <v>109</v>
      </c>
      <c r="U507" t="s">
        <v>1201</v>
      </c>
    </row>
    <row r="508" spans="1:21" x14ac:dyDescent="0.25">
      <c r="A508" t="s">
        <v>2130</v>
      </c>
      <c r="B508" s="8">
        <v>45796</v>
      </c>
      <c r="C508" t="s">
        <v>2227</v>
      </c>
      <c r="D508" t="s">
        <v>981</v>
      </c>
      <c r="E508" t="s">
        <v>198</v>
      </c>
      <c r="F508">
        <v>19</v>
      </c>
      <c r="G508" t="s">
        <v>7</v>
      </c>
      <c r="H508" t="s">
        <v>8</v>
      </c>
      <c r="I508" t="s">
        <v>38</v>
      </c>
      <c r="J508" t="s">
        <v>37</v>
      </c>
      <c r="K508" t="s">
        <v>22</v>
      </c>
      <c r="L508">
        <v>2</v>
      </c>
      <c r="M508" s="12">
        <v>1650</v>
      </c>
      <c r="N508" s="12">
        <v>990</v>
      </c>
      <c r="O508">
        <v>8</v>
      </c>
      <c r="P508" s="12">
        <v>3036</v>
      </c>
      <c r="Q508" s="12">
        <v>1980</v>
      </c>
      <c r="R508" s="12">
        <v>1056</v>
      </c>
      <c r="S508" t="s">
        <v>113</v>
      </c>
      <c r="T508" t="s">
        <v>108</v>
      </c>
      <c r="U508" t="s">
        <v>1194</v>
      </c>
    </row>
    <row r="509" spans="1:21" x14ac:dyDescent="0.25">
      <c r="A509" t="s">
        <v>2132</v>
      </c>
      <c r="B509" s="8">
        <v>45704</v>
      </c>
      <c r="C509" t="s">
        <v>2627</v>
      </c>
      <c r="D509" t="s">
        <v>970</v>
      </c>
      <c r="E509" t="s">
        <v>198</v>
      </c>
      <c r="F509">
        <v>58</v>
      </c>
      <c r="G509" t="s">
        <v>16</v>
      </c>
      <c r="H509" t="s">
        <v>15</v>
      </c>
      <c r="I509" t="s">
        <v>49</v>
      </c>
      <c r="J509" t="s">
        <v>56</v>
      </c>
      <c r="K509" t="s">
        <v>43</v>
      </c>
      <c r="L509">
        <v>3</v>
      </c>
      <c r="M509" s="12">
        <v>31999</v>
      </c>
      <c r="N509" s="12">
        <v>25599.200000000001</v>
      </c>
      <c r="O509">
        <v>10</v>
      </c>
      <c r="P509" s="12">
        <v>86397.3</v>
      </c>
      <c r="Q509" s="12">
        <v>76797.600000000006</v>
      </c>
      <c r="R509" s="12">
        <v>9599.6999999999971</v>
      </c>
      <c r="S509" t="s">
        <v>1246</v>
      </c>
      <c r="T509" t="s">
        <v>107</v>
      </c>
      <c r="U509" t="s">
        <v>1201</v>
      </c>
    </row>
    <row r="510" spans="1:21" x14ac:dyDescent="0.25">
      <c r="A510" t="s">
        <v>2134</v>
      </c>
      <c r="B510" s="8">
        <v>45933</v>
      </c>
      <c r="C510" t="s">
        <v>2186</v>
      </c>
      <c r="D510" t="s">
        <v>1111</v>
      </c>
      <c r="E510" t="s">
        <v>218</v>
      </c>
      <c r="F510">
        <v>37</v>
      </c>
      <c r="G510" t="s">
        <v>7</v>
      </c>
      <c r="H510" t="s">
        <v>8</v>
      </c>
      <c r="I510" t="s">
        <v>57</v>
      </c>
      <c r="J510" t="s">
        <v>67</v>
      </c>
      <c r="K510" t="s">
        <v>64</v>
      </c>
      <c r="L510">
        <v>5</v>
      </c>
      <c r="M510" s="12">
        <v>150</v>
      </c>
      <c r="N510" s="12">
        <v>97.5</v>
      </c>
      <c r="O510">
        <v>2</v>
      </c>
      <c r="P510" s="12">
        <v>735</v>
      </c>
      <c r="Q510" s="12">
        <v>487.5</v>
      </c>
      <c r="R510" s="12">
        <v>247.5</v>
      </c>
      <c r="S510" t="s">
        <v>1246</v>
      </c>
      <c r="T510" t="s">
        <v>107</v>
      </c>
      <c r="U510" t="s">
        <v>1194</v>
      </c>
    </row>
    <row r="511" spans="1:21" x14ac:dyDescent="0.25">
      <c r="A511" t="s">
        <v>2136</v>
      </c>
      <c r="B511" s="8">
        <v>45939</v>
      </c>
      <c r="C511" t="s">
        <v>1950</v>
      </c>
      <c r="D511" t="s">
        <v>680</v>
      </c>
      <c r="E511" t="s">
        <v>198</v>
      </c>
      <c r="F511">
        <v>26</v>
      </c>
      <c r="G511" t="s">
        <v>10</v>
      </c>
      <c r="H511" t="s">
        <v>8</v>
      </c>
      <c r="I511" t="s">
        <v>47</v>
      </c>
      <c r="J511" t="s">
        <v>52</v>
      </c>
      <c r="K511" t="s">
        <v>43</v>
      </c>
      <c r="L511">
        <v>4</v>
      </c>
      <c r="M511" s="12">
        <v>42999</v>
      </c>
      <c r="N511" s="12">
        <v>33539.22</v>
      </c>
      <c r="O511">
        <v>10</v>
      </c>
      <c r="P511" s="12">
        <v>154796.4</v>
      </c>
      <c r="Q511" s="12">
        <v>134156.88</v>
      </c>
      <c r="R511" s="12">
        <v>20639.51999999999</v>
      </c>
      <c r="S511" t="s">
        <v>113</v>
      </c>
      <c r="T511" t="s">
        <v>107</v>
      </c>
      <c r="U511" t="s">
        <v>1209</v>
      </c>
    </row>
    <row r="512" spans="1:21" x14ac:dyDescent="0.25">
      <c r="A512" t="s">
        <v>2137</v>
      </c>
      <c r="B512" s="8">
        <v>45743</v>
      </c>
      <c r="C512" t="s">
        <v>4095</v>
      </c>
      <c r="D512" t="s">
        <v>1014</v>
      </c>
      <c r="E512" t="s">
        <v>218</v>
      </c>
      <c r="F512">
        <v>63</v>
      </c>
      <c r="G512" t="s">
        <v>290</v>
      </c>
      <c r="H512" t="s">
        <v>3</v>
      </c>
      <c r="I512" t="s">
        <v>42</v>
      </c>
      <c r="J512" t="s">
        <v>44</v>
      </c>
      <c r="K512" t="s">
        <v>43</v>
      </c>
      <c r="L512">
        <v>1</v>
      </c>
      <c r="M512" s="12">
        <v>8999</v>
      </c>
      <c r="N512" s="12">
        <v>6479.28</v>
      </c>
      <c r="O512">
        <v>6</v>
      </c>
      <c r="P512" s="12">
        <v>8459.06</v>
      </c>
      <c r="Q512" s="12">
        <v>6479.28</v>
      </c>
      <c r="R512" s="12">
        <v>1979.7799999999997</v>
      </c>
      <c r="S512" t="s">
        <v>113</v>
      </c>
      <c r="T512" t="s">
        <v>107</v>
      </c>
      <c r="U512" t="s">
        <v>1198</v>
      </c>
    </row>
    <row r="513" spans="1:21" x14ac:dyDescent="0.25">
      <c r="A513" t="s">
        <v>2139</v>
      </c>
      <c r="B513" s="8">
        <v>45681</v>
      </c>
      <c r="C513" t="s">
        <v>2084</v>
      </c>
      <c r="D513" t="s">
        <v>1175</v>
      </c>
      <c r="E513" t="s">
        <v>198</v>
      </c>
      <c r="F513">
        <v>50</v>
      </c>
      <c r="G513" t="s">
        <v>9</v>
      </c>
      <c r="H513" t="s">
        <v>8</v>
      </c>
      <c r="I513" t="s">
        <v>49</v>
      </c>
      <c r="J513" t="s">
        <v>56</v>
      </c>
      <c r="K513" t="s">
        <v>43</v>
      </c>
      <c r="L513">
        <v>4</v>
      </c>
      <c r="M513" s="12">
        <v>31999</v>
      </c>
      <c r="N513" s="12">
        <v>25599.200000000001</v>
      </c>
      <c r="O513">
        <v>2</v>
      </c>
      <c r="P513" s="12">
        <v>125436.08</v>
      </c>
      <c r="Q513" s="12">
        <v>102396.8</v>
      </c>
      <c r="R513" s="12">
        <v>23039.279999999999</v>
      </c>
      <c r="S513" t="s">
        <v>1246</v>
      </c>
      <c r="T513" t="s">
        <v>109</v>
      </c>
      <c r="U513" t="s">
        <v>1207</v>
      </c>
    </row>
    <row r="514" spans="1:21" x14ac:dyDescent="0.25">
      <c r="A514" t="s">
        <v>2140</v>
      </c>
      <c r="B514" s="8">
        <v>46008</v>
      </c>
      <c r="C514" t="s">
        <v>4601</v>
      </c>
      <c r="D514" t="s">
        <v>1147</v>
      </c>
      <c r="E514" t="s">
        <v>218</v>
      </c>
      <c r="F514">
        <v>39</v>
      </c>
      <c r="G514" t="s">
        <v>9</v>
      </c>
      <c r="H514" t="s">
        <v>8</v>
      </c>
      <c r="I514" t="s">
        <v>38</v>
      </c>
      <c r="J514" t="s">
        <v>37</v>
      </c>
      <c r="K514" t="s">
        <v>22</v>
      </c>
      <c r="L514">
        <v>2</v>
      </c>
      <c r="M514" s="12">
        <v>1650</v>
      </c>
      <c r="N514" s="12">
        <v>990</v>
      </c>
      <c r="O514">
        <v>17</v>
      </c>
      <c r="P514" s="12">
        <v>2739</v>
      </c>
      <c r="Q514" s="12">
        <v>1980</v>
      </c>
      <c r="R514" s="12">
        <v>759</v>
      </c>
      <c r="S514" t="s">
        <v>113</v>
      </c>
      <c r="T514" t="s">
        <v>109</v>
      </c>
      <c r="U514" t="s">
        <v>1207</v>
      </c>
    </row>
    <row r="515" spans="1:21" x14ac:dyDescent="0.25">
      <c r="A515" t="s">
        <v>2142</v>
      </c>
      <c r="B515" s="8">
        <v>45985</v>
      </c>
      <c r="C515" t="s">
        <v>2526</v>
      </c>
      <c r="D515" t="s">
        <v>554</v>
      </c>
      <c r="E515" t="s">
        <v>198</v>
      </c>
      <c r="F515">
        <v>39</v>
      </c>
      <c r="G515" t="s">
        <v>16</v>
      </c>
      <c r="H515" t="s">
        <v>15</v>
      </c>
      <c r="I515" t="s">
        <v>42</v>
      </c>
      <c r="J515" t="s">
        <v>44</v>
      </c>
      <c r="K515" t="s">
        <v>43</v>
      </c>
      <c r="L515">
        <v>4</v>
      </c>
      <c r="M515" s="12">
        <v>8999</v>
      </c>
      <c r="N515" s="12">
        <v>6479.28</v>
      </c>
      <c r="O515">
        <v>16</v>
      </c>
      <c r="P515" s="12">
        <v>30236.639999999999</v>
      </c>
      <c r="Q515" s="12">
        <v>25917.119999999999</v>
      </c>
      <c r="R515" s="12">
        <v>4319.5200000000004</v>
      </c>
      <c r="S515" t="s">
        <v>113</v>
      </c>
      <c r="T515" t="s">
        <v>107</v>
      </c>
      <c r="U515" t="s">
        <v>1209</v>
      </c>
    </row>
    <row r="516" spans="1:21" x14ac:dyDescent="0.25">
      <c r="A516" t="s">
        <v>2143</v>
      </c>
      <c r="B516" s="8">
        <v>45928</v>
      </c>
      <c r="C516" t="s">
        <v>2329</v>
      </c>
      <c r="D516" t="s">
        <v>634</v>
      </c>
      <c r="E516" t="s">
        <v>218</v>
      </c>
      <c r="F516">
        <v>62</v>
      </c>
      <c r="G516" t="s">
        <v>16</v>
      </c>
      <c r="H516" t="s">
        <v>15</v>
      </c>
      <c r="I516" t="s">
        <v>38</v>
      </c>
      <c r="J516" t="s">
        <v>37</v>
      </c>
      <c r="K516" t="s">
        <v>22</v>
      </c>
      <c r="L516">
        <v>5</v>
      </c>
      <c r="M516" s="12">
        <v>1650</v>
      </c>
      <c r="N516" s="12">
        <v>990</v>
      </c>
      <c r="O516">
        <v>6</v>
      </c>
      <c r="P516" s="12">
        <v>7755</v>
      </c>
      <c r="Q516" s="12">
        <v>4950</v>
      </c>
      <c r="R516" s="12">
        <v>2805</v>
      </c>
      <c r="S516" t="s">
        <v>1246</v>
      </c>
      <c r="T516" t="s">
        <v>109</v>
      </c>
      <c r="U516" t="s">
        <v>1211</v>
      </c>
    </row>
    <row r="517" spans="1:21" x14ac:dyDescent="0.25">
      <c r="A517" t="s">
        <v>2144</v>
      </c>
      <c r="B517" s="8">
        <v>45680</v>
      </c>
      <c r="C517" t="s">
        <v>1632</v>
      </c>
      <c r="D517" t="s">
        <v>590</v>
      </c>
      <c r="E517" t="s">
        <v>218</v>
      </c>
      <c r="F517">
        <v>53</v>
      </c>
      <c r="G517" t="s">
        <v>9</v>
      </c>
      <c r="H517" t="s">
        <v>8</v>
      </c>
      <c r="I517" t="s">
        <v>24</v>
      </c>
      <c r="J517" t="s">
        <v>25</v>
      </c>
      <c r="K517" t="s">
        <v>22</v>
      </c>
      <c r="L517">
        <v>4</v>
      </c>
      <c r="M517" s="12">
        <v>35800</v>
      </c>
      <c r="N517" s="12">
        <v>28640</v>
      </c>
      <c r="O517">
        <v>9</v>
      </c>
      <c r="P517" s="12">
        <v>130312</v>
      </c>
      <c r="Q517" s="12">
        <v>114560</v>
      </c>
      <c r="R517" s="12">
        <v>15752</v>
      </c>
      <c r="S517" t="s">
        <v>1249</v>
      </c>
      <c r="T517" t="s">
        <v>111</v>
      </c>
      <c r="U517" t="s">
        <v>1194</v>
      </c>
    </row>
    <row r="518" spans="1:21" x14ac:dyDescent="0.25">
      <c r="A518" t="s">
        <v>2146</v>
      </c>
      <c r="B518" s="8">
        <v>45809</v>
      </c>
      <c r="C518" t="s">
        <v>1259</v>
      </c>
      <c r="D518" t="s">
        <v>1156</v>
      </c>
      <c r="E518" t="s">
        <v>198</v>
      </c>
      <c r="F518">
        <v>50</v>
      </c>
      <c r="G518" t="s">
        <v>14</v>
      </c>
      <c r="H518" t="s">
        <v>15</v>
      </c>
      <c r="I518" t="s">
        <v>61</v>
      </c>
      <c r="J518" t="s">
        <v>146</v>
      </c>
      <c r="K518" t="s">
        <v>64</v>
      </c>
      <c r="L518">
        <v>3</v>
      </c>
      <c r="M518" s="12">
        <v>250</v>
      </c>
      <c r="N518" s="12">
        <v>155</v>
      </c>
      <c r="O518">
        <v>9</v>
      </c>
      <c r="P518" s="12">
        <v>682.5</v>
      </c>
      <c r="Q518" s="12">
        <v>465</v>
      </c>
      <c r="R518" s="12">
        <v>217.5</v>
      </c>
      <c r="S518" t="s">
        <v>1246</v>
      </c>
      <c r="T518" t="s">
        <v>107</v>
      </c>
      <c r="U518" t="s">
        <v>1203</v>
      </c>
    </row>
    <row r="519" spans="1:21" x14ac:dyDescent="0.25">
      <c r="A519" t="s">
        <v>2148</v>
      </c>
      <c r="B519" s="8">
        <v>45833</v>
      </c>
      <c r="C519" t="s">
        <v>2197</v>
      </c>
      <c r="D519" t="s">
        <v>500</v>
      </c>
      <c r="E519" t="s">
        <v>198</v>
      </c>
      <c r="F519">
        <v>39</v>
      </c>
      <c r="G519" t="s">
        <v>290</v>
      </c>
      <c r="H519" t="s">
        <v>3</v>
      </c>
      <c r="I519" t="s">
        <v>40</v>
      </c>
      <c r="J519" t="s">
        <v>39</v>
      </c>
      <c r="K519" t="s">
        <v>22</v>
      </c>
      <c r="L519">
        <v>1</v>
      </c>
      <c r="M519" s="12">
        <v>1100</v>
      </c>
      <c r="N519" s="12">
        <v>715</v>
      </c>
      <c r="O519">
        <v>6</v>
      </c>
      <c r="P519" s="12">
        <v>1034</v>
      </c>
      <c r="Q519" s="12">
        <v>715</v>
      </c>
      <c r="R519" s="12">
        <v>319</v>
      </c>
      <c r="S519" t="s">
        <v>1246</v>
      </c>
      <c r="T519" t="s">
        <v>111</v>
      </c>
      <c r="U519" t="s">
        <v>1194</v>
      </c>
    </row>
    <row r="520" spans="1:21" x14ac:dyDescent="0.25">
      <c r="A520" t="s">
        <v>2150</v>
      </c>
      <c r="B520" s="8">
        <v>45947</v>
      </c>
      <c r="C520" t="s">
        <v>2607</v>
      </c>
      <c r="D520" t="s">
        <v>1074</v>
      </c>
      <c r="E520" t="s">
        <v>218</v>
      </c>
      <c r="F520">
        <v>58</v>
      </c>
      <c r="G520" t="s">
        <v>9</v>
      </c>
      <c r="H520" t="s">
        <v>8</v>
      </c>
      <c r="I520" t="s">
        <v>34</v>
      </c>
      <c r="J520" t="s">
        <v>137</v>
      </c>
      <c r="K520" t="s">
        <v>22</v>
      </c>
      <c r="L520">
        <v>3</v>
      </c>
      <c r="M520" s="12">
        <v>6900</v>
      </c>
      <c r="N520" s="12">
        <v>5727</v>
      </c>
      <c r="O520">
        <v>3</v>
      </c>
      <c r="P520" s="12">
        <v>20079</v>
      </c>
      <c r="Q520" s="12">
        <v>17181</v>
      </c>
      <c r="R520" s="12">
        <v>2898</v>
      </c>
      <c r="S520" t="s">
        <v>1246</v>
      </c>
      <c r="T520" t="s">
        <v>108</v>
      </c>
      <c r="U520" t="s">
        <v>1211</v>
      </c>
    </row>
    <row r="521" spans="1:21" x14ac:dyDescent="0.25">
      <c r="A521" t="s">
        <v>2151</v>
      </c>
      <c r="B521" s="8">
        <v>45826</v>
      </c>
      <c r="C521" t="s">
        <v>2617</v>
      </c>
      <c r="D521" t="s">
        <v>770</v>
      </c>
      <c r="E521" t="s">
        <v>218</v>
      </c>
      <c r="F521">
        <v>44</v>
      </c>
      <c r="G521" t="s">
        <v>2</v>
      </c>
      <c r="H521" t="s">
        <v>3</v>
      </c>
      <c r="I521" t="s">
        <v>21</v>
      </c>
      <c r="J521" t="s">
        <v>23</v>
      </c>
      <c r="K521" t="s">
        <v>22</v>
      </c>
      <c r="L521">
        <v>3</v>
      </c>
      <c r="M521" s="12">
        <v>54999</v>
      </c>
      <c r="N521" s="12">
        <v>45099.18</v>
      </c>
      <c r="O521">
        <v>8</v>
      </c>
      <c r="P521" s="12">
        <v>151797.24000000002</v>
      </c>
      <c r="Q521" s="12">
        <v>135297.54</v>
      </c>
      <c r="R521" s="12">
        <v>16499.700000000012</v>
      </c>
      <c r="S521" t="s">
        <v>1246</v>
      </c>
      <c r="T521" t="s">
        <v>110</v>
      </c>
      <c r="U521" t="s">
        <v>1209</v>
      </c>
    </row>
    <row r="522" spans="1:21" x14ac:dyDescent="0.25">
      <c r="A522" t="s">
        <v>2153</v>
      </c>
      <c r="B522" s="8">
        <v>45785</v>
      </c>
      <c r="C522" t="s">
        <v>1351</v>
      </c>
      <c r="D522" t="s">
        <v>726</v>
      </c>
      <c r="E522" t="s">
        <v>198</v>
      </c>
      <c r="F522">
        <v>54</v>
      </c>
      <c r="G522" t="s">
        <v>2</v>
      </c>
      <c r="H522" t="s">
        <v>3</v>
      </c>
      <c r="I522" t="s">
        <v>32</v>
      </c>
      <c r="J522" t="s">
        <v>29</v>
      </c>
      <c r="K522" t="s">
        <v>22</v>
      </c>
      <c r="L522">
        <v>1</v>
      </c>
      <c r="M522" s="12">
        <v>9500</v>
      </c>
      <c r="N522" s="12">
        <v>6650</v>
      </c>
      <c r="O522">
        <v>5</v>
      </c>
      <c r="P522" s="12">
        <v>9025</v>
      </c>
      <c r="Q522" s="12">
        <v>6650</v>
      </c>
      <c r="R522" s="12">
        <v>2375</v>
      </c>
      <c r="S522" t="s">
        <v>1246</v>
      </c>
      <c r="T522" t="s">
        <v>109</v>
      </c>
      <c r="U522" t="s">
        <v>1207</v>
      </c>
    </row>
    <row r="523" spans="1:21" x14ac:dyDescent="0.25">
      <c r="A523" t="s">
        <v>2155</v>
      </c>
      <c r="B523" s="8">
        <v>45712</v>
      </c>
      <c r="C523" t="s">
        <v>4367</v>
      </c>
      <c r="D523" t="s">
        <v>430</v>
      </c>
      <c r="E523" t="s">
        <v>218</v>
      </c>
      <c r="F523">
        <v>49</v>
      </c>
      <c r="G523" t="s">
        <v>290</v>
      </c>
      <c r="H523" t="s">
        <v>3</v>
      </c>
      <c r="I523" t="s">
        <v>28</v>
      </c>
      <c r="J523" t="s">
        <v>35</v>
      </c>
      <c r="K523" t="s">
        <v>22</v>
      </c>
      <c r="L523">
        <v>3</v>
      </c>
      <c r="M523" s="12">
        <v>16499</v>
      </c>
      <c r="N523" s="12">
        <v>14519.12</v>
      </c>
      <c r="O523">
        <v>5</v>
      </c>
      <c r="P523" s="12">
        <v>47022.149999999994</v>
      </c>
      <c r="Q523" s="12">
        <v>43557.36</v>
      </c>
      <c r="R523" s="12">
        <v>3464.7899999999936</v>
      </c>
      <c r="S523" t="s">
        <v>1246</v>
      </c>
      <c r="T523" t="s">
        <v>108</v>
      </c>
      <c r="U523" t="s">
        <v>1209</v>
      </c>
    </row>
    <row r="524" spans="1:21" x14ac:dyDescent="0.25">
      <c r="A524" t="s">
        <v>2157</v>
      </c>
      <c r="B524" s="8">
        <v>45992</v>
      </c>
      <c r="C524" t="s">
        <v>3580</v>
      </c>
      <c r="D524" t="s">
        <v>859</v>
      </c>
      <c r="E524" t="s">
        <v>218</v>
      </c>
      <c r="F524">
        <v>61</v>
      </c>
      <c r="G524" t="s">
        <v>11</v>
      </c>
      <c r="H524" t="s">
        <v>12</v>
      </c>
      <c r="I524" t="s">
        <v>47</v>
      </c>
      <c r="J524" t="s">
        <v>52</v>
      </c>
      <c r="K524" t="s">
        <v>43</v>
      </c>
      <c r="L524">
        <v>2</v>
      </c>
      <c r="M524" s="12">
        <v>42999</v>
      </c>
      <c r="N524" s="12">
        <v>33539.22</v>
      </c>
      <c r="O524">
        <v>14</v>
      </c>
      <c r="P524" s="12">
        <v>73958.28</v>
      </c>
      <c r="Q524" s="12">
        <v>67078.44</v>
      </c>
      <c r="R524" s="12">
        <v>6879.8399999999965</v>
      </c>
      <c r="S524" t="s">
        <v>1246</v>
      </c>
      <c r="T524" t="s">
        <v>108</v>
      </c>
      <c r="U524" t="s">
        <v>1194</v>
      </c>
    </row>
    <row r="525" spans="1:21" x14ac:dyDescent="0.25">
      <c r="A525" t="s">
        <v>2159</v>
      </c>
      <c r="B525" s="8">
        <v>45694</v>
      </c>
      <c r="C525" t="s">
        <v>2383</v>
      </c>
      <c r="D525" t="s">
        <v>1162</v>
      </c>
      <c r="E525" t="s">
        <v>218</v>
      </c>
      <c r="F525">
        <v>50</v>
      </c>
      <c r="G525" t="s">
        <v>4</v>
      </c>
      <c r="H525" t="s">
        <v>3</v>
      </c>
      <c r="I525" t="s">
        <v>28</v>
      </c>
      <c r="J525" t="s">
        <v>35</v>
      </c>
      <c r="K525" t="s">
        <v>22</v>
      </c>
      <c r="L525">
        <v>3</v>
      </c>
      <c r="M525" s="12">
        <v>16499</v>
      </c>
      <c r="N525" s="12">
        <v>14519.12</v>
      </c>
      <c r="O525">
        <v>8</v>
      </c>
      <c r="P525" s="12">
        <v>45537.240000000005</v>
      </c>
      <c r="Q525" s="12">
        <v>43557.36</v>
      </c>
      <c r="R525" s="12">
        <v>1979.8800000000047</v>
      </c>
      <c r="S525" t="s">
        <v>113</v>
      </c>
      <c r="T525" t="s">
        <v>108</v>
      </c>
      <c r="U525" t="s">
        <v>1207</v>
      </c>
    </row>
    <row r="526" spans="1:21" x14ac:dyDescent="0.25">
      <c r="A526" t="s">
        <v>2161</v>
      </c>
      <c r="B526" s="8">
        <v>45690</v>
      </c>
      <c r="C526" t="s">
        <v>4051</v>
      </c>
      <c r="D526" t="s">
        <v>768</v>
      </c>
      <c r="E526" t="s">
        <v>198</v>
      </c>
      <c r="F526">
        <v>36</v>
      </c>
      <c r="G526" t="s">
        <v>289</v>
      </c>
      <c r="H526" t="s">
        <v>3</v>
      </c>
      <c r="I526" t="s">
        <v>47</v>
      </c>
      <c r="J526" t="s">
        <v>52</v>
      </c>
      <c r="K526" t="s">
        <v>43</v>
      </c>
      <c r="L526">
        <v>4</v>
      </c>
      <c r="M526" s="12">
        <v>42999</v>
      </c>
      <c r="N526" s="12">
        <v>33539.22</v>
      </c>
      <c r="O526">
        <v>8</v>
      </c>
      <c r="P526" s="12">
        <v>158236.32</v>
      </c>
      <c r="Q526" s="12">
        <v>134156.88</v>
      </c>
      <c r="R526" s="12">
        <v>24079.440000000002</v>
      </c>
      <c r="S526" t="s">
        <v>1246</v>
      </c>
      <c r="T526" t="s">
        <v>108</v>
      </c>
      <c r="U526" t="s">
        <v>1201</v>
      </c>
    </row>
    <row r="527" spans="1:21" x14ac:dyDescent="0.25">
      <c r="A527" t="s">
        <v>2162</v>
      </c>
      <c r="B527" s="8">
        <v>45935</v>
      </c>
      <c r="C527" t="s">
        <v>1257</v>
      </c>
      <c r="D527" t="s">
        <v>998</v>
      </c>
      <c r="E527" t="s">
        <v>198</v>
      </c>
      <c r="F527">
        <v>50</v>
      </c>
      <c r="G527" t="s">
        <v>17</v>
      </c>
      <c r="H527" t="s">
        <v>15</v>
      </c>
      <c r="I527" t="s">
        <v>24</v>
      </c>
      <c r="J527" t="s">
        <v>25</v>
      </c>
      <c r="K527" t="s">
        <v>22</v>
      </c>
      <c r="L527">
        <v>1</v>
      </c>
      <c r="M527" s="12">
        <v>35800</v>
      </c>
      <c r="N527" s="12">
        <v>28640</v>
      </c>
      <c r="O527">
        <v>8</v>
      </c>
      <c r="P527" s="12">
        <v>32936</v>
      </c>
      <c r="Q527" s="12">
        <v>28640</v>
      </c>
      <c r="R527" s="12">
        <v>4296</v>
      </c>
      <c r="S527" t="s">
        <v>113</v>
      </c>
      <c r="T527" t="s">
        <v>108</v>
      </c>
      <c r="U527" t="s">
        <v>1196</v>
      </c>
    </row>
    <row r="528" spans="1:21" x14ac:dyDescent="0.25">
      <c r="A528" t="s">
        <v>2164</v>
      </c>
      <c r="B528" s="8">
        <v>45915</v>
      </c>
      <c r="C528" t="s">
        <v>1986</v>
      </c>
      <c r="D528" t="s">
        <v>593</v>
      </c>
      <c r="E528" t="s">
        <v>218</v>
      </c>
      <c r="F528">
        <v>58</v>
      </c>
      <c r="G528" t="s">
        <v>11</v>
      </c>
      <c r="H528" t="s">
        <v>12</v>
      </c>
      <c r="I528" t="s">
        <v>57</v>
      </c>
      <c r="J528" t="s">
        <v>67</v>
      </c>
      <c r="K528" t="s">
        <v>64</v>
      </c>
      <c r="L528">
        <v>5</v>
      </c>
      <c r="M528" s="12">
        <v>150</v>
      </c>
      <c r="N528" s="12">
        <v>97.5</v>
      </c>
      <c r="O528">
        <v>2</v>
      </c>
      <c r="P528" s="12">
        <v>735</v>
      </c>
      <c r="Q528" s="12">
        <v>487.5</v>
      </c>
      <c r="R528" s="12">
        <v>247.5</v>
      </c>
      <c r="S528" t="s">
        <v>1246</v>
      </c>
      <c r="T528" t="s">
        <v>110</v>
      </c>
      <c r="U528" t="s">
        <v>1207</v>
      </c>
    </row>
    <row r="529" spans="1:21" x14ac:dyDescent="0.25">
      <c r="A529" t="s">
        <v>2166</v>
      </c>
      <c r="B529" s="8">
        <v>45713</v>
      </c>
      <c r="C529" t="s">
        <v>1699</v>
      </c>
      <c r="D529" t="s">
        <v>608</v>
      </c>
      <c r="E529" t="s">
        <v>198</v>
      </c>
      <c r="F529">
        <v>37</v>
      </c>
      <c r="G529" t="s">
        <v>2</v>
      </c>
      <c r="H529" t="s">
        <v>3</v>
      </c>
      <c r="I529" t="s">
        <v>55</v>
      </c>
      <c r="J529" t="s">
        <v>65</v>
      </c>
      <c r="K529" t="s">
        <v>64</v>
      </c>
      <c r="L529">
        <v>1</v>
      </c>
      <c r="M529" s="12">
        <v>80</v>
      </c>
      <c r="N529" s="12">
        <v>56</v>
      </c>
      <c r="O529">
        <v>5</v>
      </c>
      <c r="P529" s="12">
        <v>76</v>
      </c>
      <c r="Q529" s="12">
        <v>56</v>
      </c>
      <c r="R529" s="12">
        <v>20</v>
      </c>
      <c r="S529" t="s">
        <v>1246</v>
      </c>
      <c r="T529" t="s">
        <v>109</v>
      </c>
      <c r="U529" t="s">
        <v>1194</v>
      </c>
    </row>
    <row r="530" spans="1:21" x14ac:dyDescent="0.25">
      <c r="A530" t="s">
        <v>2168</v>
      </c>
      <c r="B530" s="8">
        <v>45878</v>
      </c>
      <c r="C530" t="s">
        <v>2135</v>
      </c>
      <c r="D530" t="s">
        <v>434</v>
      </c>
      <c r="E530" t="s">
        <v>198</v>
      </c>
      <c r="F530">
        <v>44</v>
      </c>
      <c r="G530" t="s">
        <v>10</v>
      </c>
      <c r="H530" t="s">
        <v>8</v>
      </c>
      <c r="I530" t="s">
        <v>51</v>
      </c>
      <c r="J530" t="s">
        <v>54</v>
      </c>
      <c r="K530" t="s">
        <v>43</v>
      </c>
      <c r="L530">
        <v>3</v>
      </c>
      <c r="M530" s="12">
        <v>27499</v>
      </c>
      <c r="N530" s="12">
        <v>21724.210000000003</v>
      </c>
      <c r="O530">
        <v>5</v>
      </c>
      <c r="P530" s="12">
        <v>78372.149999999994</v>
      </c>
      <c r="Q530" s="12">
        <v>65172.630000000005</v>
      </c>
      <c r="R530" s="12">
        <v>13199.51999999999</v>
      </c>
      <c r="S530" t="s">
        <v>113</v>
      </c>
      <c r="T530" t="s">
        <v>109</v>
      </c>
      <c r="U530" t="s">
        <v>1199</v>
      </c>
    </row>
    <row r="531" spans="1:21" x14ac:dyDescent="0.25">
      <c r="A531" t="s">
        <v>2170</v>
      </c>
      <c r="B531" s="8">
        <v>45922</v>
      </c>
      <c r="C531" t="s">
        <v>1644</v>
      </c>
      <c r="D531" t="s">
        <v>1164</v>
      </c>
      <c r="E531" t="s">
        <v>218</v>
      </c>
      <c r="F531">
        <v>58</v>
      </c>
      <c r="G531" t="s">
        <v>2</v>
      </c>
      <c r="H531" t="s">
        <v>3</v>
      </c>
      <c r="I531" t="s">
        <v>59</v>
      </c>
      <c r="J531" t="s">
        <v>73</v>
      </c>
      <c r="K531" t="s">
        <v>64</v>
      </c>
      <c r="L531">
        <v>2</v>
      </c>
      <c r="M531" s="12">
        <v>120</v>
      </c>
      <c r="N531" s="12">
        <v>81.599999999999994</v>
      </c>
      <c r="O531">
        <v>3</v>
      </c>
      <c r="P531" s="12">
        <v>232.79999999999998</v>
      </c>
      <c r="Q531" s="12">
        <v>163.19999999999999</v>
      </c>
      <c r="R531" s="12">
        <v>69.599999999999994</v>
      </c>
      <c r="S531" t="s">
        <v>1246</v>
      </c>
      <c r="T531" t="s">
        <v>107</v>
      </c>
      <c r="U531" t="s">
        <v>1201</v>
      </c>
    </row>
    <row r="532" spans="1:21" x14ac:dyDescent="0.25">
      <c r="A532" t="s">
        <v>2172</v>
      </c>
      <c r="B532" s="8">
        <v>45870</v>
      </c>
      <c r="C532" t="s">
        <v>2750</v>
      </c>
      <c r="D532" t="s">
        <v>622</v>
      </c>
      <c r="E532" t="s">
        <v>218</v>
      </c>
      <c r="F532">
        <v>29</v>
      </c>
      <c r="G532" t="s">
        <v>16</v>
      </c>
      <c r="H532" t="s">
        <v>15</v>
      </c>
      <c r="I532" t="s">
        <v>21</v>
      </c>
      <c r="J532" t="s">
        <v>23</v>
      </c>
      <c r="K532" t="s">
        <v>22</v>
      </c>
      <c r="L532">
        <v>4</v>
      </c>
      <c r="M532" s="12">
        <v>54999</v>
      </c>
      <c r="N532" s="12">
        <v>45099.18</v>
      </c>
      <c r="O532">
        <v>4</v>
      </c>
      <c r="P532" s="12">
        <v>211196.16</v>
      </c>
      <c r="Q532" s="12">
        <v>180396.72</v>
      </c>
      <c r="R532" s="12">
        <v>30799.440000000002</v>
      </c>
      <c r="S532" t="s">
        <v>113</v>
      </c>
      <c r="T532" t="s">
        <v>108</v>
      </c>
      <c r="U532" t="s">
        <v>1199</v>
      </c>
    </row>
    <row r="533" spans="1:21" x14ac:dyDescent="0.25">
      <c r="A533" t="s">
        <v>2174</v>
      </c>
      <c r="B533" s="8">
        <v>45740</v>
      </c>
      <c r="C533" t="s">
        <v>3580</v>
      </c>
      <c r="D533" t="s">
        <v>859</v>
      </c>
      <c r="E533" t="s">
        <v>218</v>
      </c>
      <c r="F533">
        <v>61</v>
      </c>
      <c r="G533" t="s">
        <v>11</v>
      </c>
      <c r="H533" t="s">
        <v>12</v>
      </c>
      <c r="I533" t="s">
        <v>49</v>
      </c>
      <c r="J533" t="s">
        <v>56</v>
      </c>
      <c r="K533" t="s">
        <v>43</v>
      </c>
      <c r="L533">
        <v>5</v>
      </c>
      <c r="M533" s="12">
        <v>31999</v>
      </c>
      <c r="N533" s="12">
        <v>25599.200000000001</v>
      </c>
      <c r="O533">
        <v>9</v>
      </c>
      <c r="P533" s="12">
        <v>145595.45000000001</v>
      </c>
      <c r="Q533" s="12">
        <v>127996</v>
      </c>
      <c r="R533" s="12">
        <v>17599.450000000012</v>
      </c>
      <c r="S533" t="s">
        <v>1246</v>
      </c>
      <c r="T533" t="s">
        <v>109</v>
      </c>
      <c r="U533" t="s">
        <v>1199</v>
      </c>
    </row>
    <row r="534" spans="1:21" x14ac:dyDescent="0.25">
      <c r="A534" t="s">
        <v>2176</v>
      </c>
      <c r="B534" s="8">
        <v>45777</v>
      </c>
      <c r="C534" t="s">
        <v>1587</v>
      </c>
      <c r="D534" t="s">
        <v>526</v>
      </c>
      <c r="E534" t="s">
        <v>198</v>
      </c>
      <c r="F534">
        <v>48</v>
      </c>
      <c r="G534" t="s">
        <v>14</v>
      </c>
      <c r="H534" t="s">
        <v>15</v>
      </c>
      <c r="I534" t="s">
        <v>24</v>
      </c>
      <c r="J534" t="s">
        <v>25</v>
      </c>
      <c r="K534" t="s">
        <v>22</v>
      </c>
      <c r="L534">
        <v>1</v>
      </c>
      <c r="M534" s="12">
        <v>35800</v>
      </c>
      <c r="N534" s="12">
        <v>28640</v>
      </c>
      <c r="O534">
        <v>6</v>
      </c>
      <c r="P534" s="12">
        <v>33652</v>
      </c>
      <c r="Q534" s="12">
        <v>28640</v>
      </c>
      <c r="R534" s="12">
        <v>5012</v>
      </c>
      <c r="S534" t="s">
        <v>113</v>
      </c>
      <c r="T534" t="s">
        <v>108</v>
      </c>
      <c r="U534" t="s">
        <v>1203</v>
      </c>
    </row>
    <row r="535" spans="1:21" x14ac:dyDescent="0.25">
      <c r="A535" t="s">
        <v>2177</v>
      </c>
      <c r="B535" s="8">
        <v>45761</v>
      </c>
      <c r="C535" t="s">
        <v>1446</v>
      </c>
      <c r="D535" t="s">
        <v>782</v>
      </c>
      <c r="E535" t="s">
        <v>198</v>
      </c>
      <c r="F535">
        <v>34</v>
      </c>
      <c r="G535" t="s">
        <v>11</v>
      </c>
      <c r="H535" t="s">
        <v>12</v>
      </c>
      <c r="I535" t="s">
        <v>34</v>
      </c>
      <c r="J535" t="s">
        <v>137</v>
      </c>
      <c r="K535" t="s">
        <v>22</v>
      </c>
      <c r="L535">
        <v>5</v>
      </c>
      <c r="M535" s="12">
        <v>6900</v>
      </c>
      <c r="N535" s="12">
        <v>5727</v>
      </c>
      <c r="O535">
        <v>8</v>
      </c>
      <c r="P535" s="12">
        <v>31740</v>
      </c>
      <c r="Q535" s="12">
        <v>28635</v>
      </c>
      <c r="R535" s="12">
        <v>3105</v>
      </c>
      <c r="S535" t="s">
        <v>1246</v>
      </c>
      <c r="T535" t="s">
        <v>109</v>
      </c>
      <c r="U535" t="s">
        <v>1203</v>
      </c>
    </row>
    <row r="536" spans="1:21" x14ac:dyDescent="0.25">
      <c r="A536" t="s">
        <v>2179</v>
      </c>
      <c r="B536" s="8">
        <v>45848</v>
      </c>
      <c r="C536" t="s">
        <v>1320</v>
      </c>
      <c r="D536" t="s">
        <v>817</v>
      </c>
      <c r="E536" t="s">
        <v>218</v>
      </c>
      <c r="F536">
        <v>51</v>
      </c>
      <c r="G536" t="s">
        <v>10</v>
      </c>
      <c r="H536" t="s">
        <v>8</v>
      </c>
      <c r="I536" t="s">
        <v>21</v>
      </c>
      <c r="J536" t="s">
        <v>23</v>
      </c>
      <c r="K536" t="s">
        <v>22</v>
      </c>
      <c r="L536">
        <v>4</v>
      </c>
      <c r="M536" s="12">
        <v>54999</v>
      </c>
      <c r="N536" s="12">
        <v>45099.18</v>
      </c>
      <c r="O536">
        <v>6</v>
      </c>
      <c r="P536" s="12">
        <v>206796.24</v>
      </c>
      <c r="Q536" s="12">
        <v>180396.72</v>
      </c>
      <c r="R536" s="12">
        <v>26399.51999999999</v>
      </c>
      <c r="S536" t="s">
        <v>1246</v>
      </c>
      <c r="T536" t="s">
        <v>107</v>
      </c>
      <c r="U536" t="s">
        <v>1209</v>
      </c>
    </row>
    <row r="537" spans="1:21" x14ac:dyDescent="0.25">
      <c r="A537" t="s">
        <v>2181</v>
      </c>
      <c r="B537" s="8">
        <v>45811</v>
      </c>
      <c r="C537" t="s">
        <v>2898</v>
      </c>
      <c r="D537" t="s">
        <v>1009</v>
      </c>
      <c r="E537" t="s">
        <v>198</v>
      </c>
      <c r="F537">
        <v>44</v>
      </c>
      <c r="G537" t="s">
        <v>14</v>
      </c>
      <c r="H537" t="s">
        <v>15</v>
      </c>
      <c r="I537" t="s">
        <v>28</v>
      </c>
      <c r="J537" t="s">
        <v>35</v>
      </c>
      <c r="K537" t="s">
        <v>22</v>
      </c>
      <c r="L537">
        <v>5</v>
      </c>
      <c r="M537" s="12">
        <v>16499</v>
      </c>
      <c r="N537" s="12">
        <v>14519.12</v>
      </c>
      <c r="O537">
        <v>8</v>
      </c>
      <c r="P537" s="12">
        <v>75895.400000000009</v>
      </c>
      <c r="Q537" s="12">
        <v>72595.600000000006</v>
      </c>
      <c r="R537" s="12">
        <v>3299.8000000000029</v>
      </c>
      <c r="S537" t="s">
        <v>1246</v>
      </c>
      <c r="T537" t="s">
        <v>107</v>
      </c>
      <c r="U537" t="s">
        <v>1207</v>
      </c>
    </row>
    <row r="538" spans="1:21" x14ac:dyDescent="0.25">
      <c r="A538" t="s">
        <v>2182</v>
      </c>
      <c r="B538" s="8">
        <v>46015</v>
      </c>
      <c r="C538" t="s">
        <v>2682</v>
      </c>
      <c r="D538" t="s">
        <v>375</v>
      </c>
      <c r="E538" t="s">
        <v>198</v>
      </c>
      <c r="F538">
        <v>55</v>
      </c>
      <c r="G538" t="s">
        <v>5</v>
      </c>
      <c r="H538" t="s">
        <v>3</v>
      </c>
      <c r="I538" t="s">
        <v>61</v>
      </c>
      <c r="J538" t="s">
        <v>146</v>
      </c>
      <c r="K538" t="s">
        <v>64</v>
      </c>
      <c r="L538">
        <v>2</v>
      </c>
      <c r="M538" s="12">
        <v>250</v>
      </c>
      <c r="N538" s="12">
        <v>155</v>
      </c>
      <c r="O538">
        <v>6</v>
      </c>
      <c r="P538" s="12">
        <v>470</v>
      </c>
      <c r="Q538" s="12">
        <v>310</v>
      </c>
      <c r="R538" s="12">
        <v>160</v>
      </c>
      <c r="S538" t="s">
        <v>1246</v>
      </c>
      <c r="T538" t="s">
        <v>110</v>
      </c>
      <c r="U538" t="s">
        <v>1199</v>
      </c>
    </row>
    <row r="539" spans="1:21" x14ac:dyDescent="0.25">
      <c r="A539" t="s">
        <v>2183</v>
      </c>
      <c r="B539" s="8">
        <v>45862</v>
      </c>
      <c r="C539" t="s">
        <v>2369</v>
      </c>
      <c r="D539" t="s">
        <v>816</v>
      </c>
      <c r="E539" t="s">
        <v>218</v>
      </c>
      <c r="F539">
        <v>30</v>
      </c>
      <c r="G539" t="s">
        <v>2</v>
      </c>
      <c r="H539" t="s">
        <v>3</v>
      </c>
      <c r="I539" t="s">
        <v>32</v>
      </c>
      <c r="J539" t="s">
        <v>29</v>
      </c>
      <c r="K539" t="s">
        <v>22</v>
      </c>
      <c r="L539">
        <v>2</v>
      </c>
      <c r="M539" s="12">
        <v>9500</v>
      </c>
      <c r="N539" s="12">
        <v>6650</v>
      </c>
      <c r="O539">
        <v>8</v>
      </c>
      <c r="P539" s="12">
        <v>17480</v>
      </c>
      <c r="Q539" s="12">
        <v>13300</v>
      </c>
      <c r="R539" s="12">
        <v>4180</v>
      </c>
      <c r="S539" t="s">
        <v>113</v>
      </c>
      <c r="T539" t="s">
        <v>107</v>
      </c>
      <c r="U539" t="s">
        <v>1196</v>
      </c>
    </row>
    <row r="540" spans="1:21" x14ac:dyDescent="0.25">
      <c r="A540" t="s">
        <v>2184</v>
      </c>
      <c r="B540" s="8">
        <v>45956</v>
      </c>
      <c r="C540" t="s">
        <v>1673</v>
      </c>
      <c r="D540" t="s">
        <v>1064</v>
      </c>
      <c r="E540" t="s">
        <v>198</v>
      </c>
      <c r="F540">
        <v>51</v>
      </c>
      <c r="G540" t="s">
        <v>17</v>
      </c>
      <c r="H540" t="s">
        <v>15</v>
      </c>
      <c r="I540" t="s">
        <v>38</v>
      </c>
      <c r="J540" t="s">
        <v>37</v>
      </c>
      <c r="K540" t="s">
        <v>22</v>
      </c>
      <c r="L540">
        <v>3</v>
      </c>
      <c r="M540" s="12">
        <v>1650</v>
      </c>
      <c r="N540" s="12">
        <v>990</v>
      </c>
      <c r="O540">
        <v>3</v>
      </c>
      <c r="P540" s="12">
        <v>4801.5</v>
      </c>
      <c r="Q540" s="12">
        <v>2970</v>
      </c>
      <c r="R540" s="12">
        <v>1831.5</v>
      </c>
      <c r="S540" t="s">
        <v>113</v>
      </c>
      <c r="T540" t="s">
        <v>108</v>
      </c>
      <c r="U540" t="s">
        <v>1201</v>
      </c>
    </row>
    <row r="541" spans="1:21" x14ac:dyDescent="0.25">
      <c r="A541" t="s">
        <v>2185</v>
      </c>
      <c r="B541" s="8">
        <v>45669</v>
      </c>
      <c r="C541" t="s">
        <v>3640</v>
      </c>
      <c r="D541" t="s">
        <v>742</v>
      </c>
      <c r="E541" t="s">
        <v>218</v>
      </c>
      <c r="F541">
        <v>63</v>
      </c>
      <c r="G541" t="s">
        <v>4</v>
      </c>
      <c r="H541" t="s">
        <v>3</v>
      </c>
      <c r="I541" t="s">
        <v>63</v>
      </c>
      <c r="J541" t="s">
        <v>77</v>
      </c>
      <c r="K541" t="s">
        <v>64</v>
      </c>
      <c r="L541">
        <v>1</v>
      </c>
      <c r="M541" s="12">
        <v>650</v>
      </c>
      <c r="N541" s="12">
        <v>468</v>
      </c>
      <c r="O541">
        <v>15</v>
      </c>
      <c r="P541" s="12">
        <v>552.5</v>
      </c>
      <c r="Q541" s="12">
        <v>468</v>
      </c>
      <c r="R541" s="12">
        <v>84.5</v>
      </c>
      <c r="S541" t="s">
        <v>1246</v>
      </c>
      <c r="T541" t="s">
        <v>108</v>
      </c>
      <c r="U541" t="s">
        <v>1207</v>
      </c>
    </row>
    <row r="542" spans="1:21" x14ac:dyDescent="0.25">
      <c r="A542" t="s">
        <v>2187</v>
      </c>
      <c r="B542" s="8">
        <v>45676</v>
      </c>
      <c r="C542" t="s">
        <v>5001</v>
      </c>
      <c r="D542" t="s">
        <v>772</v>
      </c>
      <c r="E542" t="s">
        <v>198</v>
      </c>
      <c r="F542">
        <v>34</v>
      </c>
      <c r="G542" t="s">
        <v>2</v>
      </c>
      <c r="H542" t="s">
        <v>3</v>
      </c>
      <c r="I542" t="s">
        <v>42</v>
      </c>
      <c r="J542" t="s">
        <v>44</v>
      </c>
      <c r="K542" t="s">
        <v>43</v>
      </c>
      <c r="L542">
        <v>4</v>
      </c>
      <c r="M542" s="12">
        <v>8999</v>
      </c>
      <c r="N542" s="12">
        <v>6479.28</v>
      </c>
      <c r="O542">
        <v>4</v>
      </c>
      <c r="P542" s="12">
        <v>34556.159999999996</v>
      </c>
      <c r="Q542" s="12">
        <v>25917.119999999999</v>
      </c>
      <c r="R542" s="12">
        <v>8639.0399999999972</v>
      </c>
      <c r="S542" t="s">
        <v>113</v>
      </c>
      <c r="T542" t="s">
        <v>107</v>
      </c>
      <c r="U542" t="s">
        <v>1205</v>
      </c>
    </row>
    <row r="543" spans="1:21" x14ac:dyDescent="0.25">
      <c r="A543" t="s">
        <v>2189</v>
      </c>
      <c r="B543" s="8">
        <v>45882</v>
      </c>
      <c r="C543" t="s">
        <v>2221</v>
      </c>
      <c r="D543" t="s">
        <v>808</v>
      </c>
      <c r="E543" t="s">
        <v>218</v>
      </c>
      <c r="F543">
        <v>51</v>
      </c>
      <c r="G543" t="s">
        <v>2</v>
      </c>
      <c r="H543" t="s">
        <v>3</v>
      </c>
      <c r="I543" t="s">
        <v>38</v>
      </c>
      <c r="J543" t="s">
        <v>37</v>
      </c>
      <c r="K543" t="s">
        <v>22</v>
      </c>
      <c r="L543">
        <v>2</v>
      </c>
      <c r="M543" s="12">
        <v>1650</v>
      </c>
      <c r="N543" s="12">
        <v>990</v>
      </c>
      <c r="O543">
        <v>7</v>
      </c>
      <c r="P543" s="12">
        <v>3069</v>
      </c>
      <c r="Q543" s="12">
        <v>1980</v>
      </c>
      <c r="R543" s="12">
        <v>1089</v>
      </c>
      <c r="S543" t="s">
        <v>113</v>
      </c>
      <c r="T543" t="s">
        <v>108</v>
      </c>
      <c r="U543" t="s">
        <v>1198</v>
      </c>
    </row>
    <row r="544" spans="1:21" x14ac:dyDescent="0.25">
      <c r="A544" t="s">
        <v>2191</v>
      </c>
      <c r="B544" s="8">
        <v>45857</v>
      </c>
      <c r="C544" t="s">
        <v>2607</v>
      </c>
      <c r="D544" t="s">
        <v>1074</v>
      </c>
      <c r="E544" t="s">
        <v>218</v>
      </c>
      <c r="F544">
        <v>58</v>
      </c>
      <c r="G544" t="s">
        <v>9</v>
      </c>
      <c r="H544" t="s">
        <v>8</v>
      </c>
      <c r="I544" t="s">
        <v>30</v>
      </c>
      <c r="J544" t="s">
        <v>41</v>
      </c>
      <c r="K544" t="s">
        <v>22</v>
      </c>
      <c r="L544">
        <v>3</v>
      </c>
      <c r="M544" s="12">
        <v>13749</v>
      </c>
      <c r="N544" s="12">
        <v>10999.2</v>
      </c>
      <c r="O544">
        <v>8</v>
      </c>
      <c r="P544" s="12">
        <v>37947.240000000005</v>
      </c>
      <c r="Q544" s="12">
        <v>32997.600000000006</v>
      </c>
      <c r="R544" s="12">
        <v>4949.6399999999994</v>
      </c>
      <c r="S544" t="s">
        <v>113</v>
      </c>
      <c r="T544" t="s">
        <v>107</v>
      </c>
      <c r="U544" t="s">
        <v>1211</v>
      </c>
    </row>
    <row r="545" spans="1:21" x14ac:dyDescent="0.25">
      <c r="A545" t="s">
        <v>2192</v>
      </c>
      <c r="B545" s="8">
        <v>45952</v>
      </c>
      <c r="C545" t="s">
        <v>3463</v>
      </c>
      <c r="D545" t="s">
        <v>448</v>
      </c>
      <c r="E545" t="s">
        <v>198</v>
      </c>
      <c r="F545">
        <v>25</v>
      </c>
      <c r="G545" t="s">
        <v>2</v>
      </c>
      <c r="H545" t="s">
        <v>3</v>
      </c>
      <c r="I545" t="s">
        <v>38</v>
      </c>
      <c r="J545" t="s">
        <v>37</v>
      </c>
      <c r="K545" t="s">
        <v>22</v>
      </c>
      <c r="L545">
        <v>3</v>
      </c>
      <c r="M545" s="12">
        <v>1650</v>
      </c>
      <c r="N545" s="12">
        <v>990</v>
      </c>
      <c r="O545">
        <v>8</v>
      </c>
      <c r="P545" s="12">
        <v>4554</v>
      </c>
      <c r="Q545" s="12">
        <v>2970</v>
      </c>
      <c r="R545" s="12">
        <v>1584</v>
      </c>
      <c r="S545" t="s">
        <v>1246</v>
      </c>
      <c r="T545" t="s">
        <v>107</v>
      </c>
      <c r="U545" t="s">
        <v>1203</v>
      </c>
    </row>
    <row r="546" spans="1:21" x14ac:dyDescent="0.25">
      <c r="A546" t="s">
        <v>2193</v>
      </c>
      <c r="B546" s="8">
        <v>45739</v>
      </c>
      <c r="C546" t="s">
        <v>2163</v>
      </c>
      <c r="D546" t="s">
        <v>378</v>
      </c>
      <c r="E546" t="s">
        <v>198</v>
      </c>
      <c r="F546">
        <v>21</v>
      </c>
      <c r="G546" t="s">
        <v>17</v>
      </c>
      <c r="H546" t="s">
        <v>15</v>
      </c>
      <c r="I546" t="s">
        <v>28</v>
      </c>
      <c r="J546" t="s">
        <v>35</v>
      </c>
      <c r="K546" t="s">
        <v>22</v>
      </c>
      <c r="L546">
        <v>3</v>
      </c>
      <c r="M546" s="12">
        <v>16499</v>
      </c>
      <c r="N546" s="12">
        <v>14519.12</v>
      </c>
      <c r="O546">
        <v>8</v>
      </c>
      <c r="P546" s="12">
        <v>45537.240000000005</v>
      </c>
      <c r="Q546" s="12">
        <v>43557.36</v>
      </c>
      <c r="R546" s="12">
        <v>1979.8800000000047</v>
      </c>
      <c r="S546" t="s">
        <v>113</v>
      </c>
      <c r="T546" t="s">
        <v>108</v>
      </c>
      <c r="U546" t="s">
        <v>1203</v>
      </c>
    </row>
    <row r="547" spans="1:21" x14ac:dyDescent="0.25">
      <c r="A547" t="s">
        <v>2194</v>
      </c>
      <c r="B547" s="8">
        <v>45913</v>
      </c>
      <c r="C547" t="s">
        <v>1320</v>
      </c>
      <c r="D547" t="s">
        <v>817</v>
      </c>
      <c r="E547" t="s">
        <v>218</v>
      </c>
      <c r="F547">
        <v>51</v>
      </c>
      <c r="G547" t="s">
        <v>10</v>
      </c>
      <c r="H547" t="s">
        <v>8</v>
      </c>
      <c r="I547" t="s">
        <v>40</v>
      </c>
      <c r="J547" t="s">
        <v>39</v>
      </c>
      <c r="K547" t="s">
        <v>22</v>
      </c>
      <c r="L547">
        <v>1</v>
      </c>
      <c r="M547" s="12">
        <v>1100</v>
      </c>
      <c r="N547" s="12">
        <v>715</v>
      </c>
      <c r="O547">
        <v>7</v>
      </c>
      <c r="P547" s="12">
        <v>1022.9999999999999</v>
      </c>
      <c r="Q547" s="12">
        <v>715</v>
      </c>
      <c r="R547" s="12">
        <v>307.99999999999989</v>
      </c>
      <c r="S547" t="s">
        <v>1246</v>
      </c>
      <c r="T547" t="s">
        <v>108</v>
      </c>
      <c r="U547" t="s">
        <v>1203</v>
      </c>
    </row>
    <row r="548" spans="1:21" x14ac:dyDescent="0.25">
      <c r="A548" t="s">
        <v>2196</v>
      </c>
      <c r="B548" s="8">
        <v>45684</v>
      </c>
      <c r="C548" t="s">
        <v>1394</v>
      </c>
      <c r="D548" t="s">
        <v>1010</v>
      </c>
      <c r="E548" t="s">
        <v>218</v>
      </c>
      <c r="F548">
        <v>26</v>
      </c>
      <c r="G548" t="s">
        <v>17</v>
      </c>
      <c r="H548" t="s">
        <v>15</v>
      </c>
      <c r="I548" t="s">
        <v>34</v>
      </c>
      <c r="J548" t="s">
        <v>137</v>
      </c>
      <c r="K548" t="s">
        <v>22</v>
      </c>
      <c r="L548">
        <v>3</v>
      </c>
      <c r="M548" s="12">
        <v>6900</v>
      </c>
      <c r="N548" s="12">
        <v>5727</v>
      </c>
      <c r="O548">
        <v>5</v>
      </c>
      <c r="P548" s="12">
        <v>19665</v>
      </c>
      <c r="Q548" s="12">
        <v>17181</v>
      </c>
      <c r="R548" s="12">
        <v>2484</v>
      </c>
      <c r="S548" t="s">
        <v>1246</v>
      </c>
      <c r="T548" t="s">
        <v>110</v>
      </c>
      <c r="U548" t="s">
        <v>1209</v>
      </c>
    </row>
    <row r="549" spans="1:21" x14ac:dyDescent="0.25">
      <c r="A549" t="s">
        <v>2198</v>
      </c>
      <c r="B549" s="8">
        <v>45957</v>
      </c>
      <c r="C549" t="s">
        <v>3561</v>
      </c>
      <c r="D549" t="s">
        <v>721</v>
      </c>
      <c r="E549" t="s">
        <v>198</v>
      </c>
      <c r="F549">
        <v>43</v>
      </c>
      <c r="G549" t="s">
        <v>7</v>
      </c>
      <c r="H549" t="s">
        <v>8</v>
      </c>
      <c r="I549" t="s">
        <v>24</v>
      </c>
      <c r="J549" t="s">
        <v>25</v>
      </c>
      <c r="K549" t="s">
        <v>22</v>
      </c>
      <c r="L549">
        <v>4</v>
      </c>
      <c r="M549" s="12">
        <v>35800</v>
      </c>
      <c r="N549" s="12">
        <v>28640</v>
      </c>
      <c r="O549">
        <v>4</v>
      </c>
      <c r="P549" s="12">
        <v>137472</v>
      </c>
      <c r="Q549" s="12">
        <v>114560</v>
      </c>
      <c r="R549" s="12">
        <v>22912</v>
      </c>
      <c r="S549" t="s">
        <v>1249</v>
      </c>
      <c r="T549" t="s">
        <v>109</v>
      </c>
      <c r="U549" t="s">
        <v>1198</v>
      </c>
    </row>
    <row r="550" spans="1:21" x14ac:dyDescent="0.25">
      <c r="A550" t="s">
        <v>2200</v>
      </c>
      <c r="B550" s="8">
        <v>45968</v>
      </c>
      <c r="C550" t="s">
        <v>1714</v>
      </c>
      <c r="D550" t="s">
        <v>521</v>
      </c>
      <c r="E550" t="s">
        <v>218</v>
      </c>
      <c r="F550">
        <v>55</v>
      </c>
      <c r="G550" t="s">
        <v>5</v>
      </c>
      <c r="H550" t="s">
        <v>3</v>
      </c>
      <c r="I550" t="s">
        <v>38</v>
      </c>
      <c r="J550" t="s">
        <v>37</v>
      </c>
      <c r="K550" t="s">
        <v>22</v>
      </c>
      <c r="L550">
        <v>5</v>
      </c>
      <c r="M550" s="12">
        <v>1650</v>
      </c>
      <c r="N550" s="12">
        <v>990</v>
      </c>
      <c r="O550">
        <v>11</v>
      </c>
      <c r="P550" s="12">
        <v>7342.5</v>
      </c>
      <c r="Q550" s="12">
        <v>4950</v>
      </c>
      <c r="R550" s="12">
        <v>2392.5</v>
      </c>
      <c r="S550" t="s">
        <v>113</v>
      </c>
      <c r="T550" t="s">
        <v>107</v>
      </c>
      <c r="U550" t="s">
        <v>1196</v>
      </c>
    </row>
    <row r="551" spans="1:21" x14ac:dyDescent="0.25">
      <c r="A551" t="s">
        <v>2201</v>
      </c>
      <c r="B551" s="8">
        <v>45900</v>
      </c>
      <c r="C551" t="s">
        <v>1850</v>
      </c>
      <c r="D551" t="s">
        <v>918</v>
      </c>
      <c r="E551" t="s">
        <v>218</v>
      </c>
      <c r="F551">
        <v>44</v>
      </c>
      <c r="G551" t="s">
        <v>9</v>
      </c>
      <c r="H551" t="s">
        <v>8</v>
      </c>
      <c r="I551" t="s">
        <v>26</v>
      </c>
      <c r="J551" t="s">
        <v>27</v>
      </c>
      <c r="K551" t="s">
        <v>22</v>
      </c>
      <c r="L551">
        <v>2</v>
      </c>
      <c r="M551" s="12">
        <v>27499</v>
      </c>
      <c r="N551" s="12">
        <v>23374.149999999998</v>
      </c>
      <c r="O551">
        <v>5</v>
      </c>
      <c r="P551" s="12">
        <v>52248.1</v>
      </c>
      <c r="Q551" s="12">
        <v>46748.299999999996</v>
      </c>
      <c r="R551" s="12">
        <v>5499.8000000000029</v>
      </c>
      <c r="S551" t="s">
        <v>1246</v>
      </c>
      <c r="T551" t="s">
        <v>109</v>
      </c>
      <c r="U551" t="s">
        <v>1198</v>
      </c>
    </row>
    <row r="552" spans="1:21" x14ac:dyDescent="0.25">
      <c r="A552" t="s">
        <v>2203</v>
      </c>
      <c r="B552" s="8">
        <v>45932</v>
      </c>
      <c r="C552" t="s">
        <v>1903</v>
      </c>
      <c r="D552" t="s">
        <v>1167</v>
      </c>
      <c r="E552" t="s">
        <v>198</v>
      </c>
      <c r="F552">
        <v>21</v>
      </c>
      <c r="G552" t="s">
        <v>17</v>
      </c>
      <c r="H552" t="s">
        <v>15</v>
      </c>
      <c r="I552" t="s">
        <v>26</v>
      </c>
      <c r="J552" t="s">
        <v>27</v>
      </c>
      <c r="K552" t="s">
        <v>22</v>
      </c>
      <c r="L552">
        <v>2</v>
      </c>
      <c r="M552" s="12">
        <v>27499</v>
      </c>
      <c r="N552" s="12">
        <v>23374.149999999998</v>
      </c>
      <c r="O552">
        <v>7</v>
      </c>
      <c r="P552" s="12">
        <v>51148.14</v>
      </c>
      <c r="Q552" s="12">
        <v>46748.299999999996</v>
      </c>
      <c r="R552" s="12">
        <v>4399.8400000000038</v>
      </c>
      <c r="S552" t="s">
        <v>1246</v>
      </c>
      <c r="T552" t="s">
        <v>107</v>
      </c>
      <c r="U552" t="s">
        <v>1194</v>
      </c>
    </row>
    <row r="553" spans="1:21" x14ac:dyDescent="0.25">
      <c r="A553" t="s">
        <v>2205</v>
      </c>
      <c r="B553" s="8">
        <v>45839</v>
      </c>
      <c r="C553" t="s">
        <v>2838</v>
      </c>
      <c r="D553" t="s">
        <v>1060</v>
      </c>
      <c r="E553" t="s">
        <v>198</v>
      </c>
      <c r="F553">
        <v>55</v>
      </c>
      <c r="G553" t="s">
        <v>10</v>
      </c>
      <c r="H553" t="s">
        <v>8</v>
      </c>
      <c r="I553" t="s">
        <v>21</v>
      </c>
      <c r="J553" t="s">
        <v>23</v>
      </c>
      <c r="K553" t="s">
        <v>22</v>
      </c>
      <c r="L553">
        <v>5</v>
      </c>
      <c r="M553" s="12">
        <v>54999</v>
      </c>
      <c r="N553" s="12">
        <v>45099.18</v>
      </c>
      <c r="O553">
        <v>4</v>
      </c>
      <c r="P553" s="12">
        <v>263995.2</v>
      </c>
      <c r="Q553" s="12">
        <v>225495.9</v>
      </c>
      <c r="R553" s="12">
        <v>38499.300000000017</v>
      </c>
      <c r="S553" t="s">
        <v>113</v>
      </c>
      <c r="T553" t="s">
        <v>107</v>
      </c>
      <c r="U553" t="s">
        <v>1211</v>
      </c>
    </row>
    <row r="554" spans="1:21" x14ac:dyDescent="0.25">
      <c r="A554" t="s">
        <v>2207</v>
      </c>
      <c r="B554" s="8">
        <v>45839</v>
      </c>
      <c r="C554" t="s">
        <v>1383</v>
      </c>
      <c r="D554" t="s">
        <v>998</v>
      </c>
      <c r="E554" t="s">
        <v>198</v>
      </c>
      <c r="F554">
        <v>60</v>
      </c>
      <c r="G554" t="s">
        <v>9</v>
      </c>
      <c r="H554" t="s">
        <v>8</v>
      </c>
      <c r="I554" t="s">
        <v>63</v>
      </c>
      <c r="J554" t="s">
        <v>77</v>
      </c>
      <c r="K554" t="s">
        <v>64</v>
      </c>
      <c r="L554">
        <v>3</v>
      </c>
      <c r="M554" s="12">
        <v>650</v>
      </c>
      <c r="N554" s="12">
        <v>468</v>
      </c>
      <c r="O554">
        <v>0</v>
      </c>
      <c r="P554" s="12">
        <v>1950</v>
      </c>
      <c r="Q554" s="12">
        <v>1404</v>
      </c>
      <c r="R554" s="12">
        <v>546</v>
      </c>
      <c r="S554" t="s">
        <v>113</v>
      </c>
      <c r="T554" t="s">
        <v>107</v>
      </c>
      <c r="U554" t="s">
        <v>1203</v>
      </c>
    </row>
    <row r="555" spans="1:21" x14ac:dyDescent="0.25">
      <c r="A555" t="s">
        <v>2208</v>
      </c>
      <c r="B555" s="8">
        <v>45713</v>
      </c>
      <c r="C555" t="s">
        <v>3698</v>
      </c>
      <c r="D555" t="s">
        <v>1177</v>
      </c>
      <c r="E555" t="s">
        <v>218</v>
      </c>
      <c r="F555">
        <v>47</v>
      </c>
      <c r="G555" t="s">
        <v>17</v>
      </c>
      <c r="H555" t="s">
        <v>15</v>
      </c>
      <c r="I555" t="s">
        <v>53</v>
      </c>
      <c r="J555" t="s">
        <v>48</v>
      </c>
      <c r="K555" t="s">
        <v>43</v>
      </c>
      <c r="L555">
        <v>1</v>
      </c>
      <c r="M555" s="12">
        <v>6499</v>
      </c>
      <c r="N555" s="12">
        <v>4549.2999999999993</v>
      </c>
      <c r="O555">
        <v>5</v>
      </c>
      <c r="P555" s="12">
        <v>6174.0499999999993</v>
      </c>
      <c r="Q555" s="12">
        <v>4549.2999999999993</v>
      </c>
      <c r="R555" s="12">
        <v>1624.75</v>
      </c>
      <c r="S555" t="s">
        <v>1246</v>
      </c>
      <c r="T555" t="s">
        <v>108</v>
      </c>
      <c r="U555" t="s">
        <v>1209</v>
      </c>
    </row>
    <row r="556" spans="1:21" x14ac:dyDescent="0.25">
      <c r="A556" t="s">
        <v>2209</v>
      </c>
      <c r="B556" s="8">
        <v>45781</v>
      </c>
      <c r="C556" t="s">
        <v>1640</v>
      </c>
      <c r="D556" t="s">
        <v>1107</v>
      </c>
      <c r="E556" t="s">
        <v>218</v>
      </c>
      <c r="F556">
        <v>31</v>
      </c>
      <c r="G556" t="s">
        <v>16</v>
      </c>
      <c r="H556" t="s">
        <v>15</v>
      </c>
      <c r="I556" t="s">
        <v>26</v>
      </c>
      <c r="J556" t="s">
        <v>27</v>
      </c>
      <c r="K556" t="s">
        <v>22</v>
      </c>
      <c r="L556">
        <v>1</v>
      </c>
      <c r="M556" s="12">
        <v>27499</v>
      </c>
      <c r="N556" s="12">
        <v>23374.149999999998</v>
      </c>
      <c r="O556">
        <v>8</v>
      </c>
      <c r="P556" s="12">
        <v>25299.08</v>
      </c>
      <c r="Q556" s="12">
        <v>23374.149999999998</v>
      </c>
      <c r="R556" s="12">
        <v>1924.9300000000039</v>
      </c>
      <c r="S556" t="s">
        <v>1246</v>
      </c>
      <c r="T556" t="s">
        <v>109</v>
      </c>
      <c r="U556" t="s">
        <v>1207</v>
      </c>
    </row>
    <row r="557" spans="1:21" x14ac:dyDescent="0.25">
      <c r="A557" t="s">
        <v>2211</v>
      </c>
      <c r="B557" s="8">
        <v>45959</v>
      </c>
      <c r="C557" t="s">
        <v>3205</v>
      </c>
      <c r="D557" t="s">
        <v>1185</v>
      </c>
      <c r="E557" t="s">
        <v>218</v>
      </c>
      <c r="F557">
        <v>30</v>
      </c>
      <c r="G557" t="s">
        <v>14</v>
      </c>
      <c r="H557" t="s">
        <v>15</v>
      </c>
      <c r="I557" t="s">
        <v>21</v>
      </c>
      <c r="J557" t="s">
        <v>23</v>
      </c>
      <c r="K557" t="s">
        <v>22</v>
      </c>
      <c r="L557">
        <v>1</v>
      </c>
      <c r="M557" s="12">
        <v>54999</v>
      </c>
      <c r="N557" s="12">
        <v>45099.18</v>
      </c>
      <c r="O557">
        <v>3</v>
      </c>
      <c r="P557" s="12">
        <v>53349.03</v>
      </c>
      <c r="Q557" s="12">
        <v>45099.18</v>
      </c>
      <c r="R557" s="12">
        <v>8249.8499999999985</v>
      </c>
      <c r="S557" t="s">
        <v>1246</v>
      </c>
      <c r="T557" t="s">
        <v>107</v>
      </c>
      <c r="U557" t="s">
        <v>1196</v>
      </c>
    </row>
    <row r="558" spans="1:21" x14ac:dyDescent="0.25">
      <c r="A558" t="s">
        <v>2213</v>
      </c>
      <c r="B558" s="8">
        <v>46016</v>
      </c>
      <c r="C558" t="s">
        <v>3724</v>
      </c>
      <c r="D558" t="s">
        <v>1119</v>
      </c>
      <c r="E558" t="s">
        <v>198</v>
      </c>
      <c r="F558">
        <v>22</v>
      </c>
      <c r="G558" t="s">
        <v>2</v>
      </c>
      <c r="H558" t="s">
        <v>3</v>
      </c>
      <c r="I558" t="s">
        <v>32</v>
      </c>
      <c r="J558" t="s">
        <v>29</v>
      </c>
      <c r="K558" t="s">
        <v>22</v>
      </c>
      <c r="L558">
        <v>4</v>
      </c>
      <c r="M558" s="12">
        <v>9500</v>
      </c>
      <c r="N558" s="12">
        <v>6650</v>
      </c>
      <c r="O558">
        <v>12</v>
      </c>
      <c r="P558" s="12">
        <v>33440</v>
      </c>
      <c r="Q558" s="12">
        <v>26600</v>
      </c>
      <c r="R558" s="12">
        <v>6840</v>
      </c>
      <c r="S558" t="s">
        <v>1246</v>
      </c>
      <c r="T558" t="s">
        <v>107</v>
      </c>
      <c r="U558" t="s">
        <v>1199</v>
      </c>
    </row>
    <row r="559" spans="1:21" x14ac:dyDescent="0.25">
      <c r="A559" t="s">
        <v>2215</v>
      </c>
      <c r="B559" s="8">
        <v>45756</v>
      </c>
      <c r="C559" t="s">
        <v>2807</v>
      </c>
      <c r="D559" t="s">
        <v>475</v>
      </c>
      <c r="E559" t="s">
        <v>218</v>
      </c>
      <c r="F559">
        <v>55</v>
      </c>
      <c r="G559" t="s">
        <v>4</v>
      </c>
      <c r="H559" t="s">
        <v>3</v>
      </c>
      <c r="I559" t="s">
        <v>45</v>
      </c>
      <c r="J559" t="s">
        <v>46</v>
      </c>
      <c r="K559" t="s">
        <v>43</v>
      </c>
      <c r="L559">
        <v>4</v>
      </c>
      <c r="M559" s="12">
        <v>11999</v>
      </c>
      <c r="N559" s="12">
        <v>8999.25</v>
      </c>
      <c r="O559">
        <v>6</v>
      </c>
      <c r="P559" s="12">
        <v>45116.24</v>
      </c>
      <c r="Q559" s="12">
        <v>35997</v>
      </c>
      <c r="R559" s="12">
        <v>9119.239999999998</v>
      </c>
      <c r="S559" t="s">
        <v>113</v>
      </c>
      <c r="T559" t="s">
        <v>108</v>
      </c>
      <c r="U559" t="s">
        <v>1196</v>
      </c>
    </row>
    <row r="560" spans="1:21" x14ac:dyDescent="0.25">
      <c r="A560" t="s">
        <v>2217</v>
      </c>
      <c r="B560" s="8">
        <v>45894</v>
      </c>
      <c r="C560" t="s">
        <v>1819</v>
      </c>
      <c r="D560" t="s">
        <v>1180</v>
      </c>
      <c r="E560" t="s">
        <v>198</v>
      </c>
      <c r="F560">
        <v>53</v>
      </c>
      <c r="G560" t="s">
        <v>16</v>
      </c>
      <c r="H560" t="s">
        <v>15</v>
      </c>
      <c r="I560" t="s">
        <v>49</v>
      </c>
      <c r="J560" t="s">
        <v>56</v>
      </c>
      <c r="K560" t="s">
        <v>43</v>
      </c>
      <c r="L560">
        <v>3</v>
      </c>
      <c r="M560" s="12">
        <v>31999</v>
      </c>
      <c r="N560" s="12">
        <v>25599.200000000001</v>
      </c>
      <c r="O560">
        <v>10</v>
      </c>
      <c r="P560" s="12">
        <v>86397.3</v>
      </c>
      <c r="Q560" s="12">
        <v>76797.600000000006</v>
      </c>
      <c r="R560" s="12">
        <v>9599.6999999999971</v>
      </c>
      <c r="S560" t="s">
        <v>1246</v>
      </c>
      <c r="T560" t="s">
        <v>108</v>
      </c>
      <c r="U560" t="s">
        <v>1203</v>
      </c>
    </row>
    <row r="561" spans="1:21" x14ac:dyDescent="0.25">
      <c r="A561" t="s">
        <v>2218</v>
      </c>
      <c r="B561" s="8">
        <v>45755</v>
      </c>
      <c r="C561" t="s">
        <v>1462</v>
      </c>
      <c r="D561" t="s">
        <v>520</v>
      </c>
      <c r="E561" t="s">
        <v>198</v>
      </c>
      <c r="F561">
        <v>43</v>
      </c>
      <c r="G561" t="s">
        <v>2</v>
      </c>
      <c r="H561" t="s">
        <v>3</v>
      </c>
      <c r="I561" t="s">
        <v>38</v>
      </c>
      <c r="J561" t="s">
        <v>37</v>
      </c>
      <c r="K561" t="s">
        <v>22</v>
      </c>
      <c r="L561">
        <v>2</v>
      </c>
      <c r="M561" s="12">
        <v>1650</v>
      </c>
      <c r="N561" s="12">
        <v>990</v>
      </c>
      <c r="O561">
        <v>5</v>
      </c>
      <c r="P561" s="12">
        <v>3135</v>
      </c>
      <c r="Q561" s="12">
        <v>1980</v>
      </c>
      <c r="R561" s="12">
        <v>1155</v>
      </c>
      <c r="S561" t="s">
        <v>1246</v>
      </c>
      <c r="T561" t="s">
        <v>107</v>
      </c>
      <c r="U561" t="s">
        <v>1203</v>
      </c>
    </row>
    <row r="562" spans="1:21" x14ac:dyDescent="0.25">
      <c r="A562" t="s">
        <v>2220</v>
      </c>
      <c r="B562" s="8">
        <v>45761</v>
      </c>
      <c r="C562" t="s">
        <v>3025</v>
      </c>
      <c r="D562" t="s">
        <v>1166</v>
      </c>
      <c r="E562" t="s">
        <v>198</v>
      </c>
      <c r="F562">
        <v>55</v>
      </c>
      <c r="G562" t="s">
        <v>9</v>
      </c>
      <c r="H562" t="s">
        <v>8</v>
      </c>
      <c r="I562" t="s">
        <v>30</v>
      </c>
      <c r="J562" t="s">
        <v>41</v>
      </c>
      <c r="K562" t="s">
        <v>22</v>
      </c>
      <c r="L562">
        <v>3</v>
      </c>
      <c r="M562" s="12">
        <v>13749</v>
      </c>
      <c r="N562" s="12">
        <v>10999.2</v>
      </c>
      <c r="O562">
        <v>3</v>
      </c>
      <c r="P562" s="12">
        <v>40009.589999999997</v>
      </c>
      <c r="Q562" s="12">
        <v>32997.600000000006</v>
      </c>
      <c r="R562" s="12">
        <v>7011.9899999999907</v>
      </c>
      <c r="S562" t="s">
        <v>1246</v>
      </c>
      <c r="T562" t="s">
        <v>110</v>
      </c>
      <c r="U562" t="s">
        <v>1203</v>
      </c>
    </row>
    <row r="563" spans="1:21" x14ac:dyDescent="0.25">
      <c r="A563" t="s">
        <v>2222</v>
      </c>
      <c r="B563" s="8">
        <v>45859</v>
      </c>
      <c r="C563" t="s">
        <v>4120</v>
      </c>
      <c r="D563" t="s">
        <v>519</v>
      </c>
      <c r="E563" t="s">
        <v>218</v>
      </c>
      <c r="F563">
        <v>20</v>
      </c>
      <c r="G563" t="s">
        <v>16</v>
      </c>
      <c r="H563" t="s">
        <v>15</v>
      </c>
      <c r="I563" t="s">
        <v>28</v>
      </c>
      <c r="J563" t="s">
        <v>35</v>
      </c>
      <c r="K563" t="s">
        <v>22</v>
      </c>
      <c r="L563">
        <v>2</v>
      </c>
      <c r="M563" s="12">
        <v>16499</v>
      </c>
      <c r="N563" s="12">
        <v>14519.12</v>
      </c>
      <c r="O563">
        <v>4</v>
      </c>
      <c r="P563" s="12">
        <v>31678.079999999998</v>
      </c>
      <c r="Q563" s="12">
        <v>29038.240000000002</v>
      </c>
      <c r="R563" s="12">
        <v>2639.8399999999965</v>
      </c>
      <c r="S563" t="s">
        <v>1246</v>
      </c>
      <c r="T563" t="s">
        <v>110</v>
      </c>
      <c r="U563" t="s">
        <v>1209</v>
      </c>
    </row>
    <row r="564" spans="1:21" x14ac:dyDescent="0.25">
      <c r="A564" t="s">
        <v>2224</v>
      </c>
      <c r="B564" s="8">
        <v>45730</v>
      </c>
      <c r="C564" t="s">
        <v>2291</v>
      </c>
      <c r="D564" t="s">
        <v>457</v>
      </c>
      <c r="E564" t="s">
        <v>198</v>
      </c>
      <c r="F564">
        <v>61</v>
      </c>
      <c r="G564" t="s">
        <v>9</v>
      </c>
      <c r="H564" t="s">
        <v>8</v>
      </c>
      <c r="I564" t="s">
        <v>57</v>
      </c>
      <c r="J564" t="s">
        <v>67</v>
      </c>
      <c r="K564" t="s">
        <v>64</v>
      </c>
      <c r="L564">
        <v>4</v>
      </c>
      <c r="M564" s="12">
        <v>150</v>
      </c>
      <c r="N564" s="12">
        <v>97.5</v>
      </c>
      <c r="O564">
        <v>1</v>
      </c>
      <c r="P564" s="12">
        <v>594</v>
      </c>
      <c r="Q564" s="12">
        <v>390</v>
      </c>
      <c r="R564" s="12">
        <v>204</v>
      </c>
      <c r="S564" t="s">
        <v>1246</v>
      </c>
      <c r="T564" t="s">
        <v>109</v>
      </c>
      <c r="U564" t="s">
        <v>1203</v>
      </c>
    </row>
    <row r="565" spans="1:21" x14ac:dyDescent="0.25">
      <c r="A565" t="s">
        <v>2225</v>
      </c>
      <c r="B565" s="8">
        <v>46002</v>
      </c>
      <c r="C565" t="s">
        <v>1504</v>
      </c>
      <c r="D565" t="s">
        <v>619</v>
      </c>
      <c r="E565" t="s">
        <v>218</v>
      </c>
      <c r="F565">
        <v>46</v>
      </c>
      <c r="G565" t="s">
        <v>289</v>
      </c>
      <c r="H565" t="s">
        <v>3</v>
      </c>
      <c r="I565" t="s">
        <v>53</v>
      </c>
      <c r="J565" t="s">
        <v>48</v>
      </c>
      <c r="K565" t="s">
        <v>43</v>
      </c>
      <c r="L565">
        <v>1</v>
      </c>
      <c r="M565" s="12">
        <v>6499</v>
      </c>
      <c r="N565" s="12">
        <v>4549.2999999999993</v>
      </c>
      <c r="O565">
        <v>18</v>
      </c>
      <c r="P565" s="12">
        <v>5329.18</v>
      </c>
      <c r="Q565" s="12">
        <v>4549.2999999999993</v>
      </c>
      <c r="R565" s="12">
        <v>779.88000000000102</v>
      </c>
      <c r="S565" t="s">
        <v>113</v>
      </c>
      <c r="T565" t="s">
        <v>110</v>
      </c>
      <c r="U565" t="s">
        <v>1205</v>
      </c>
    </row>
    <row r="566" spans="1:21" x14ac:dyDescent="0.25">
      <c r="A566" t="s">
        <v>2226</v>
      </c>
      <c r="B566" s="8">
        <v>45868</v>
      </c>
      <c r="C566" t="s">
        <v>2066</v>
      </c>
      <c r="D566" t="s">
        <v>445</v>
      </c>
      <c r="E566" t="s">
        <v>218</v>
      </c>
      <c r="F566">
        <v>22</v>
      </c>
      <c r="G566" t="s">
        <v>290</v>
      </c>
      <c r="H566" t="s">
        <v>3</v>
      </c>
      <c r="I566" t="s">
        <v>32</v>
      </c>
      <c r="J566" t="s">
        <v>29</v>
      </c>
      <c r="K566" t="s">
        <v>22</v>
      </c>
      <c r="L566">
        <v>4</v>
      </c>
      <c r="M566" s="12">
        <v>9500</v>
      </c>
      <c r="N566" s="12">
        <v>6650</v>
      </c>
      <c r="O566">
        <v>5</v>
      </c>
      <c r="P566" s="12">
        <v>36100</v>
      </c>
      <c r="Q566" s="12">
        <v>26600</v>
      </c>
      <c r="R566" s="12">
        <v>9500</v>
      </c>
      <c r="S566" t="s">
        <v>1249</v>
      </c>
      <c r="T566" t="s">
        <v>107</v>
      </c>
      <c r="U566" t="s">
        <v>1203</v>
      </c>
    </row>
    <row r="567" spans="1:21" x14ac:dyDescent="0.25">
      <c r="A567" t="s">
        <v>2228</v>
      </c>
      <c r="B567" s="8">
        <v>45940</v>
      </c>
      <c r="C567" t="s">
        <v>3375</v>
      </c>
      <c r="D567" t="s">
        <v>956</v>
      </c>
      <c r="E567" t="s">
        <v>218</v>
      </c>
      <c r="F567">
        <v>21</v>
      </c>
      <c r="G567" t="s">
        <v>17</v>
      </c>
      <c r="H567" t="s">
        <v>15</v>
      </c>
      <c r="I567" t="s">
        <v>30</v>
      </c>
      <c r="J567" t="s">
        <v>41</v>
      </c>
      <c r="K567" t="s">
        <v>22</v>
      </c>
      <c r="L567">
        <v>5</v>
      </c>
      <c r="M567" s="12">
        <v>13749</v>
      </c>
      <c r="N567" s="12">
        <v>10999.2</v>
      </c>
      <c r="O567">
        <v>6</v>
      </c>
      <c r="P567" s="12">
        <v>64620.299999999996</v>
      </c>
      <c r="Q567" s="12">
        <v>54996</v>
      </c>
      <c r="R567" s="12">
        <v>9624.2999999999956</v>
      </c>
      <c r="S567" t="s">
        <v>1246</v>
      </c>
      <c r="T567" t="s">
        <v>107</v>
      </c>
      <c r="U567" t="s">
        <v>1209</v>
      </c>
    </row>
    <row r="568" spans="1:21" x14ac:dyDescent="0.25">
      <c r="A568" t="s">
        <v>2230</v>
      </c>
      <c r="B568" s="8">
        <v>45706</v>
      </c>
      <c r="C568" t="s">
        <v>3724</v>
      </c>
      <c r="D568" t="s">
        <v>1119</v>
      </c>
      <c r="E568" t="s">
        <v>198</v>
      </c>
      <c r="F568">
        <v>22</v>
      </c>
      <c r="G568" t="s">
        <v>2</v>
      </c>
      <c r="H568" t="s">
        <v>3</v>
      </c>
      <c r="I568" t="s">
        <v>28</v>
      </c>
      <c r="J568" t="s">
        <v>35</v>
      </c>
      <c r="K568" t="s">
        <v>22</v>
      </c>
      <c r="L568">
        <v>3</v>
      </c>
      <c r="M568" s="12">
        <v>16499</v>
      </c>
      <c r="N568" s="12">
        <v>14519.12</v>
      </c>
      <c r="O568">
        <v>7</v>
      </c>
      <c r="P568" s="12">
        <v>46032.21</v>
      </c>
      <c r="Q568" s="12">
        <v>43557.36</v>
      </c>
      <c r="R568" s="12">
        <v>2474.8499999999985</v>
      </c>
      <c r="S568" t="s">
        <v>1246</v>
      </c>
      <c r="T568" t="s">
        <v>110</v>
      </c>
      <c r="U568" t="s">
        <v>1194</v>
      </c>
    </row>
    <row r="569" spans="1:21" x14ac:dyDescent="0.25">
      <c r="A569" t="s">
        <v>2231</v>
      </c>
      <c r="B569" s="8">
        <v>45845</v>
      </c>
      <c r="C569" t="s">
        <v>1400</v>
      </c>
      <c r="D569" t="s">
        <v>909</v>
      </c>
      <c r="E569" t="s">
        <v>218</v>
      </c>
      <c r="F569">
        <v>57</v>
      </c>
      <c r="G569" t="s">
        <v>5</v>
      </c>
      <c r="H569" t="s">
        <v>3</v>
      </c>
      <c r="I569" t="s">
        <v>45</v>
      </c>
      <c r="J569" t="s">
        <v>46</v>
      </c>
      <c r="K569" t="s">
        <v>43</v>
      </c>
      <c r="L569">
        <v>1</v>
      </c>
      <c r="M569" s="12">
        <v>11999</v>
      </c>
      <c r="N569" s="12">
        <v>8999.25</v>
      </c>
      <c r="O569">
        <v>8</v>
      </c>
      <c r="P569" s="12">
        <v>11039.08</v>
      </c>
      <c r="Q569" s="12">
        <v>8999.25</v>
      </c>
      <c r="R569" s="12">
        <v>2039.83</v>
      </c>
      <c r="S569" t="s">
        <v>1246</v>
      </c>
      <c r="T569" t="s">
        <v>108</v>
      </c>
      <c r="U569" t="s">
        <v>1201</v>
      </c>
    </row>
    <row r="570" spans="1:21" x14ac:dyDescent="0.25">
      <c r="A570" t="s">
        <v>2233</v>
      </c>
      <c r="B570" s="8">
        <v>45888</v>
      </c>
      <c r="C570" t="s">
        <v>1546</v>
      </c>
      <c r="D570" t="s">
        <v>975</v>
      </c>
      <c r="E570" t="s">
        <v>198</v>
      </c>
      <c r="F570">
        <v>25</v>
      </c>
      <c r="G570" t="s">
        <v>7</v>
      </c>
      <c r="H570" t="s">
        <v>8</v>
      </c>
      <c r="I570" t="s">
        <v>63</v>
      </c>
      <c r="J570" t="s">
        <v>77</v>
      </c>
      <c r="K570" t="s">
        <v>64</v>
      </c>
      <c r="L570">
        <v>3</v>
      </c>
      <c r="M570" s="12">
        <v>650</v>
      </c>
      <c r="N570" s="12">
        <v>468</v>
      </c>
      <c r="O570">
        <v>5</v>
      </c>
      <c r="P570" s="12">
        <v>1852.5</v>
      </c>
      <c r="Q570" s="12">
        <v>1404</v>
      </c>
      <c r="R570" s="12">
        <v>448.5</v>
      </c>
      <c r="S570" t="s">
        <v>1246</v>
      </c>
      <c r="T570" t="s">
        <v>109</v>
      </c>
      <c r="U570" t="s">
        <v>1196</v>
      </c>
    </row>
    <row r="571" spans="1:21" x14ac:dyDescent="0.25">
      <c r="A571" t="s">
        <v>2235</v>
      </c>
      <c r="B571" s="8">
        <v>45967</v>
      </c>
      <c r="C571" t="s">
        <v>1304</v>
      </c>
      <c r="D571" t="s">
        <v>1152</v>
      </c>
      <c r="E571" t="s">
        <v>198</v>
      </c>
      <c r="F571">
        <v>21</v>
      </c>
      <c r="G571" t="s">
        <v>5</v>
      </c>
      <c r="H571" t="s">
        <v>3</v>
      </c>
      <c r="I571" t="s">
        <v>34</v>
      </c>
      <c r="J571" t="s">
        <v>137</v>
      </c>
      <c r="K571" t="s">
        <v>22</v>
      </c>
      <c r="L571">
        <v>5</v>
      </c>
      <c r="M571" s="12">
        <v>6900</v>
      </c>
      <c r="N571" s="12">
        <v>5727</v>
      </c>
      <c r="O571">
        <v>16</v>
      </c>
      <c r="P571" s="12">
        <v>28980</v>
      </c>
      <c r="Q571" s="12">
        <v>28635</v>
      </c>
      <c r="R571" s="12">
        <v>345</v>
      </c>
      <c r="S571" t="s">
        <v>1246</v>
      </c>
      <c r="T571" t="s">
        <v>109</v>
      </c>
      <c r="U571" t="s">
        <v>1199</v>
      </c>
    </row>
    <row r="572" spans="1:21" x14ac:dyDescent="0.25">
      <c r="A572" t="s">
        <v>2236</v>
      </c>
      <c r="B572" s="8">
        <v>45737</v>
      </c>
      <c r="C572" t="s">
        <v>2678</v>
      </c>
      <c r="D572" t="s">
        <v>980</v>
      </c>
      <c r="E572" t="s">
        <v>218</v>
      </c>
      <c r="F572">
        <v>34</v>
      </c>
      <c r="G572" t="s">
        <v>9</v>
      </c>
      <c r="H572" t="s">
        <v>8</v>
      </c>
      <c r="I572" t="s">
        <v>26</v>
      </c>
      <c r="J572" t="s">
        <v>27</v>
      </c>
      <c r="K572" t="s">
        <v>22</v>
      </c>
      <c r="L572">
        <v>5</v>
      </c>
      <c r="M572" s="12">
        <v>27499</v>
      </c>
      <c r="N572" s="12">
        <v>23374.149999999998</v>
      </c>
      <c r="O572">
        <v>6</v>
      </c>
      <c r="P572" s="12">
        <v>129245.29999999999</v>
      </c>
      <c r="Q572" s="12">
        <v>116870.74999999999</v>
      </c>
      <c r="R572" s="12">
        <v>12374.550000000003</v>
      </c>
      <c r="S572" t="s">
        <v>1249</v>
      </c>
      <c r="T572" t="s">
        <v>107</v>
      </c>
      <c r="U572" t="s">
        <v>1194</v>
      </c>
    </row>
    <row r="573" spans="1:21" x14ac:dyDescent="0.25">
      <c r="A573" t="s">
        <v>2238</v>
      </c>
      <c r="B573" s="8">
        <v>45745</v>
      </c>
      <c r="C573" t="s">
        <v>2498</v>
      </c>
      <c r="D573" t="s">
        <v>738</v>
      </c>
      <c r="E573" t="s">
        <v>198</v>
      </c>
      <c r="F573">
        <v>32</v>
      </c>
      <c r="G573" t="s">
        <v>11</v>
      </c>
      <c r="H573" t="s">
        <v>12</v>
      </c>
      <c r="I573" t="s">
        <v>40</v>
      </c>
      <c r="J573" t="s">
        <v>39</v>
      </c>
      <c r="K573" t="s">
        <v>22</v>
      </c>
      <c r="L573">
        <v>1</v>
      </c>
      <c r="M573" s="12">
        <v>1100</v>
      </c>
      <c r="N573" s="12">
        <v>715</v>
      </c>
      <c r="O573">
        <v>5</v>
      </c>
      <c r="P573" s="12">
        <v>1045</v>
      </c>
      <c r="Q573" s="12">
        <v>715</v>
      </c>
      <c r="R573" s="12">
        <v>330</v>
      </c>
      <c r="S573" t="s">
        <v>1246</v>
      </c>
      <c r="T573" t="s">
        <v>110</v>
      </c>
      <c r="U573" t="s">
        <v>1203</v>
      </c>
    </row>
    <row r="574" spans="1:21" x14ac:dyDescent="0.25">
      <c r="A574" t="s">
        <v>2239</v>
      </c>
      <c r="B574" s="8">
        <v>45693</v>
      </c>
      <c r="C574" t="s">
        <v>2413</v>
      </c>
      <c r="D574" t="s">
        <v>534</v>
      </c>
      <c r="E574" t="s">
        <v>198</v>
      </c>
      <c r="F574">
        <v>37</v>
      </c>
      <c r="G574" t="s">
        <v>2</v>
      </c>
      <c r="H574" t="s">
        <v>3</v>
      </c>
      <c r="I574" t="s">
        <v>24</v>
      </c>
      <c r="J574" t="s">
        <v>25</v>
      </c>
      <c r="K574" t="s">
        <v>22</v>
      </c>
      <c r="L574">
        <v>1</v>
      </c>
      <c r="M574" s="12">
        <v>35800</v>
      </c>
      <c r="N574" s="12">
        <v>28640</v>
      </c>
      <c r="O574">
        <v>5</v>
      </c>
      <c r="P574" s="12">
        <v>34010</v>
      </c>
      <c r="Q574" s="12">
        <v>28640</v>
      </c>
      <c r="R574" s="12">
        <v>5370</v>
      </c>
      <c r="S574" t="s">
        <v>1246</v>
      </c>
      <c r="T574" t="s">
        <v>109</v>
      </c>
      <c r="U574" t="s">
        <v>1198</v>
      </c>
    </row>
    <row r="575" spans="1:21" x14ac:dyDescent="0.25">
      <c r="A575" t="s">
        <v>2241</v>
      </c>
      <c r="B575" s="8">
        <v>45919</v>
      </c>
      <c r="C575" t="s">
        <v>1635</v>
      </c>
      <c r="D575" t="s">
        <v>962</v>
      </c>
      <c r="E575" t="s">
        <v>218</v>
      </c>
      <c r="F575">
        <v>51</v>
      </c>
      <c r="G575" t="s">
        <v>17</v>
      </c>
      <c r="H575" t="s">
        <v>15</v>
      </c>
      <c r="I575" t="s">
        <v>42</v>
      </c>
      <c r="J575" t="s">
        <v>44</v>
      </c>
      <c r="K575" t="s">
        <v>43</v>
      </c>
      <c r="L575">
        <v>2</v>
      </c>
      <c r="M575" s="12">
        <v>8999</v>
      </c>
      <c r="N575" s="12">
        <v>6479.28</v>
      </c>
      <c r="O575">
        <v>6</v>
      </c>
      <c r="P575" s="12">
        <v>16918.12</v>
      </c>
      <c r="Q575" s="12">
        <v>12958.56</v>
      </c>
      <c r="R575" s="12">
        <v>3959.5599999999995</v>
      </c>
      <c r="S575" t="s">
        <v>113</v>
      </c>
      <c r="T575" t="s">
        <v>107</v>
      </c>
      <c r="U575" t="s">
        <v>1194</v>
      </c>
    </row>
    <row r="576" spans="1:21" x14ac:dyDescent="0.25">
      <c r="A576" t="s">
        <v>2243</v>
      </c>
      <c r="B576" s="8">
        <v>45898</v>
      </c>
      <c r="C576" t="s">
        <v>1864</v>
      </c>
      <c r="D576" t="s">
        <v>845</v>
      </c>
      <c r="E576" t="s">
        <v>218</v>
      </c>
      <c r="F576">
        <v>52</v>
      </c>
      <c r="G576" t="s">
        <v>14</v>
      </c>
      <c r="H576" t="s">
        <v>15</v>
      </c>
      <c r="I576" t="s">
        <v>38</v>
      </c>
      <c r="J576" t="s">
        <v>37</v>
      </c>
      <c r="K576" t="s">
        <v>22</v>
      </c>
      <c r="L576">
        <v>1</v>
      </c>
      <c r="M576" s="12">
        <v>1650</v>
      </c>
      <c r="N576" s="12">
        <v>990</v>
      </c>
      <c r="O576">
        <v>4</v>
      </c>
      <c r="P576" s="12">
        <v>1584</v>
      </c>
      <c r="Q576" s="12">
        <v>990</v>
      </c>
      <c r="R576" s="12">
        <v>594</v>
      </c>
      <c r="S576" t="s">
        <v>113</v>
      </c>
      <c r="T576" t="s">
        <v>109</v>
      </c>
      <c r="U576" t="s">
        <v>1196</v>
      </c>
    </row>
    <row r="577" spans="1:21" x14ac:dyDescent="0.25">
      <c r="A577" t="s">
        <v>2244</v>
      </c>
      <c r="B577" s="8">
        <v>45748</v>
      </c>
      <c r="C577" t="s">
        <v>1760</v>
      </c>
      <c r="D577" t="s">
        <v>414</v>
      </c>
      <c r="E577" t="s">
        <v>198</v>
      </c>
      <c r="F577">
        <v>61</v>
      </c>
      <c r="G577" t="s">
        <v>289</v>
      </c>
      <c r="H577" t="s">
        <v>3</v>
      </c>
      <c r="I577" t="s">
        <v>36</v>
      </c>
      <c r="J577" t="s">
        <v>136</v>
      </c>
      <c r="K577" t="s">
        <v>22</v>
      </c>
      <c r="L577">
        <v>2</v>
      </c>
      <c r="M577" s="12">
        <v>3590</v>
      </c>
      <c r="N577" s="12">
        <v>2333.5</v>
      </c>
      <c r="O577">
        <v>5</v>
      </c>
      <c r="P577" s="12">
        <v>6821</v>
      </c>
      <c r="Q577" s="12">
        <v>4667</v>
      </c>
      <c r="R577" s="12">
        <v>2154</v>
      </c>
      <c r="S577" t="s">
        <v>1246</v>
      </c>
      <c r="T577" t="s">
        <v>107</v>
      </c>
      <c r="U577" t="s">
        <v>1211</v>
      </c>
    </row>
    <row r="578" spans="1:21" x14ac:dyDescent="0.25">
      <c r="A578" t="s">
        <v>2246</v>
      </c>
      <c r="B578" s="8">
        <v>45785</v>
      </c>
      <c r="C578" t="s">
        <v>2190</v>
      </c>
      <c r="D578" t="s">
        <v>1090</v>
      </c>
      <c r="E578" t="s">
        <v>218</v>
      </c>
      <c r="F578">
        <v>44</v>
      </c>
      <c r="G578" t="s">
        <v>11</v>
      </c>
      <c r="H578" t="s">
        <v>12</v>
      </c>
      <c r="I578" t="s">
        <v>24</v>
      </c>
      <c r="J578" t="s">
        <v>25</v>
      </c>
      <c r="K578" t="s">
        <v>22</v>
      </c>
      <c r="L578">
        <v>3</v>
      </c>
      <c r="M578" s="12">
        <v>35800</v>
      </c>
      <c r="N578" s="12">
        <v>28640</v>
      </c>
      <c r="O578">
        <v>8</v>
      </c>
      <c r="P578" s="12">
        <v>98808</v>
      </c>
      <c r="Q578" s="12">
        <v>85920</v>
      </c>
      <c r="R578" s="12">
        <v>12888</v>
      </c>
      <c r="S578" t="s">
        <v>1246</v>
      </c>
      <c r="T578" t="s">
        <v>108</v>
      </c>
      <c r="U578" t="s">
        <v>1198</v>
      </c>
    </row>
    <row r="579" spans="1:21" x14ac:dyDescent="0.25">
      <c r="A579" t="s">
        <v>2247</v>
      </c>
      <c r="B579" s="8">
        <v>45772</v>
      </c>
      <c r="C579" t="s">
        <v>3412</v>
      </c>
      <c r="D579" t="s">
        <v>868</v>
      </c>
      <c r="E579" t="s">
        <v>218</v>
      </c>
      <c r="F579">
        <v>63</v>
      </c>
      <c r="G579" t="s">
        <v>11</v>
      </c>
      <c r="H579" t="s">
        <v>12</v>
      </c>
      <c r="I579" t="s">
        <v>42</v>
      </c>
      <c r="J579" t="s">
        <v>44</v>
      </c>
      <c r="K579" t="s">
        <v>43</v>
      </c>
      <c r="L579">
        <v>2</v>
      </c>
      <c r="M579" s="12">
        <v>8999</v>
      </c>
      <c r="N579" s="12">
        <v>6479.28</v>
      </c>
      <c r="O579">
        <v>5</v>
      </c>
      <c r="P579" s="12">
        <v>17098.099999999999</v>
      </c>
      <c r="Q579" s="12">
        <v>12958.56</v>
      </c>
      <c r="R579" s="12">
        <v>4139.5399999999991</v>
      </c>
      <c r="S579" t="s">
        <v>1246</v>
      </c>
      <c r="T579" t="s">
        <v>109</v>
      </c>
      <c r="U579" t="s">
        <v>1194</v>
      </c>
    </row>
    <row r="580" spans="1:21" x14ac:dyDescent="0.25">
      <c r="A580" t="s">
        <v>2249</v>
      </c>
      <c r="B580" s="8">
        <v>45666</v>
      </c>
      <c r="C580" t="s">
        <v>2073</v>
      </c>
      <c r="D580" t="s">
        <v>777</v>
      </c>
      <c r="E580" t="s">
        <v>218</v>
      </c>
      <c r="F580">
        <v>23</v>
      </c>
      <c r="G580" t="s">
        <v>9</v>
      </c>
      <c r="H580" t="s">
        <v>8</v>
      </c>
      <c r="I580" t="s">
        <v>34</v>
      </c>
      <c r="J580" t="s">
        <v>137</v>
      </c>
      <c r="K580" t="s">
        <v>22</v>
      </c>
      <c r="L580">
        <v>5</v>
      </c>
      <c r="M580" s="12">
        <v>6900</v>
      </c>
      <c r="N580" s="12">
        <v>5727</v>
      </c>
      <c r="O580">
        <v>8</v>
      </c>
      <c r="P580" s="12">
        <v>31740</v>
      </c>
      <c r="Q580" s="12">
        <v>28635</v>
      </c>
      <c r="R580" s="12">
        <v>3105</v>
      </c>
      <c r="S580" t="s">
        <v>1246</v>
      </c>
      <c r="T580" t="s">
        <v>107</v>
      </c>
      <c r="U580" t="s">
        <v>1194</v>
      </c>
    </row>
    <row r="581" spans="1:21" x14ac:dyDescent="0.25">
      <c r="A581" t="s">
        <v>2251</v>
      </c>
      <c r="B581" s="8">
        <v>46005</v>
      </c>
      <c r="C581" t="s">
        <v>2501</v>
      </c>
      <c r="D581" t="s">
        <v>1027</v>
      </c>
      <c r="E581" t="s">
        <v>198</v>
      </c>
      <c r="F581">
        <v>60</v>
      </c>
      <c r="G581" t="s">
        <v>16</v>
      </c>
      <c r="H581" t="s">
        <v>15</v>
      </c>
      <c r="I581" t="s">
        <v>28</v>
      </c>
      <c r="J581" t="s">
        <v>35</v>
      </c>
      <c r="K581" t="s">
        <v>22</v>
      </c>
      <c r="L581">
        <v>4</v>
      </c>
      <c r="M581" s="12">
        <v>16499</v>
      </c>
      <c r="N581" s="12">
        <v>14519.12</v>
      </c>
      <c r="O581">
        <v>11</v>
      </c>
      <c r="P581" s="12">
        <v>58736.44</v>
      </c>
      <c r="Q581" s="12">
        <v>58076.480000000003</v>
      </c>
      <c r="R581" s="12">
        <v>659.95999999999913</v>
      </c>
      <c r="S581" t="s">
        <v>113</v>
      </c>
      <c r="T581" t="s">
        <v>108</v>
      </c>
      <c r="U581" t="s">
        <v>1211</v>
      </c>
    </row>
    <row r="582" spans="1:21" x14ac:dyDescent="0.25">
      <c r="A582" t="s">
        <v>2253</v>
      </c>
      <c r="B582" s="8">
        <v>45821</v>
      </c>
      <c r="C582" t="s">
        <v>1734</v>
      </c>
      <c r="D582" t="s">
        <v>714</v>
      </c>
      <c r="E582" t="s">
        <v>198</v>
      </c>
      <c r="F582">
        <v>51</v>
      </c>
      <c r="G582" t="s">
        <v>11</v>
      </c>
      <c r="H582" t="s">
        <v>12</v>
      </c>
      <c r="I582" t="s">
        <v>30</v>
      </c>
      <c r="J582" t="s">
        <v>41</v>
      </c>
      <c r="K582" t="s">
        <v>22</v>
      </c>
      <c r="L582">
        <v>1</v>
      </c>
      <c r="M582" s="12">
        <v>13749</v>
      </c>
      <c r="N582" s="12">
        <v>10999.2</v>
      </c>
      <c r="O582">
        <v>7</v>
      </c>
      <c r="P582" s="12">
        <v>12786.57</v>
      </c>
      <c r="Q582" s="12">
        <v>10999.2</v>
      </c>
      <c r="R582" s="12">
        <v>1787.369999999999</v>
      </c>
      <c r="S582" t="s">
        <v>113</v>
      </c>
      <c r="T582" t="s">
        <v>109</v>
      </c>
      <c r="U582" t="s">
        <v>1194</v>
      </c>
    </row>
    <row r="583" spans="1:21" x14ac:dyDescent="0.25">
      <c r="A583" t="s">
        <v>2255</v>
      </c>
      <c r="B583" s="8">
        <v>45859</v>
      </c>
      <c r="C583" t="s">
        <v>1848</v>
      </c>
      <c r="D583" t="s">
        <v>589</v>
      </c>
      <c r="E583" t="s">
        <v>198</v>
      </c>
      <c r="F583">
        <v>51</v>
      </c>
      <c r="G583" t="s">
        <v>290</v>
      </c>
      <c r="H583" t="s">
        <v>3</v>
      </c>
      <c r="I583" t="s">
        <v>49</v>
      </c>
      <c r="J583" t="s">
        <v>56</v>
      </c>
      <c r="K583" t="s">
        <v>43</v>
      </c>
      <c r="L583">
        <v>2</v>
      </c>
      <c r="M583" s="12">
        <v>31999</v>
      </c>
      <c r="N583" s="12">
        <v>25599.200000000001</v>
      </c>
      <c r="O583">
        <v>10</v>
      </c>
      <c r="P583" s="12">
        <v>57598.200000000004</v>
      </c>
      <c r="Q583" s="12">
        <v>51198.400000000001</v>
      </c>
      <c r="R583" s="12">
        <v>6399.8000000000029</v>
      </c>
      <c r="S583" t="s">
        <v>113</v>
      </c>
      <c r="T583" t="s">
        <v>107</v>
      </c>
      <c r="U583" t="s">
        <v>1203</v>
      </c>
    </row>
    <row r="584" spans="1:21" x14ac:dyDescent="0.25">
      <c r="A584" t="s">
        <v>2256</v>
      </c>
      <c r="B584" s="8">
        <v>45684</v>
      </c>
      <c r="C584" t="s">
        <v>2252</v>
      </c>
      <c r="D584" t="s">
        <v>736</v>
      </c>
      <c r="E584" t="s">
        <v>218</v>
      </c>
      <c r="F584">
        <v>24</v>
      </c>
      <c r="G584" t="s">
        <v>290</v>
      </c>
      <c r="H584" t="s">
        <v>3</v>
      </c>
      <c r="I584" t="s">
        <v>30</v>
      </c>
      <c r="J584" t="s">
        <v>41</v>
      </c>
      <c r="K584" t="s">
        <v>22</v>
      </c>
      <c r="L584">
        <v>3</v>
      </c>
      <c r="M584" s="12">
        <v>13749</v>
      </c>
      <c r="N584" s="12">
        <v>10999.2</v>
      </c>
      <c r="O584">
        <v>9</v>
      </c>
      <c r="P584" s="12">
        <v>37534.770000000004</v>
      </c>
      <c r="Q584" s="12">
        <v>32997.600000000006</v>
      </c>
      <c r="R584" s="12">
        <v>4537.1699999999983</v>
      </c>
      <c r="S584" t="s">
        <v>113</v>
      </c>
      <c r="T584" t="s">
        <v>108</v>
      </c>
      <c r="U584" t="s">
        <v>1196</v>
      </c>
    </row>
    <row r="585" spans="1:21" x14ac:dyDescent="0.25">
      <c r="A585" t="s">
        <v>2257</v>
      </c>
      <c r="B585" s="8">
        <v>45899</v>
      </c>
      <c r="C585" t="s">
        <v>2699</v>
      </c>
      <c r="D585" t="s">
        <v>925</v>
      </c>
      <c r="E585" t="s">
        <v>218</v>
      </c>
      <c r="F585">
        <v>65</v>
      </c>
      <c r="G585" t="s">
        <v>289</v>
      </c>
      <c r="H585" t="s">
        <v>3</v>
      </c>
      <c r="I585" t="s">
        <v>53</v>
      </c>
      <c r="J585" t="s">
        <v>48</v>
      </c>
      <c r="K585" t="s">
        <v>43</v>
      </c>
      <c r="L585">
        <v>2</v>
      </c>
      <c r="M585" s="12">
        <v>6499</v>
      </c>
      <c r="N585" s="12">
        <v>4549.2999999999993</v>
      </c>
      <c r="O585">
        <v>7</v>
      </c>
      <c r="P585" s="12">
        <v>12088.14</v>
      </c>
      <c r="Q585" s="12">
        <v>9098.5999999999985</v>
      </c>
      <c r="R585" s="12">
        <v>2989.5400000000009</v>
      </c>
      <c r="S585" t="s">
        <v>1246</v>
      </c>
      <c r="T585" t="s">
        <v>107</v>
      </c>
      <c r="U585" t="s">
        <v>1205</v>
      </c>
    </row>
    <row r="586" spans="1:21" x14ac:dyDescent="0.25">
      <c r="A586" t="s">
        <v>2258</v>
      </c>
      <c r="B586" s="8">
        <v>45775</v>
      </c>
      <c r="C586" t="s">
        <v>2160</v>
      </c>
      <c r="D586" t="s">
        <v>606</v>
      </c>
      <c r="E586" t="s">
        <v>218</v>
      </c>
      <c r="F586">
        <v>60</v>
      </c>
      <c r="G586" t="s">
        <v>14</v>
      </c>
      <c r="H586" t="s">
        <v>15</v>
      </c>
      <c r="I586" t="s">
        <v>30</v>
      </c>
      <c r="J586" t="s">
        <v>41</v>
      </c>
      <c r="K586" t="s">
        <v>22</v>
      </c>
      <c r="L586">
        <v>1</v>
      </c>
      <c r="M586" s="12">
        <v>13749</v>
      </c>
      <c r="N586" s="12">
        <v>10999.2</v>
      </c>
      <c r="O586">
        <v>7</v>
      </c>
      <c r="P586" s="12">
        <v>12786.57</v>
      </c>
      <c r="Q586" s="12">
        <v>10999.2</v>
      </c>
      <c r="R586" s="12">
        <v>1787.369999999999</v>
      </c>
      <c r="S586" t="s">
        <v>113</v>
      </c>
      <c r="T586" t="s">
        <v>107</v>
      </c>
      <c r="U586" t="s">
        <v>1199</v>
      </c>
    </row>
    <row r="587" spans="1:21" x14ac:dyDescent="0.25">
      <c r="A587" t="s">
        <v>2260</v>
      </c>
      <c r="B587" s="8">
        <v>45672</v>
      </c>
      <c r="C587" t="s">
        <v>3596</v>
      </c>
      <c r="D587" t="s">
        <v>1000</v>
      </c>
      <c r="E587" t="s">
        <v>198</v>
      </c>
      <c r="F587">
        <v>48</v>
      </c>
      <c r="G587" t="s">
        <v>290</v>
      </c>
      <c r="H587" t="s">
        <v>3</v>
      </c>
      <c r="I587" t="s">
        <v>24</v>
      </c>
      <c r="J587" t="s">
        <v>25</v>
      </c>
      <c r="K587" t="s">
        <v>22</v>
      </c>
      <c r="L587">
        <v>5</v>
      </c>
      <c r="M587" s="12">
        <v>35800</v>
      </c>
      <c r="N587" s="12">
        <v>28640</v>
      </c>
      <c r="O587">
        <v>7</v>
      </c>
      <c r="P587" s="12">
        <v>166470</v>
      </c>
      <c r="Q587" s="12">
        <v>143200</v>
      </c>
      <c r="R587" s="12">
        <v>23270</v>
      </c>
      <c r="S587" t="s">
        <v>113</v>
      </c>
      <c r="T587" t="s">
        <v>107</v>
      </c>
      <c r="U587" t="s">
        <v>1194</v>
      </c>
    </row>
    <row r="588" spans="1:21" x14ac:dyDescent="0.25">
      <c r="A588" t="s">
        <v>2262</v>
      </c>
      <c r="B588" s="8">
        <v>45750</v>
      </c>
      <c r="C588" t="s">
        <v>1357</v>
      </c>
      <c r="D588" t="s">
        <v>858</v>
      </c>
      <c r="E588" t="s">
        <v>198</v>
      </c>
      <c r="F588">
        <v>41</v>
      </c>
      <c r="G588" t="s">
        <v>289</v>
      </c>
      <c r="H588" t="s">
        <v>3</v>
      </c>
      <c r="I588" t="s">
        <v>55</v>
      </c>
      <c r="J588" t="s">
        <v>65</v>
      </c>
      <c r="K588" t="s">
        <v>64</v>
      </c>
      <c r="L588">
        <v>5</v>
      </c>
      <c r="M588" s="12">
        <v>80</v>
      </c>
      <c r="N588" s="12">
        <v>56</v>
      </c>
      <c r="O588">
        <v>5</v>
      </c>
      <c r="P588" s="12">
        <v>380</v>
      </c>
      <c r="Q588" s="12">
        <v>280</v>
      </c>
      <c r="R588" s="12">
        <v>100</v>
      </c>
      <c r="S588" t="s">
        <v>1246</v>
      </c>
      <c r="T588" t="s">
        <v>109</v>
      </c>
      <c r="U588" t="s">
        <v>1209</v>
      </c>
    </row>
    <row r="589" spans="1:21" x14ac:dyDescent="0.25">
      <c r="A589" t="s">
        <v>2264</v>
      </c>
      <c r="B589" s="8">
        <v>45688</v>
      </c>
      <c r="C589" t="s">
        <v>2545</v>
      </c>
      <c r="D589" t="s">
        <v>1075</v>
      </c>
      <c r="E589" t="s">
        <v>218</v>
      </c>
      <c r="F589">
        <v>56</v>
      </c>
      <c r="G589" t="s">
        <v>289</v>
      </c>
      <c r="H589" t="s">
        <v>3</v>
      </c>
      <c r="I589" t="s">
        <v>42</v>
      </c>
      <c r="J589" t="s">
        <v>44</v>
      </c>
      <c r="K589" t="s">
        <v>43</v>
      </c>
      <c r="L589">
        <v>1</v>
      </c>
      <c r="M589" s="12">
        <v>8999</v>
      </c>
      <c r="N589" s="12">
        <v>6479.28</v>
      </c>
      <c r="O589">
        <v>3</v>
      </c>
      <c r="P589" s="12">
        <v>8729.0300000000007</v>
      </c>
      <c r="Q589" s="12">
        <v>6479.28</v>
      </c>
      <c r="R589" s="12">
        <v>2249.7500000000009</v>
      </c>
      <c r="S589" t="s">
        <v>1246</v>
      </c>
      <c r="T589" t="s">
        <v>107</v>
      </c>
      <c r="U589" t="s">
        <v>1199</v>
      </c>
    </row>
    <row r="590" spans="1:21" x14ac:dyDescent="0.25">
      <c r="A590" t="s">
        <v>2266</v>
      </c>
      <c r="B590" s="8">
        <v>45836</v>
      </c>
      <c r="C590" t="s">
        <v>1957</v>
      </c>
      <c r="D590" t="s">
        <v>523</v>
      </c>
      <c r="E590" t="s">
        <v>218</v>
      </c>
      <c r="F590">
        <v>63</v>
      </c>
      <c r="G590" t="s">
        <v>11</v>
      </c>
      <c r="H590" t="s">
        <v>12</v>
      </c>
      <c r="I590" t="s">
        <v>61</v>
      </c>
      <c r="J590" t="s">
        <v>146</v>
      </c>
      <c r="K590" t="s">
        <v>64</v>
      </c>
      <c r="L590">
        <v>1</v>
      </c>
      <c r="M590" s="12">
        <v>250</v>
      </c>
      <c r="N590" s="12">
        <v>155</v>
      </c>
      <c r="O590">
        <v>12</v>
      </c>
      <c r="P590" s="12">
        <v>220</v>
      </c>
      <c r="Q590" s="12">
        <v>155</v>
      </c>
      <c r="R590" s="12">
        <v>65</v>
      </c>
      <c r="S590" t="s">
        <v>113</v>
      </c>
      <c r="T590" t="s">
        <v>107</v>
      </c>
      <c r="U590" t="s">
        <v>1211</v>
      </c>
    </row>
    <row r="591" spans="1:21" x14ac:dyDescent="0.25">
      <c r="A591" t="s">
        <v>2267</v>
      </c>
      <c r="B591" s="8">
        <v>45669</v>
      </c>
      <c r="C591" t="s">
        <v>2620</v>
      </c>
      <c r="D591" t="s">
        <v>542</v>
      </c>
      <c r="E591" t="s">
        <v>198</v>
      </c>
      <c r="F591">
        <v>43</v>
      </c>
      <c r="G591" t="s">
        <v>14</v>
      </c>
      <c r="H591" t="s">
        <v>15</v>
      </c>
      <c r="I591" t="s">
        <v>51</v>
      </c>
      <c r="J591" t="s">
        <v>54</v>
      </c>
      <c r="K591" t="s">
        <v>43</v>
      </c>
      <c r="L591">
        <v>4</v>
      </c>
      <c r="M591" s="12">
        <v>27499</v>
      </c>
      <c r="N591" s="12">
        <v>21724.210000000003</v>
      </c>
      <c r="O591">
        <v>2</v>
      </c>
      <c r="P591" s="12">
        <v>107796.08</v>
      </c>
      <c r="Q591" s="12">
        <v>86896.840000000011</v>
      </c>
      <c r="R591" s="12">
        <v>20899.239999999991</v>
      </c>
      <c r="S591" t="s">
        <v>1249</v>
      </c>
      <c r="T591" t="s">
        <v>109</v>
      </c>
      <c r="U591" t="s">
        <v>1203</v>
      </c>
    </row>
    <row r="592" spans="1:21" x14ac:dyDescent="0.25">
      <c r="A592" t="s">
        <v>2269</v>
      </c>
      <c r="B592" s="8">
        <v>45968</v>
      </c>
      <c r="C592" t="s">
        <v>1879</v>
      </c>
      <c r="D592" t="s">
        <v>936</v>
      </c>
      <c r="E592" t="s">
        <v>198</v>
      </c>
      <c r="F592">
        <v>61</v>
      </c>
      <c r="G592" t="s">
        <v>17</v>
      </c>
      <c r="H592" t="s">
        <v>15</v>
      </c>
      <c r="I592" t="s">
        <v>38</v>
      </c>
      <c r="J592" t="s">
        <v>37</v>
      </c>
      <c r="K592" t="s">
        <v>22</v>
      </c>
      <c r="L592">
        <v>3</v>
      </c>
      <c r="M592" s="12">
        <v>1650</v>
      </c>
      <c r="N592" s="12">
        <v>990</v>
      </c>
      <c r="O592">
        <v>18</v>
      </c>
      <c r="P592" s="12">
        <v>4059.0000000000005</v>
      </c>
      <c r="Q592" s="12">
        <v>2970</v>
      </c>
      <c r="R592" s="12">
        <v>1089.0000000000005</v>
      </c>
      <c r="S592" t="s">
        <v>1246</v>
      </c>
      <c r="T592" t="s">
        <v>109</v>
      </c>
      <c r="U592" t="s">
        <v>1196</v>
      </c>
    </row>
    <row r="593" spans="1:21" x14ac:dyDescent="0.25">
      <c r="A593" t="s">
        <v>2270</v>
      </c>
      <c r="B593" s="8">
        <v>45859</v>
      </c>
      <c r="C593" t="s">
        <v>2898</v>
      </c>
      <c r="D593" t="s">
        <v>1009</v>
      </c>
      <c r="E593" t="s">
        <v>198</v>
      </c>
      <c r="F593">
        <v>44</v>
      </c>
      <c r="G593" t="s">
        <v>14</v>
      </c>
      <c r="H593" t="s">
        <v>15</v>
      </c>
      <c r="I593" t="s">
        <v>59</v>
      </c>
      <c r="J593" t="s">
        <v>73</v>
      </c>
      <c r="K593" t="s">
        <v>64</v>
      </c>
      <c r="L593">
        <v>3</v>
      </c>
      <c r="M593" s="12">
        <v>120</v>
      </c>
      <c r="N593" s="12">
        <v>81.599999999999994</v>
      </c>
      <c r="O593">
        <v>5</v>
      </c>
      <c r="P593" s="12">
        <v>342</v>
      </c>
      <c r="Q593" s="12">
        <v>244.79999999999998</v>
      </c>
      <c r="R593" s="12">
        <v>97.200000000000017</v>
      </c>
      <c r="S593" t="s">
        <v>113</v>
      </c>
      <c r="T593" t="s">
        <v>107</v>
      </c>
      <c r="U593" t="s">
        <v>1205</v>
      </c>
    </row>
    <row r="594" spans="1:21" x14ac:dyDescent="0.25">
      <c r="A594" t="s">
        <v>2271</v>
      </c>
      <c r="B594" s="8">
        <v>45745</v>
      </c>
      <c r="C594" t="s">
        <v>2385</v>
      </c>
      <c r="D594" t="s">
        <v>481</v>
      </c>
      <c r="E594" t="s">
        <v>198</v>
      </c>
      <c r="F594">
        <v>30</v>
      </c>
      <c r="G594" t="s">
        <v>11</v>
      </c>
      <c r="H594" t="s">
        <v>12</v>
      </c>
      <c r="I594" t="s">
        <v>36</v>
      </c>
      <c r="J594" t="s">
        <v>136</v>
      </c>
      <c r="K594" t="s">
        <v>22</v>
      </c>
      <c r="L594">
        <v>3</v>
      </c>
      <c r="M594" s="12">
        <v>3590</v>
      </c>
      <c r="N594" s="12">
        <v>2333.5</v>
      </c>
      <c r="O594">
        <v>5</v>
      </c>
      <c r="P594" s="12">
        <v>10231.5</v>
      </c>
      <c r="Q594" s="12">
        <v>7000.5</v>
      </c>
      <c r="R594" s="12">
        <v>3231</v>
      </c>
      <c r="S594" t="s">
        <v>1246</v>
      </c>
      <c r="T594" t="s">
        <v>108</v>
      </c>
      <c r="U594" t="s">
        <v>1207</v>
      </c>
    </row>
    <row r="595" spans="1:21" x14ac:dyDescent="0.25">
      <c r="A595" t="s">
        <v>2273</v>
      </c>
      <c r="B595" s="8">
        <v>45924</v>
      </c>
      <c r="C595" t="s">
        <v>2300</v>
      </c>
      <c r="D595" t="s">
        <v>940</v>
      </c>
      <c r="E595" t="s">
        <v>198</v>
      </c>
      <c r="F595">
        <v>55</v>
      </c>
      <c r="G595" t="s">
        <v>9</v>
      </c>
      <c r="H595" t="s">
        <v>8</v>
      </c>
      <c r="I595" t="s">
        <v>57</v>
      </c>
      <c r="J595" t="s">
        <v>67</v>
      </c>
      <c r="K595" t="s">
        <v>64</v>
      </c>
      <c r="L595">
        <v>5</v>
      </c>
      <c r="M595" s="12">
        <v>150</v>
      </c>
      <c r="N595" s="12">
        <v>97.5</v>
      </c>
      <c r="O595">
        <v>5</v>
      </c>
      <c r="P595" s="12">
        <v>712.5</v>
      </c>
      <c r="Q595" s="12">
        <v>487.5</v>
      </c>
      <c r="R595" s="12">
        <v>225</v>
      </c>
      <c r="S595" t="s">
        <v>1249</v>
      </c>
      <c r="T595" t="s">
        <v>107</v>
      </c>
      <c r="U595" t="s">
        <v>1203</v>
      </c>
    </row>
    <row r="596" spans="1:21" x14ac:dyDescent="0.25">
      <c r="A596" t="s">
        <v>2274</v>
      </c>
      <c r="B596" s="8">
        <v>46014</v>
      </c>
      <c r="C596" t="s">
        <v>1835</v>
      </c>
      <c r="D596" t="s">
        <v>576</v>
      </c>
      <c r="E596" t="s">
        <v>218</v>
      </c>
      <c r="F596">
        <v>38</v>
      </c>
      <c r="G596" t="s">
        <v>290</v>
      </c>
      <c r="H596" t="s">
        <v>3</v>
      </c>
      <c r="I596" t="s">
        <v>30</v>
      </c>
      <c r="J596" t="s">
        <v>41</v>
      </c>
      <c r="K596" t="s">
        <v>22</v>
      </c>
      <c r="L596">
        <v>4</v>
      </c>
      <c r="M596" s="12">
        <v>13749</v>
      </c>
      <c r="N596" s="12">
        <v>10999.2</v>
      </c>
      <c r="O596">
        <v>12</v>
      </c>
      <c r="P596" s="12">
        <v>48396.480000000003</v>
      </c>
      <c r="Q596" s="12">
        <v>43996.800000000003</v>
      </c>
      <c r="R596" s="12">
        <v>4399.68</v>
      </c>
      <c r="S596" t="s">
        <v>113</v>
      </c>
      <c r="T596" t="s">
        <v>107</v>
      </c>
      <c r="U596" t="s">
        <v>1196</v>
      </c>
    </row>
    <row r="597" spans="1:21" x14ac:dyDescent="0.25">
      <c r="A597" t="s">
        <v>2275</v>
      </c>
      <c r="B597" s="8">
        <v>45692</v>
      </c>
      <c r="C597" t="s">
        <v>1603</v>
      </c>
      <c r="D597" t="s">
        <v>983</v>
      </c>
      <c r="E597" t="s">
        <v>198</v>
      </c>
      <c r="F597">
        <v>33</v>
      </c>
      <c r="G597" t="s">
        <v>10</v>
      </c>
      <c r="H597" t="s">
        <v>8</v>
      </c>
      <c r="I597" t="s">
        <v>36</v>
      </c>
      <c r="J597" t="s">
        <v>136</v>
      </c>
      <c r="K597" t="s">
        <v>22</v>
      </c>
      <c r="L597">
        <v>1</v>
      </c>
      <c r="M597" s="12">
        <v>3590</v>
      </c>
      <c r="N597" s="12">
        <v>2333.5</v>
      </c>
      <c r="O597">
        <v>7</v>
      </c>
      <c r="P597" s="12">
        <v>3338.7</v>
      </c>
      <c r="Q597" s="12">
        <v>2333.5</v>
      </c>
      <c r="R597" s="12">
        <v>1005.1999999999998</v>
      </c>
      <c r="S597" t="s">
        <v>1246</v>
      </c>
      <c r="T597" t="s">
        <v>111</v>
      </c>
      <c r="U597" t="s">
        <v>1194</v>
      </c>
    </row>
    <row r="598" spans="1:21" x14ac:dyDescent="0.25">
      <c r="A598" t="s">
        <v>2276</v>
      </c>
      <c r="B598" s="8">
        <v>45875</v>
      </c>
      <c r="C598" t="s">
        <v>2169</v>
      </c>
      <c r="D598" t="s">
        <v>575</v>
      </c>
      <c r="E598" t="s">
        <v>198</v>
      </c>
      <c r="F598">
        <v>46</v>
      </c>
      <c r="G598" t="s">
        <v>17</v>
      </c>
      <c r="H598" t="s">
        <v>15</v>
      </c>
      <c r="I598" t="s">
        <v>49</v>
      </c>
      <c r="J598" t="s">
        <v>56</v>
      </c>
      <c r="K598" t="s">
        <v>43</v>
      </c>
      <c r="L598">
        <v>5</v>
      </c>
      <c r="M598" s="12">
        <v>31999</v>
      </c>
      <c r="N598" s="12">
        <v>25599.200000000001</v>
      </c>
      <c r="O598">
        <v>7</v>
      </c>
      <c r="P598" s="12">
        <v>148795.34999999998</v>
      </c>
      <c r="Q598" s="12">
        <v>127996</v>
      </c>
      <c r="R598" s="12">
        <v>20799.349999999977</v>
      </c>
      <c r="S598" t="s">
        <v>1246</v>
      </c>
      <c r="T598" t="s">
        <v>107</v>
      </c>
      <c r="U598" t="s">
        <v>1211</v>
      </c>
    </row>
    <row r="599" spans="1:21" x14ac:dyDescent="0.25">
      <c r="A599" t="s">
        <v>2278</v>
      </c>
      <c r="B599" s="8">
        <v>46010</v>
      </c>
      <c r="C599" t="s">
        <v>3427</v>
      </c>
      <c r="D599" t="s">
        <v>840</v>
      </c>
      <c r="E599" t="s">
        <v>218</v>
      </c>
      <c r="F599">
        <v>34</v>
      </c>
      <c r="G599" t="s">
        <v>10</v>
      </c>
      <c r="H599" t="s">
        <v>8</v>
      </c>
      <c r="I599" t="s">
        <v>26</v>
      </c>
      <c r="J599" t="s">
        <v>27</v>
      </c>
      <c r="K599" t="s">
        <v>22</v>
      </c>
      <c r="L599">
        <v>3</v>
      </c>
      <c r="M599" s="12">
        <v>27499</v>
      </c>
      <c r="N599" s="12">
        <v>23374.149999999998</v>
      </c>
      <c r="O599">
        <v>10</v>
      </c>
      <c r="P599" s="12">
        <v>74247.3</v>
      </c>
      <c r="Q599" s="12">
        <v>70122.45</v>
      </c>
      <c r="R599" s="12">
        <v>4124.8500000000058</v>
      </c>
      <c r="S599" t="s">
        <v>113</v>
      </c>
      <c r="T599" t="s">
        <v>107</v>
      </c>
      <c r="U599" t="s">
        <v>1196</v>
      </c>
    </row>
    <row r="600" spans="1:21" x14ac:dyDescent="0.25">
      <c r="A600" t="s">
        <v>2280</v>
      </c>
      <c r="B600" s="8">
        <v>45808</v>
      </c>
      <c r="C600" t="s">
        <v>3929</v>
      </c>
      <c r="D600" t="s">
        <v>953</v>
      </c>
      <c r="E600" t="s">
        <v>198</v>
      </c>
      <c r="F600">
        <v>51</v>
      </c>
      <c r="G600" t="s">
        <v>289</v>
      </c>
      <c r="H600" t="s">
        <v>3</v>
      </c>
      <c r="I600" t="s">
        <v>28</v>
      </c>
      <c r="J600" t="s">
        <v>35</v>
      </c>
      <c r="K600" t="s">
        <v>22</v>
      </c>
      <c r="L600">
        <v>4</v>
      </c>
      <c r="M600" s="12">
        <v>16499</v>
      </c>
      <c r="N600" s="12">
        <v>14519.12</v>
      </c>
      <c r="O600">
        <v>8</v>
      </c>
      <c r="P600" s="12">
        <v>60716.32</v>
      </c>
      <c r="Q600" s="12">
        <v>58076.480000000003</v>
      </c>
      <c r="R600" s="12">
        <v>2639.8399999999965</v>
      </c>
      <c r="S600" t="s">
        <v>1246</v>
      </c>
      <c r="T600" t="s">
        <v>108</v>
      </c>
      <c r="U600" t="s">
        <v>1205</v>
      </c>
    </row>
    <row r="601" spans="1:21" x14ac:dyDescent="0.25">
      <c r="A601" t="s">
        <v>2281</v>
      </c>
      <c r="B601" s="8">
        <v>45862</v>
      </c>
      <c r="C601" t="s">
        <v>3804</v>
      </c>
      <c r="D601" t="s">
        <v>807</v>
      </c>
      <c r="E601" t="s">
        <v>218</v>
      </c>
      <c r="F601">
        <v>19</v>
      </c>
      <c r="G601" t="s">
        <v>16</v>
      </c>
      <c r="H601" t="s">
        <v>15</v>
      </c>
      <c r="I601" t="s">
        <v>59</v>
      </c>
      <c r="J601" t="s">
        <v>73</v>
      </c>
      <c r="K601" t="s">
        <v>64</v>
      </c>
      <c r="L601">
        <v>1</v>
      </c>
      <c r="M601" s="12">
        <v>120</v>
      </c>
      <c r="N601" s="12">
        <v>81.599999999999994</v>
      </c>
      <c r="O601">
        <v>0</v>
      </c>
      <c r="P601" s="12">
        <v>120</v>
      </c>
      <c r="Q601" s="12">
        <v>81.599999999999994</v>
      </c>
      <c r="R601" s="12">
        <v>38.400000000000006</v>
      </c>
      <c r="S601" t="s">
        <v>113</v>
      </c>
      <c r="T601" t="s">
        <v>110</v>
      </c>
      <c r="U601" t="s">
        <v>1209</v>
      </c>
    </row>
    <row r="602" spans="1:21" x14ac:dyDescent="0.25">
      <c r="A602" t="s">
        <v>2283</v>
      </c>
      <c r="B602" s="8">
        <v>45984</v>
      </c>
      <c r="C602" t="s">
        <v>2567</v>
      </c>
      <c r="D602" t="s">
        <v>380</v>
      </c>
      <c r="E602" t="s">
        <v>218</v>
      </c>
      <c r="F602">
        <v>29</v>
      </c>
      <c r="G602" t="s">
        <v>9</v>
      </c>
      <c r="H602" t="s">
        <v>8</v>
      </c>
      <c r="I602" t="s">
        <v>32</v>
      </c>
      <c r="J602" t="s">
        <v>29</v>
      </c>
      <c r="K602" t="s">
        <v>22</v>
      </c>
      <c r="L602">
        <v>1</v>
      </c>
      <c r="M602" s="12">
        <v>9500</v>
      </c>
      <c r="N602" s="12">
        <v>6650</v>
      </c>
      <c r="O602">
        <v>17</v>
      </c>
      <c r="P602" s="12">
        <v>7885</v>
      </c>
      <c r="Q602" s="12">
        <v>6650</v>
      </c>
      <c r="R602" s="12">
        <v>1235</v>
      </c>
      <c r="S602" t="s">
        <v>1246</v>
      </c>
      <c r="T602" t="s">
        <v>110</v>
      </c>
      <c r="U602" t="s">
        <v>1209</v>
      </c>
    </row>
    <row r="603" spans="1:21" x14ac:dyDescent="0.25">
      <c r="A603" t="s">
        <v>2284</v>
      </c>
      <c r="B603" s="8">
        <v>45948</v>
      </c>
      <c r="C603" t="s">
        <v>1903</v>
      </c>
      <c r="D603" t="s">
        <v>1167</v>
      </c>
      <c r="E603" t="s">
        <v>198</v>
      </c>
      <c r="F603">
        <v>21</v>
      </c>
      <c r="G603" t="s">
        <v>17</v>
      </c>
      <c r="H603" t="s">
        <v>15</v>
      </c>
      <c r="I603" t="s">
        <v>40</v>
      </c>
      <c r="J603" t="s">
        <v>39</v>
      </c>
      <c r="K603" t="s">
        <v>22</v>
      </c>
      <c r="L603">
        <v>3</v>
      </c>
      <c r="M603" s="12">
        <v>1100</v>
      </c>
      <c r="N603" s="12">
        <v>715</v>
      </c>
      <c r="O603">
        <v>5</v>
      </c>
      <c r="P603" s="12">
        <v>3135</v>
      </c>
      <c r="Q603" s="12">
        <v>2145</v>
      </c>
      <c r="R603" s="12">
        <v>990</v>
      </c>
      <c r="S603" t="s">
        <v>1246</v>
      </c>
      <c r="T603" t="s">
        <v>111</v>
      </c>
      <c r="U603" t="s">
        <v>1211</v>
      </c>
    </row>
    <row r="604" spans="1:21" x14ac:dyDescent="0.25">
      <c r="A604" t="s">
        <v>2286</v>
      </c>
      <c r="B604" s="8">
        <v>45719</v>
      </c>
      <c r="C604" t="s">
        <v>1376</v>
      </c>
      <c r="D604" t="s">
        <v>1011</v>
      </c>
      <c r="E604" t="s">
        <v>218</v>
      </c>
      <c r="F604">
        <v>51</v>
      </c>
      <c r="G604" t="s">
        <v>7</v>
      </c>
      <c r="H604" t="s">
        <v>8</v>
      </c>
      <c r="I604" t="s">
        <v>42</v>
      </c>
      <c r="J604" t="s">
        <v>44</v>
      </c>
      <c r="K604" t="s">
        <v>43</v>
      </c>
      <c r="L604">
        <v>5</v>
      </c>
      <c r="M604" s="12">
        <v>8999</v>
      </c>
      <c r="N604" s="12">
        <v>6479.28</v>
      </c>
      <c r="O604">
        <v>8</v>
      </c>
      <c r="P604" s="12">
        <v>41395.4</v>
      </c>
      <c r="Q604" s="12">
        <v>32396.399999999998</v>
      </c>
      <c r="R604" s="12">
        <v>8999.0000000000036</v>
      </c>
      <c r="S604" t="s">
        <v>113</v>
      </c>
      <c r="T604" t="s">
        <v>108</v>
      </c>
      <c r="U604" t="s">
        <v>1198</v>
      </c>
    </row>
    <row r="605" spans="1:21" x14ac:dyDescent="0.25">
      <c r="A605" t="s">
        <v>2287</v>
      </c>
      <c r="B605" s="8">
        <v>45741</v>
      </c>
      <c r="C605" t="s">
        <v>2727</v>
      </c>
      <c r="D605" t="s">
        <v>813</v>
      </c>
      <c r="E605" t="s">
        <v>198</v>
      </c>
      <c r="F605">
        <v>48</v>
      </c>
      <c r="G605" t="s">
        <v>16</v>
      </c>
      <c r="H605" t="s">
        <v>15</v>
      </c>
      <c r="I605" t="s">
        <v>49</v>
      </c>
      <c r="J605" t="s">
        <v>56</v>
      </c>
      <c r="K605" t="s">
        <v>43</v>
      </c>
      <c r="L605">
        <v>2</v>
      </c>
      <c r="M605" s="12">
        <v>31999</v>
      </c>
      <c r="N605" s="12">
        <v>25599.200000000001</v>
      </c>
      <c r="O605">
        <v>10</v>
      </c>
      <c r="P605" s="12">
        <v>57598.200000000004</v>
      </c>
      <c r="Q605" s="12">
        <v>51198.400000000001</v>
      </c>
      <c r="R605" s="12">
        <v>6399.8000000000029</v>
      </c>
      <c r="S605" t="s">
        <v>1246</v>
      </c>
      <c r="T605" t="s">
        <v>110</v>
      </c>
      <c r="U605" t="s">
        <v>1209</v>
      </c>
    </row>
    <row r="606" spans="1:21" x14ac:dyDescent="0.25">
      <c r="A606" t="s">
        <v>2288</v>
      </c>
      <c r="B606" s="8">
        <v>45954</v>
      </c>
      <c r="C606" t="s">
        <v>1392</v>
      </c>
      <c r="D606" t="s">
        <v>754</v>
      </c>
      <c r="E606" t="s">
        <v>218</v>
      </c>
      <c r="F606">
        <v>46</v>
      </c>
      <c r="G606" t="s">
        <v>16</v>
      </c>
      <c r="H606" t="s">
        <v>15</v>
      </c>
      <c r="I606" t="s">
        <v>53</v>
      </c>
      <c r="J606" t="s">
        <v>48</v>
      </c>
      <c r="K606" t="s">
        <v>43</v>
      </c>
      <c r="L606">
        <v>4</v>
      </c>
      <c r="M606" s="12">
        <v>6499</v>
      </c>
      <c r="N606" s="12">
        <v>4549.2999999999993</v>
      </c>
      <c r="O606">
        <v>7</v>
      </c>
      <c r="P606" s="12">
        <v>24176.28</v>
      </c>
      <c r="Q606" s="12">
        <v>18197.199999999997</v>
      </c>
      <c r="R606" s="12">
        <v>5979.0800000000017</v>
      </c>
      <c r="S606" t="s">
        <v>113</v>
      </c>
      <c r="T606" t="s">
        <v>107</v>
      </c>
      <c r="U606" t="s">
        <v>1194</v>
      </c>
    </row>
    <row r="607" spans="1:21" x14ac:dyDescent="0.25">
      <c r="A607" t="s">
        <v>2289</v>
      </c>
      <c r="B607" s="8">
        <v>45883</v>
      </c>
      <c r="C607" t="s">
        <v>1973</v>
      </c>
      <c r="D607" t="s">
        <v>997</v>
      </c>
      <c r="E607" t="s">
        <v>198</v>
      </c>
      <c r="F607">
        <v>42</v>
      </c>
      <c r="G607" t="s">
        <v>11</v>
      </c>
      <c r="H607" t="s">
        <v>12</v>
      </c>
      <c r="I607" t="s">
        <v>53</v>
      </c>
      <c r="J607" t="s">
        <v>48</v>
      </c>
      <c r="K607" t="s">
        <v>43</v>
      </c>
      <c r="L607">
        <v>3</v>
      </c>
      <c r="M607" s="12">
        <v>6499</v>
      </c>
      <c r="N607" s="12">
        <v>4549.2999999999993</v>
      </c>
      <c r="O607">
        <v>7</v>
      </c>
      <c r="P607" s="12">
        <v>18132.21</v>
      </c>
      <c r="Q607" s="12">
        <v>13647.899999999998</v>
      </c>
      <c r="R607" s="12">
        <v>4484.3100000000013</v>
      </c>
      <c r="S607" t="s">
        <v>1246</v>
      </c>
      <c r="T607" t="s">
        <v>109</v>
      </c>
      <c r="U607" t="s">
        <v>1201</v>
      </c>
    </row>
    <row r="608" spans="1:21" x14ac:dyDescent="0.25">
      <c r="A608" t="s">
        <v>2290</v>
      </c>
      <c r="B608" s="8">
        <v>46012</v>
      </c>
      <c r="C608" t="s">
        <v>4601</v>
      </c>
      <c r="D608" t="s">
        <v>1147</v>
      </c>
      <c r="E608" t="s">
        <v>218</v>
      </c>
      <c r="F608">
        <v>39</v>
      </c>
      <c r="G608" t="s">
        <v>9</v>
      </c>
      <c r="H608" t="s">
        <v>8</v>
      </c>
      <c r="I608" t="s">
        <v>61</v>
      </c>
      <c r="J608" t="s">
        <v>146</v>
      </c>
      <c r="K608" t="s">
        <v>64</v>
      </c>
      <c r="L608">
        <v>5</v>
      </c>
      <c r="M608" s="12">
        <v>250</v>
      </c>
      <c r="N608" s="12">
        <v>155</v>
      </c>
      <c r="O608">
        <v>5</v>
      </c>
      <c r="P608" s="12">
        <v>1187.5</v>
      </c>
      <c r="Q608" s="12">
        <v>775</v>
      </c>
      <c r="R608" s="12">
        <v>412.5</v>
      </c>
      <c r="S608" t="s">
        <v>1246</v>
      </c>
      <c r="T608" t="s">
        <v>108</v>
      </c>
      <c r="U608" t="s">
        <v>1196</v>
      </c>
    </row>
    <row r="609" spans="1:21" x14ac:dyDescent="0.25">
      <c r="A609" t="s">
        <v>2292</v>
      </c>
      <c r="B609" s="8">
        <v>45933</v>
      </c>
      <c r="C609" t="s">
        <v>1291</v>
      </c>
      <c r="D609" t="s">
        <v>904</v>
      </c>
      <c r="E609" t="s">
        <v>198</v>
      </c>
      <c r="F609">
        <v>22</v>
      </c>
      <c r="G609" t="s">
        <v>2</v>
      </c>
      <c r="H609" t="s">
        <v>3</v>
      </c>
      <c r="I609" t="s">
        <v>24</v>
      </c>
      <c r="J609" t="s">
        <v>25</v>
      </c>
      <c r="K609" t="s">
        <v>22</v>
      </c>
      <c r="L609">
        <v>1</v>
      </c>
      <c r="M609" s="12">
        <v>35800</v>
      </c>
      <c r="N609" s="12">
        <v>28640</v>
      </c>
      <c r="O609">
        <v>4</v>
      </c>
      <c r="P609" s="12">
        <v>34368</v>
      </c>
      <c r="Q609" s="12">
        <v>28640</v>
      </c>
      <c r="R609" s="12">
        <v>5728</v>
      </c>
      <c r="S609" t="s">
        <v>113</v>
      </c>
      <c r="T609" t="s">
        <v>110</v>
      </c>
      <c r="U609" t="s">
        <v>1199</v>
      </c>
    </row>
    <row r="610" spans="1:21" x14ac:dyDescent="0.25">
      <c r="A610" t="s">
        <v>2293</v>
      </c>
      <c r="B610" s="8">
        <v>45777</v>
      </c>
      <c r="C610" t="s">
        <v>1914</v>
      </c>
      <c r="D610" t="s">
        <v>678</v>
      </c>
      <c r="E610" t="s">
        <v>198</v>
      </c>
      <c r="F610">
        <v>47</v>
      </c>
      <c r="G610" t="s">
        <v>14</v>
      </c>
      <c r="H610" t="s">
        <v>15</v>
      </c>
      <c r="I610" t="s">
        <v>45</v>
      </c>
      <c r="J610" t="s">
        <v>46</v>
      </c>
      <c r="K610" t="s">
        <v>43</v>
      </c>
      <c r="L610">
        <v>2</v>
      </c>
      <c r="M610" s="12">
        <v>11999</v>
      </c>
      <c r="N610" s="12">
        <v>8999.25</v>
      </c>
      <c r="O610">
        <v>10</v>
      </c>
      <c r="P610" s="12">
        <v>21598.2</v>
      </c>
      <c r="Q610" s="12">
        <v>17998.5</v>
      </c>
      <c r="R610" s="12">
        <v>3599.7000000000007</v>
      </c>
      <c r="S610" t="s">
        <v>1246</v>
      </c>
      <c r="T610" t="s">
        <v>107</v>
      </c>
      <c r="U610" t="s">
        <v>1211</v>
      </c>
    </row>
    <row r="611" spans="1:21" x14ac:dyDescent="0.25">
      <c r="A611" t="s">
        <v>2295</v>
      </c>
      <c r="B611" s="8">
        <v>45749</v>
      </c>
      <c r="C611" t="s">
        <v>2718</v>
      </c>
      <c r="D611" t="s">
        <v>812</v>
      </c>
      <c r="E611" t="s">
        <v>198</v>
      </c>
      <c r="F611">
        <v>39</v>
      </c>
      <c r="G611" t="s">
        <v>14</v>
      </c>
      <c r="H611" t="s">
        <v>15</v>
      </c>
      <c r="I611" t="s">
        <v>38</v>
      </c>
      <c r="J611" t="s">
        <v>37</v>
      </c>
      <c r="K611" t="s">
        <v>22</v>
      </c>
      <c r="L611">
        <v>1</v>
      </c>
      <c r="M611" s="12">
        <v>1650</v>
      </c>
      <c r="N611" s="12">
        <v>990</v>
      </c>
      <c r="O611">
        <v>5</v>
      </c>
      <c r="P611" s="12">
        <v>1567.5</v>
      </c>
      <c r="Q611" s="12">
        <v>990</v>
      </c>
      <c r="R611" s="12">
        <v>577.5</v>
      </c>
      <c r="S611" t="s">
        <v>1246</v>
      </c>
      <c r="T611" t="s">
        <v>109</v>
      </c>
      <c r="U611" t="s">
        <v>1194</v>
      </c>
    </row>
    <row r="612" spans="1:21" x14ac:dyDescent="0.25">
      <c r="A612" t="s">
        <v>2297</v>
      </c>
      <c r="B612" s="8">
        <v>46017</v>
      </c>
      <c r="C612" t="s">
        <v>3103</v>
      </c>
      <c r="D612" t="s">
        <v>1124</v>
      </c>
      <c r="E612" t="s">
        <v>218</v>
      </c>
      <c r="F612">
        <v>56</v>
      </c>
      <c r="G612" t="s">
        <v>10</v>
      </c>
      <c r="H612" t="s">
        <v>8</v>
      </c>
      <c r="I612" t="s">
        <v>24</v>
      </c>
      <c r="J612" t="s">
        <v>25</v>
      </c>
      <c r="K612" t="s">
        <v>22</v>
      </c>
      <c r="L612">
        <v>1</v>
      </c>
      <c r="M612" s="12">
        <v>35800</v>
      </c>
      <c r="N612" s="12">
        <v>28640</v>
      </c>
      <c r="O612">
        <v>15</v>
      </c>
      <c r="P612" s="12">
        <v>30430</v>
      </c>
      <c r="Q612" s="12">
        <v>28640</v>
      </c>
      <c r="R612" s="12">
        <v>1790</v>
      </c>
      <c r="S612" t="s">
        <v>1246</v>
      </c>
      <c r="T612" t="s">
        <v>109</v>
      </c>
      <c r="U612" t="s">
        <v>1201</v>
      </c>
    </row>
    <row r="613" spans="1:21" x14ac:dyDescent="0.25">
      <c r="A613" t="s">
        <v>2298</v>
      </c>
      <c r="B613" s="8">
        <v>45996</v>
      </c>
      <c r="C613" t="s">
        <v>2214</v>
      </c>
      <c r="D613" t="s">
        <v>498</v>
      </c>
      <c r="E613" t="s">
        <v>198</v>
      </c>
      <c r="F613">
        <v>40</v>
      </c>
      <c r="G613" t="s">
        <v>14</v>
      </c>
      <c r="H613" t="s">
        <v>15</v>
      </c>
      <c r="I613" t="s">
        <v>53</v>
      </c>
      <c r="J613" t="s">
        <v>48</v>
      </c>
      <c r="K613" t="s">
        <v>43</v>
      </c>
      <c r="L613">
        <v>2</v>
      </c>
      <c r="M613" s="12">
        <v>6499</v>
      </c>
      <c r="N613" s="12">
        <v>4549.2999999999993</v>
      </c>
      <c r="O613">
        <v>14</v>
      </c>
      <c r="P613" s="12">
        <v>11178.28</v>
      </c>
      <c r="Q613" s="12">
        <v>9098.5999999999985</v>
      </c>
      <c r="R613" s="12">
        <v>2079.6800000000021</v>
      </c>
      <c r="S613" t="s">
        <v>1246</v>
      </c>
      <c r="T613" t="s">
        <v>111</v>
      </c>
      <c r="U613" t="s">
        <v>1205</v>
      </c>
    </row>
    <row r="614" spans="1:21" x14ac:dyDescent="0.25">
      <c r="A614" t="s">
        <v>2299</v>
      </c>
      <c r="B614" s="8">
        <v>45706</v>
      </c>
      <c r="C614" t="s">
        <v>2609</v>
      </c>
      <c r="D614" t="s">
        <v>507</v>
      </c>
      <c r="E614" t="s">
        <v>218</v>
      </c>
      <c r="F614">
        <v>37</v>
      </c>
      <c r="G614" t="s">
        <v>9</v>
      </c>
      <c r="H614" t="s">
        <v>8</v>
      </c>
      <c r="I614" t="s">
        <v>34</v>
      </c>
      <c r="J614" t="s">
        <v>137</v>
      </c>
      <c r="K614" t="s">
        <v>22</v>
      </c>
      <c r="L614">
        <v>5</v>
      </c>
      <c r="M614" s="12">
        <v>6900</v>
      </c>
      <c r="N614" s="12">
        <v>5727</v>
      </c>
      <c r="O614">
        <v>8</v>
      </c>
      <c r="P614" s="12">
        <v>31740</v>
      </c>
      <c r="Q614" s="12">
        <v>28635</v>
      </c>
      <c r="R614" s="12">
        <v>3105</v>
      </c>
      <c r="S614" t="s">
        <v>113</v>
      </c>
      <c r="T614" t="s">
        <v>107</v>
      </c>
      <c r="U614" t="s">
        <v>1205</v>
      </c>
    </row>
    <row r="615" spans="1:21" x14ac:dyDescent="0.25">
      <c r="A615" t="s">
        <v>2301</v>
      </c>
      <c r="B615" s="8">
        <v>45849</v>
      </c>
      <c r="C615" t="s">
        <v>3037</v>
      </c>
      <c r="D615" t="s">
        <v>677</v>
      </c>
      <c r="E615" t="s">
        <v>198</v>
      </c>
      <c r="F615">
        <v>57</v>
      </c>
      <c r="G615" t="s">
        <v>4</v>
      </c>
      <c r="H615" t="s">
        <v>3</v>
      </c>
      <c r="I615" t="s">
        <v>45</v>
      </c>
      <c r="J615" t="s">
        <v>46</v>
      </c>
      <c r="K615" t="s">
        <v>43</v>
      </c>
      <c r="L615">
        <v>5</v>
      </c>
      <c r="M615" s="12">
        <v>11999</v>
      </c>
      <c r="N615" s="12">
        <v>8999.25</v>
      </c>
      <c r="O615">
        <v>7</v>
      </c>
      <c r="P615" s="12">
        <v>55795.35</v>
      </c>
      <c r="Q615" s="12">
        <v>44996.25</v>
      </c>
      <c r="R615" s="12">
        <v>10799.099999999999</v>
      </c>
      <c r="S615" t="s">
        <v>1246</v>
      </c>
      <c r="T615" t="s">
        <v>108</v>
      </c>
      <c r="U615" t="s">
        <v>1205</v>
      </c>
    </row>
    <row r="616" spans="1:21" x14ac:dyDescent="0.25">
      <c r="A616" t="s">
        <v>2302</v>
      </c>
      <c r="B616" s="8">
        <v>45874</v>
      </c>
      <c r="C616" t="s">
        <v>1312</v>
      </c>
      <c r="D616" t="s">
        <v>959</v>
      </c>
      <c r="E616" t="s">
        <v>218</v>
      </c>
      <c r="F616">
        <v>47</v>
      </c>
      <c r="G616" t="s">
        <v>289</v>
      </c>
      <c r="H616" t="s">
        <v>3</v>
      </c>
      <c r="I616" t="s">
        <v>45</v>
      </c>
      <c r="J616" t="s">
        <v>46</v>
      </c>
      <c r="K616" t="s">
        <v>43</v>
      </c>
      <c r="L616">
        <v>3</v>
      </c>
      <c r="M616" s="12">
        <v>11999</v>
      </c>
      <c r="N616" s="12">
        <v>8999.25</v>
      </c>
      <c r="O616">
        <v>7</v>
      </c>
      <c r="P616" s="12">
        <v>33477.21</v>
      </c>
      <c r="Q616" s="12">
        <v>26997.75</v>
      </c>
      <c r="R616" s="12">
        <v>6479.4599999999991</v>
      </c>
      <c r="S616" t="s">
        <v>1246</v>
      </c>
      <c r="T616" t="s">
        <v>107</v>
      </c>
      <c r="U616" t="s">
        <v>1201</v>
      </c>
    </row>
    <row r="617" spans="1:21" x14ac:dyDescent="0.25">
      <c r="A617" t="s">
        <v>2303</v>
      </c>
      <c r="B617" s="8">
        <v>45674</v>
      </c>
      <c r="C617" t="s">
        <v>1275</v>
      </c>
      <c r="D617" t="s">
        <v>710</v>
      </c>
      <c r="E617" t="s">
        <v>218</v>
      </c>
      <c r="F617">
        <v>31</v>
      </c>
      <c r="G617" t="s">
        <v>16</v>
      </c>
      <c r="H617" t="s">
        <v>15</v>
      </c>
      <c r="I617" t="s">
        <v>38</v>
      </c>
      <c r="J617" t="s">
        <v>37</v>
      </c>
      <c r="K617" t="s">
        <v>22</v>
      </c>
      <c r="L617">
        <v>2</v>
      </c>
      <c r="M617" s="12">
        <v>1650</v>
      </c>
      <c r="N617" s="12">
        <v>990</v>
      </c>
      <c r="O617">
        <v>8</v>
      </c>
      <c r="P617" s="12">
        <v>3036</v>
      </c>
      <c r="Q617" s="12">
        <v>1980</v>
      </c>
      <c r="R617" s="12">
        <v>1056</v>
      </c>
      <c r="S617" t="s">
        <v>113</v>
      </c>
      <c r="T617" t="s">
        <v>107</v>
      </c>
      <c r="U617" t="s">
        <v>1207</v>
      </c>
    </row>
    <row r="618" spans="1:21" x14ac:dyDescent="0.25">
      <c r="A618" t="s">
        <v>2305</v>
      </c>
      <c r="B618" s="8">
        <v>45703</v>
      </c>
      <c r="C618" t="s">
        <v>2501</v>
      </c>
      <c r="D618" t="s">
        <v>1027</v>
      </c>
      <c r="E618" t="s">
        <v>198</v>
      </c>
      <c r="F618">
        <v>60</v>
      </c>
      <c r="G618" t="s">
        <v>16</v>
      </c>
      <c r="H618" t="s">
        <v>15</v>
      </c>
      <c r="I618" t="s">
        <v>42</v>
      </c>
      <c r="J618" t="s">
        <v>44</v>
      </c>
      <c r="K618" t="s">
        <v>43</v>
      </c>
      <c r="L618">
        <v>5</v>
      </c>
      <c r="M618" s="12">
        <v>8999</v>
      </c>
      <c r="N618" s="12">
        <v>6479.28</v>
      </c>
      <c r="O618">
        <v>10</v>
      </c>
      <c r="P618" s="12">
        <v>40495.5</v>
      </c>
      <c r="Q618" s="12">
        <v>32396.399999999998</v>
      </c>
      <c r="R618" s="12">
        <v>8099.1000000000022</v>
      </c>
      <c r="S618" t="s">
        <v>1246</v>
      </c>
      <c r="T618" t="s">
        <v>109</v>
      </c>
      <c r="U618" t="s">
        <v>1205</v>
      </c>
    </row>
    <row r="619" spans="1:21" x14ac:dyDescent="0.25">
      <c r="A619" t="s">
        <v>2306</v>
      </c>
      <c r="B619" s="8">
        <v>45827</v>
      </c>
      <c r="C619" t="s">
        <v>2040</v>
      </c>
      <c r="D619" t="s">
        <v>646</v>
      </c>
      <c r="E619" t="s">
        <v>218</v>
      </c>
      <c r="F619">
        <v>50</v>
      </c>
      <c r="G619" t="s">
        <v>290</v>
      </c>
      <c r="H619" t="s">
        <v>3</v>
      </c>
      <c r="I619" t="s">
        <v>42</v>
      </c>
      <c r="J619" t="s">
        <v>44</v>
      </c>
      <c r="K619" t="s">
        <v>43</v>
      </c>
      <c r="L619">
        <v>3</v>
      </c>
      <c r="M619" s="12">
        <v>8999</v>
      </c>
      <c r="N619" s="12">
        <v>6479.28</v>
      </c>
      <c r="O619">
        <v>2</v>
      </c>
      <c r="P619" s="12">
        <v>26457.06</v>
      </c>
      <c r="Q619" s="12">
        <v>19437.84</v>
      </c>
      <c r="R619" s="12">
        <v>7019.2200000000012</v>
      </c>
      <c r="S619" t="s">
        <v>1246</v>
      </c>
      <c r="T619" t="s">
        <v>107</v>
      </c>
      <c r="U619" t="s">
        <v>1203</v>
      </c>
    </row>
    <row r="620" spans="1:21" x14ac:dyDescent="0.25">
      <c r="A620" t="s">
        <v>2307</v>
      </c>
      <c r="B620" s="8">
        <v>45856</v>
      </c>
      <c r="C620" t="s">
        <v>2778</v>
      </c>
      <c r="D620" t="s">
        <v>743</v>
      </c>
      <c r="E620" t="s">
        <v>198</v>
      </c>
      <c r="F620">
        <v>43</v>
      </c>
      <c r="G620" t="s">
        <v>16</v>
      </c>
      <c r="H620" t="s">
        <v>15</v>
      </c>
      <c r="I620" t="s">
        <v>61</v>
      </c>
      <c r="J620" t="s">
        <v>146</v>
      </c>
      <c r="K620" t="s">
        <v>64</v>
      </c>
      <c r="L620">
        <v>5</v>
      </c>
      <c r="M620" s="12">
        <v>250</v>
      </c>
      <c r="N620" s="12">
        <v>155</v>
      </c>
      <c r="O620">
        <v>2</v>
      </c>
      <c r="P620" s="12">
        <v>1225</v>
      </c>
      <c r="Q620" s="12">
        <v>775</v>
      </c>
      <c r="R620" s="12">
        <v>450</v>
      </c>
      <c r="S620" t="s">
        <v>1246</v>
      </c>
      <c r="T620" t="s">
        <v>107</v>
      </c>
      <c r="U620" t="s">
        <v>1199</v>
      </c>
    </row>
    <row r="621" spans="1:21" x14ac:dyDescent="0.25">
      <c r="A621" t="s">
        <v>2309</v>
      </c>
      <c r="B621" s="8">
        <v>45940</v>
      </c>
      <c r="C621" t="s">
        <v>3018</v>
      </c>
      <c r="D621" t="s">
        <v>459</v>
      </c>
      <c r="E621" t="s">
        <v>218</v>
      </c>
      <c r="F621">
        <v>21</v>
      </c>
      <c r="G621" t="s">
        <v>5</v>
      </c>
      <c r="H621" t="s">
        <v>3</v>
      </c>
      <c r="I621" t="s">
        <v>49</v>
      </c>
      <c r="J621" t="s">
        <v>56</v>
      </c>
      <c r="K621" t="s">
        <v>43</v>
      </c>
      <c r="L621">
        <v>1</v>
      </c>
      <c r="M621" s="12">
        <v>31999</v>
      </c>
      <c r="N621" s="12">
        <v>25599.200000000001</v>
      </c>
      <c r="O621">
        <v>6</v>
      </c>
      <c r="P621" s="12">
        <v>30079.059999999998</v>
      </c>
      <c r="Q621" s="12">
        <v>25599.200000000001</v>
      </c>
      <c r="R621" s="12">
        <v>4479.8599999999969</v>
      </c>
      <c r="S621" t="s">
        <v>113</v>
      </c>
      <c r="T621" t="s">
        <v>108</v>
      </c>
      <c r="U621" t="s">
        <v>1205</v>
      </c>
    </row>
    <row r="622" spans="1:21" x14ac:dyDescent="0.25">
      <c r="A622" t="s">
        <v>2311</v>
      </c>
      <c r="B622" s="8">
        <v>45722</v>
      </c>
      <c r="C622" t="s">
        <v>1574</v>
      </c>
      <c r="D622" t="s">
        <v>401</v>
      </c>
      <c r="E622" t="s">
        <v>218</v>
      </c>
      <c r="F622">
        <v>43</v>
      </c>
      <c r="G622" t="s">
        <v>289</v>
      </c>
      <c r="H622" t="s">
        <v>3</v>
      </c>
      <c r="I622" t="s">
        <v>34</v>
      </c>
      <c r="J622" t="s">
        <v>137</v>
      </c>
      <c r="K622" t="s">
        <v>22</v>
      </c>
      <c r="L622">
        <v>4</v>
      </c>
      <c r="M622" s="12">
        <v>6900</v>
      </c>
      <c r="N622" s="12">
        <v>5727</v>
      </c>
      <c r="O622">
        <v>4</v>
      </c>
      <c r="P622" s="12">
        <v>26496</v>
      </c>
      <c r="Q622" s="12">
        <v>22908</v>
      </c>
      <c r="R622" s="12">
        <v>3588</v>
      </c>
      <c r="S622" t="s">
        <v>1246</v>
      </c>
      <c r="T622" t="s">
        <v>109</v>
      </c>
      <c r="U622" t="s">
        <v>1194</v>
      </c>
    </row>
    <row r="623" spans="1:21" x14ac:dyDescent="0.25">
      <c r="A623" t="s">
        <v>2313</v>
      </c>
      <c r="B623" s="8">
        <v>45861</v>
      </c>
      <c r="C623" t="s">
        <v>2088</v>
      </c>
      <c r="D623" t="s">
        <v>595</v>
      </c>
      <c r="E623" t="s">
        <v>218</v>
      </c>
      <c r="F623">
        <v>28</v>
      </c>
      <c r="G623" t="s">
        <v>14</v>
      </c>
      <c r="H623" t="s">
        <v>15</v>
      </c>
      <c r="I623" t="s">
        <v>30</v>
      </c>
      <c r="J623" t="s">
        <v>41</v>
      </c>
      <c r="K623" t="s">
        <v>22</v>
      </c>
      <c r="L623">
        <v>4</v>
      </c>
      <c r="M623" s="12">
        <v>13749</v>
      </c>
      <c r="N623" s="12">
        <v>10999.2</v>
      </c>
      <c r="O623">
        <v>7</v>
      </c>
      <c r="P623" s="12">
        <v>51146.28</v>
      </c>
      <c r="Q623" s="12">
        <v>43996.800000000003</v>
      </c>
      <c r="R623" s="12">
        <v>7149.4799999999959</v>
      </c>
      <c r="S623" t="s">
        <v>1246</v>
      </c>
      <c r="T623" t="s">
        <v>108</v>
      </c>
      <c r="U623" t="s">
        <v>1211</v>
      </c>
    </row>
    <row r="624" spans="1:21" x14ac:dyDescent="0.25">
      <c r="A624" t="s">
        <v>2314</v>
      </c>
      <c r="B624" s="8">
        <v>45910</v>
      </c>
      <c r="C624" t="s">
        <v>3438</v>
      </c>
      <c r="D624" t="s">
        <v>370</v>
      </c>
      <c r="E624" t="s">
        <v>218</v>
      </c>
      <c r="F624">
        <v>39</v>
      </c>
      <c r="G624" t="s">
        <v>290</v>
      </c>
      <c r="H624" t="s">
        <v>3</v>
      </c>
      <c r="I624" t="s">
        <v>57</v>
      </c>
      <c r="J624" t="s">
        <v>67</v>
      </c>
      <c r="K624" t="s">
        <v>64</v>
      </c>
      <c r="L624">
        <v>2</v>
      </c>
      <c r="M624" s="12">
        <v>150</v>
      </c>
      <c r="N624" s="12">
        <v>97.5</v>
      </c>
      <c r="O624">
        <v>1</v>
      </c>
      <c r="P624" s="12">
        <v>297</v>
      </c>
      <c r="Q624" s="12">
        <v>195</v>
      </c>
      <c r="R624" s="12">
        <v>102</v>
      </c>
      <c r="S624" t="s">
        <v>1246</v>
      </c>
      <c r="T624" t="s">
        <v>107</v>
      </c>
      <c r="U624" t="s">
        <v>1209</v>
      </c>
    </row>
    <row r="625" spans="1:21" x14ac:dyDescent="0.25">
      <c r="A625" t="s">
        <v>2315</v>
      </c>
      <c r="B625" s="8">
        <v>45940</v>
      </c>
      <c r="C625" t="s">
        <v>3095</v>
      </c>
      <c r="D625" t="s">
        <v>804</v>
      </c>
      <c r="E625" t="s">
        <v>198</v>
      </c>
      <c r="F625">
        <v>31</v>
      </c>
      <c r="G625" t="s">
        <v>2</v>
      </c>
      <c r="H625" t="s">
        <v>3</v>
      </c>
      <c r="I625" t="s">
        <v>55</v>
      </c>
      <c r="J625" t="s">
        <v>65</v>
      </c>
      <c r="K625" t="s">
        <v>64</v>
      </c>
      <c r="L625">
        <v>1</v>
      </c>
      <c r="M625" s="12">
        <v>80</v>
      </c>
      <c r="N625" s="12">
        <v>56</v>
      </c>
      <c r="O625">
        <v>4</v>
      </c>
      <c r="P625" s="12">
        <v>76.8</v>
      </c>
      <c r="Q625" s="12">
        <v>56</v>
      </c>
      <c r="R625" s="12">
        <v>20.799999999999997</v>
      </c>
      <c r="S625" t="s">
        <v>1246</v>
      </c>
      <c r="T625" t="s">
        <v>107</v>
      </c>
      <c r="U625" t="s">
        <v>1205</v>
      </c>
    </row>
    <row r="626" spans="1:21" x14ac:dyDescent="0.25">
      <c r="A626" t="s">
        <v>2316</v>
      </c>
      <c r="B626" s="8">
        <v>45934</v>
      </c>
      <c r="C626" t="s">
        <v>2595</v>
      </c>
      <c r="D626" t="s">
        <v>613</v>
      </c>
      <c r="E626" t="s">
        <v>198</v>
      </c>
      <c r="F626">
        <v>36</v>
      </c>
      <c r="G626" t="s">
        <v>7</v>
      </c>
      <c r="H626" t="s">
        <v>8</v>
      </c>
      <c r="I626" t="s">
        <v>32</v>
      </c>
      <c r="J626" t="s">
        <v>29</v>
      </c>
      <c r="K626" t="s">
        <v>22</v>
      </c>
      <c r="L626">
        <v>1</v>
      </c>
      <c r="M626" s="12">
        <v>9500</v>
      </c>
      <c r="N626" s="12">
        <v>6650</v>
      </c>
      <c r="O626">
        <v>4</v>
      </c>
      <c r="P626" s="12">
        <v>9120</v>
      </c>
      <c r="Q626" s="12">
        <v>6650</v>
      </c>
      <c r="R626" s="12">
        <v>2470</v>
      </c>
      <c r="S626" t="s">
        <v>1246</v>
      </c>
      <c r="T626" t="s">
        <v>110</v>
      </c>
      <c r="U626" t="s">
        <v>1203</v>
      </c>
    </row>
    <row r="627" spans="1:21" x14ac:dyDescent="0.25">
      <c r="A627" t="s">
        <v>2318</v>
      </c>
      <c r="B627" s="8">
        <v>45896</v>
      </c>
      <c r="C627" t="s">
        <v>1524</v>
      </c>
      <c r="D627" t="s">
        <v>398</v>
      </c>
      <c r="E627" t="s">
        <v>198</v>
      </c>
      <c r="F627">
        <v>61</v>
      </c>
      <c r="G627" t="s">
        <v>7</v>
      </c>
      <c r="H627" t="s">
        <v>8</v>
      </c>
      <c r="I627" t="s">
        <v>32</v>
      </c>
      <c r="J627" t="s">
        <v>29</v>
      </c>
      <c r="K627" t="s">
        <v>22</v>
      </c>
      <c r="L627">
        <v>1</v>
      </c>
      <c r="M627" s="12">
        <v>9500</v>
      </c>
      <c r="N627" s="12">
        <v>6650</v>
      </c>
      <c r="O627">
        <v>4</v>
      </c>
      <c r="P627" s="12">
        <v>9120</v>
      </c>
      <c r="Q627" s="12">
        <v>6650</v>
      </c>
      <c r="R627" s="12">
        <v>2470</v>
      </c>
      <c r="S627" t="s">
        <v>1246</v>
      </c>
      <c r="T627" t="s">
        <v>110</v>
      </c>
      <c r="U627" t="s">
        <v>1194</v>
      </c>
    </row>
    <row r="628" spans="1:21" x14ac:dyDescent="0.25">
      <c r="A628" t="s">
        <v>2319</v>
      </c>
      <c r="B628" s="8">
        <v>45854</v>
      </c>
      <c r="C628" t="s">
        <v>1494</v>
      </c>
      <c r="D628" t="s">
        <v>930</v>
      </c>
      <c r="E628" t="s">
        <v>198</v>
      </c>
      <c r="F628">
        <v>54</v>
      </c>
      <c r="G628" t="s">
        <v>289</v>
      </c>
      <c r="H628" t="s">
        <v>3</v>
      </c>
      <c r="I628" t="s">
        <v>40</v>
      </c>
      <c r="J628" t="s">
        <v>39</v>
      </c>
      <c r="K628" t="s">
        <v>22</v>
      </c>
      <c r="L628">
        <v>3</v>
      </c>
      <c r="M628" s="12">
        <v>1100</v>
      </c>
      <c r="N628" s="12">
        <v>715</v>
      </c>
      <c r="O628">
        <v>3</v>
      </c>
      <c r="P628" s="12">
        <v>3201</v>
      </c>
      <c r="Q628" s="12">
        <v>2145</v>
      </c>
      <c r="R628" s="12">
        <v>1056</v>
      </c>
      <c r="S628" t="s">
        <v>1246</v>
      </c>
      <c r="T628" t="s">
        <v>108</v>
      </c>
      <c r="U628" t="s">
        <v>1196</v>
      </c>
    </row>
    <row r="629" spans="1:21" x14ac:dyDescent="0.25">
      <c r="A629" t="s">
        <v>2320</v>
      </c>
      <c r="B629" s="8">
        <v>45693</v>
      </c>
      <c r="C629" t="s">
        <v>5090</v>
      </c>
      <c r="D629" t="s">
        <v>836</v>
      </c>
      <c r="E629" t="s">
        <v>218</v>
      </c>
      <c r="F629">
        <v>58</v>
      </c>
      <c r="G629" t="s">
        <v>11</v>
      </c>
      <c r="H629" t="s">
        <v>12</v>
      </c>
      <c r="I629" t="s">
        <v>32</v>
      </c>
      <c r="J629" t="s">
        <v>29</v>
      </c>
      <c r="K629" t="s">
        <v>22</v>
      </c>
      <c r="L629">
        <v>4</v>
      </c>
      <c r="M629" s="12">
        <v>9500</v>
      </c>
      <c r="N629" s="12">
        <v>6650</v>
      </c>
      <c r="O629">
        <v>8</v>
      </c>
      <c r="P629" s="12">
        <v>34960</v>
      </c>
      <c r="Q629" s="12">
        <v>26600</v>
      </c>
      <c r="R629" s="12">
        <v>8360</v>
      </c>
      <c r="S629" t="s">
        <v>113</v>
      </c>
      <c r="T629" t="s">
        <v>111</v>
      </c>
      <c r="U629" t="s">
        <v>1203</v>
      </c>
    </row>
    <row r="630" spans="1:21" x14ac:dyDescent="0.25">
      <c r="A630" t="s">
        <v>2321</v>
      </c>
      <c r="B630" s="8">
        <v>45934</v>
      </c>
      <c r="C630" t="s">
        <v>3224</v>
      </c>
      <c r="D630" t="s">
        <v>1190</v>
      </c>
      <c r="E630" t="s">
        <v>218</v>
      </c>
      <c r="F630">
        <v>64</v>
      </c>
      <c r="G630" t="s">
        <v>290</v>
      </c>
      <c r="H630" t="s">
        <v>3</v>
      </c>
      <c r="I630" t="s">
        <v>36</v>
      </c>
      <c r="J630" t="s">
        <v>136</v>
      </c>
      <c r="K630" t="s">
        <v>22</v>
      </c>
      <c r="L630">
        <v>4</v>
      </c>
      <c r="M630" s="12">
        <v>3590</v>
      </c>
      <c r="N630" s="12">
        <v>2333.5</v>
      </c>
      <c r="O630">
        <v>6</v>
      </c>
      <c r="P630" s="12">
        <v>13498.4</v>
      </c>
      <c r="Q630" s="12">
        <v>9334</v>
      </c>
      <c r="R630" s="12">
        <v>4164.3999999999996</v>
      </c>
      <c r="S630" t="s">
        <v>113</v>
      </c>
      <c r="T630" t="s">
        <v>111</v>
      </c>
      <c r="U630" t="s">
        <v>1198</v>
      </c>
    </row>
    <row r="631" spans="1:21" x14ac:dyDescent="0.25">
      <c r="A631" t="s">
        <v>2323</v>
      </c>
      <c r="B631" s="8">
        <v>45936</v>
      </c>
      <c r="C631" t="s">
        <v>4635</v>
      </c>
      <c r="D631" t="s">
        <v>588</v>
      </c>
      <c r="E631" t="s">
        <v>198</v>
      </c>
      <c r="F631">
        <v>55</v>
      </c>
      <c r="G631" t="s">
        <v>289</v>
      </c>
      <c r="H631" t="s">
        <v>3</v>
      </c>
      <c r="I631" t="s">
        <v>42</v>
      </c>
      <c r="J631" t="s">
        <v>44</v>
      </c>
      <c r="K631" t="s">
        <v>43</v>
      </c>
      <c r="L631">
        <v>1</v>
      </c>
      <c r="M631" s="12">
        <v>8999</v>
      </c>
      <c r="N631" s="12">
        <v>6479.28</v>
      </c>
      <c r="O631">
        <v>5</v>
      </c>
      <c r="P631" s="12">
        <v>8549.0499999999993</v>
      </c>
      <c r="Q631" s="12">
        <v>6479.28</v>
      </c>
      <c r="R631" s="12">
        <v>2069.7699999999995</v>
      </c>
      <c r="S631" t="s">
        <v>113</v>
      </c>
      <c r="T631" t="s">
        <v>111</v>
      </c>
      <c r="U631" t="s">
        <v>1194</v>
      </c>
    </row>
    <row r="632" spans="1:21" x14ac:dyDescent="0.25">
      <c r="A632" t="s">
        <v>2325</v>
      </c>
      <c r="B632" s="8">
        <v>45996</v>
      </c>
      <c r="C632" t="s">
        <v>1751</v>
      </c>
      <c r="D632" t="s">
        <v>795</v>
      </c>
      <c r="E632" t="s">
        <v>198</v>
      </c>
      <c r="F632">
        <v>65</v>
      </c>
      <c r="G632" t="s">
        <v>17</v>
      </c>
      <c r="H632" t="s">
        <v>15</v>
      </c>
      <c r="I632" t="s">
        <v>28</v>
      </c>
      <c r="J632" t="s">
        <v>35</v>
      </c>
      <c r="K632" t="s">
        <v>22</v>
      </c>
      <c r="L632">
        <v>5</v>
      </c>
      <c r="M632" s="12">
        <v>16499</v>
      </c>
      <c r="N632" s="12">
        <v>14519.12</v>
      </c>
      <c r="O632">
        <v>15</v>
      </c>
      <c r="P632" s="12">
        <v>70120.75</v>
      </c>
      <c r="Q632" s="12">
        <v>72595.600000000006</v>
      </c>
      <c r="R632" s="12">
        <v>-2474.8500000000058</v>
      </c>
      <c r="S632" t="s">
        <v>113</v>
      </c>
      <c r="T632" t="s">
        <v>107</v>
      </c>
      <c r="U632" t="s">
        <v>1209</v>
      </c>
    </row>
    <row r="633" spans="1:21" x14ac:dyDescent="0.25">
      <c r="A633" t="s">
        <v>2326</v>
      </c>
      <c r="B633" s="8">
        <v>45690</v>
      </c>
      <c r="C633" t="s">
        <v>1517</v>
      </c>
      <c r="D633" t="s">
        <v>495</v>
      </c>
      <c r="E633" t="s">
        <v>198</v>
      </c>
      <c r="F633">
        <v>45</v>
      </c>
      <c r="G633" t="s">
        <v>4</v>
      </c>
      <c r="H633" t="s">
        <v>3</v>
      </c>
      <c r="I633" t="s">
        <v>61</v>
      </c>
      <c r="J633" t="s">
        <v>146</v>
      </c>
      <c r="K633" t="s">
        <v>64</v>
      </c>
      <c r="L633">
        <v>1</v>
      </c>
      <c r="M633" s="12">
        <v>250</v>
      </c>
      <c r="N633" s="12">
        <v>155</v>
      </c>
      <c r="O633">
        <v>2</v>
      </c>
      <c r="P633" s="12">
        <v>245</v>
      </c>
      <c r="Q633" s="12">
        <v>155</v>
      </c>
      <c r="R633" s="12">
        <v>90</v>
      </c>
      <c r="S633" t="s">
        <v>1246</v>
      </c>
      <c r="T633" t="s">
        <v>107</v>
      </c>
      <c r="U633" t="s">
        <v>1199</v>
      </c>
    </row>
    <row r="634" spans="1:21" x14ac:dyDescent="0.25">
      <c r="A634" t="s">
        <v>2328</v>
      </c>
      <c r="B634" s="8">
        <v>45893</v>
      </c>
      <c r="C634" t="s">
        <v>2221</v>
      </c>
      <c r="D634" t="s">
        <v>808</v>
      </c>
      <c r="E634" t="s">
        <v>218</v>
      </c>
      <c r="F634">
        <v>51</v>
      </c>
      <c r="G634" t="s">
        <v>2</v>
      </c>
      <c r="H634" t="s">
        <v>3</v>
      </c>
      <c r="I634" t="s">
        <v>21</v>
      </c>
      <c r="J634" t="s">
        <v>23</v>
      </c>
      <c r="K634" t="s">
        <v>22</v>
      </c>
      <c r="L634">
        <v>2</v>
      </c>
      <c r="M634" s="12">
        <v>54999</v>
      </c>
      <c r="N634" s="12">
        <v>45099.18</v>
      </c>
      <c r="O634">
        <v>6</v>
      </c>
      <c r="P634" s="12">
        <v>103398.12</v>
      </c>
      <c r="Q634" s="12">
        <v>90198.36</v>
      </c>
      <c r="R634" s="12">
        <v>13199.759999999995</v>
      </c>
      <c r="S634" t="s">
        <v>1246</v>
      </c>
      <c r="T634" t="s">
        <v>111</v>
      </c>
      <c r="U634" t="s">
        <v>1199</v>
      </c>
    </row>
    <row r="635" spans="1:21" x14ac:dyDescent="0.25">
      <c r="A635" t="s">
        <v>2330</v>
      </c>
      <c r="B635" s="8">
        <v>45756</v>
      </c>
      <c r="C635" t="s">
        <v>2454</v>
      </c>
      <c r="D635" t="s">
        <v>478</v>
      </c>
      <c r="E635" t="s">
        <v>198</v>
      </c>
      <c r="F635">
        <v>42</v>
      </c>
      <c r="G635" t="s">
        <v>10</v>
      </c>
      <c r="H635" t="s">
        <v>8</v>
      </c>
      <c r="I635" t="s">
        <v>26</v>
      </c>
      <c r="J635" t="s">
        <v>27</v>
      </c>
      <c r="K635" t="s">
        <v>22</v>
      </c>
      <c r="L635">
        <v>4</v>
      </c>
      <c r="M635" s="12">
        <v>27499</v>
      </c>
      <c r="N635" s="12">
        <v>23374.149999999998</v>
      </c>
      <c r="O635">
        <v>5</v>
      </c>
      <c r="P635" s="12">
        <v>104496.2</v>
      </c>
      <c r="Q635" s="12">
        <v>93496.599999999991</v>
      </c>
      <c r="R635" s="12">
        <v>10999.600000000006</v>
      </c>
      <c r="S635" t="s">
        <v>1246</v>
      </c>
      <c r="T635" t="s">
        <v>108</v>
      </c>
      <c r="U635" t="s">
        <v>1203</v>
      </c>
    </row>
    <row r="636" spans="1:21" x14ac:dyDescent="0.25">
      <c r="A636" t="s">
        <v>2331</v>
      </c>
      <c r="B636" s="8">
        <v>45795</v>
      </c>
      <c r="C636" t="s">
        <v>1609</v>
      </c>
      <c r="D636" t="s">
        <v>862</v>
      </c>
      <c r="E636" t="s">
        <v>218</v>
      </c>
      <c r="F636">
        <v>59</v>
      </c>
      <c r="G636" t="s">
        <v>4</v>
      </c>
      <c r="H636" t="s">
        <v>3</v>
      </c>
      <c r="I636" t="s">
        <v>40</v>
      </c>
      <c r="J636" t="s">
        <v>39</v>
      </c>
      <c r="K636" t="s">
        <v>22</v>
      </c>
      <c r="L636">
        <v>5</v>
      </c>
      <c r="M636" s="12">
        <v>1100</v>
      </c>
      <c r="N636" s="12">
        <v>715</v>
      </c>
      <c r="O636">
        <v>6</v>
      </c>
      <c r="P636" s="12">
        <v>5170</v>
      </c>
      <c r="Q636" s="12">
        <v>3575</v>
      </c>
      <c r="R636" s="12">
        <v>1595</v>
      </c>
      <c r="S636" t="s">
        <v>1246</v>
      </c>
      <c r="T636" t="s">
        <v>107</v>
      </c>
      <c r="U636" t="s">
        <v>1209</v>
      </c>
    </row>
    <row r="637" spans="1:21" x14ac:dyDescent="0.25">
      <c r="A637" t="s">
        <v>2332</v>
      </c>
      <c r="B637" s="8">
        <v>45689</v>
      </c>
      <c r="C637" t="s">
        <v>1596</v>
      </c>
      <c r="D637" t="s">
        <v>1120</v>
      </c>
      <c r="E637" t="s">
        <v>218</v>
      </c>
      <c r="F637">
        <v>50</v>
      </c>
      <c r="G637" t="s">
        <v>5</v>
      </c>
      <c r="H637" t="s">
        <v>3</v>
      </c>
      <c r="I637" t="s">
        <v>61</v>
      </c>
      <c r="J637" t="s">
        <v>146</v>
      </c>
      <c r="K637" t="s">
        <v>64</v>
      </c>
      <c r="L637">
        <v>3</v>
      </c>
      <c r="M637" s="12">
        <v>250</v>
      </c>
      <c r="N637" s="12">
        <v>155</v>
      </c>
      <c r="O637">
        <v>3</v>
      </c>
      <c r="P637" s="12">
        <v>727.5</v>
      </c>
      <c r="Q637" s="12">
        <v>465</v>
      </c>
      <c r="R637" s="12">
        <v>262.5</v>
      </c>
      <c r="S637" t="s">
        <v>113</v>
      </c>
      <c r="T637" t="s">
        <v>108</v>
      </c>
      <c r="U637" t="s">
        <v>1203</v>
      </c>
    </row>
    <row r="638" spans="1:21" x14ac:dyDescent="0.25">
      <c r="A638" t="s">
        <v>2334</v>
      </c>
      <c r="B638" s="8">
        <v>45837</v>
      </c>
      <c r="C638" t="s">
        <v>2750</v>
      </c>
      <c r="D638" t="s">
        <v>622</v>
      </c>
      <c r="E638" t="s">
        <v>218</v>
      </c>
      <c r="F638">
        <v>29</v>
      </c>
      <c r="G638" t="s">
        <v>16</v>
      </c>
      <c r="H638" t="s">
        <v>15</v>
      </c>
      <c r="I638" t="s">
        <v>26</v>
      </c>
      <c r="J638" t="s">
        <v>27</v>
      </c>
      <c r="K638" t="s">
        <v>22</v>
      </c>
      <c r="L638">
        <v>1</v>
      </c>
      <c r="M638" s="12">
        <v>27499</v>
      </c>
      <c r="N638" s="12">
        <v>23374.149999999998</v>
      </c>
      <c r="O638">
        <v>8</v>
      </c>
      <c r="P638" s="12">
        <v>25299.08</v>
      </c>
      <c r="Q638" s="12">
        <v>23374.149999999998</v>
      </c>
      <c r="R638" s="12">
        <v>1924.9300000000039</v>
      </c>
      <c r="S638" t="s">
        <v>1246</v>
      </c>
      <c r="T638" t="s">
        <v>107</v>
      </c>
      <c r="U638" t="s">
        <v>1207</v>
      </c>
    </row>
    <row r="639" spans="1:21" x14ac:dyDescent="0.25">
      <c r="A639" t="s">
        <v>2335</v>
      </c>
      <c r="B639" s="8">
        <v>45688</v>
      </c>
      <c r="C639" t="s">
        <v>1809</v>
      </c>
      <c r="D639" t="s">
        <v>767</v>
      </c>
      <c r="E639" t="s">
        <v>198</v>
      </c>
      <c r="F639">
        <v>34</v>
      </c>
      <c r="G639" t="s">
        <v>7</v>
      </c>
      <c r="H639" t="s">
        <v>8</v>
      </c>
      <c r="I639" t="s">
        <v>49</v>
      </c>
      <c r="J639" t="s">
        <v>56</v>
      </c>
      <c r="K639" t="s">
        <v>43</v>
      </c>
      <c r="L639">
        <v>2</v>
      </c>
      <c r="M639" s="12">
        <v>31999</v>
      </c>
      <c r="N639" s="12">
        <v>25599.200000000001</v>
      </c>
      <c r="O639">
        <v>2</v>
      </c>
      <c r="P639" s="12">
        <v>62718.04</v>
      </c>
      <c r="Q639" s="12">
        <v>51198.400000000001</v>
      </c>
      <c r="R639" s="12">
        <v>11519.64</v>
      </c>
      <c r="S639" t="s">
        <v>113</v>
      </c>
      <c r="T639" t="s">
        <v>107</v>
      </c>
      <c r="U639" t="s">
        <v>1207</v>
      </c>
    </row>
    <row r="640" spans="1:21" x14ac:dyDescent="0.25">
      <c r="A640" t="s">
        <v>2336</v>
      </c>
      <c r="B640" s="8">
        <v>46018</v>
      </c>
      <c r="C640" t="s">
        <v>2424</v>
      </c>
      <c r="D640" t="s">
        <v>536</v>
      </c>
      <c r="E640" t="s">
        <v>198</v>
      </c>
      <c r="F640">
        <v>59</v>
      </c>
      <c r="G640" t="s">
        <v>2</v>
      </c>
      <c r="H640" t="s">
        <v>3</v>
      </c>
      <c r="I640" t="s">
        <v>47</v>
      </c>
      <c r="J640" t="s">
        <v>52</v>
      </c>
      <c r="K640" t="s">
        <v>43</v>
      </c>
      <c r="L640">
        <v>2</v>
      </c>
      <c r="M640" s="12">
        <v>42999</v>
      </c>
      <c r="N640" s="12">
        <v>33539.22</v>
      </c>
      <c r="O640">
        <v>13</v>
      </c>
      <c r="P640" s="12">
        <v>74818.259999999995</v>
      </c>
      <c r="Q640" s="12">
        <v>67078.44</v>
      </c>
      <c r="R640" s="12">
        <v>7739.8199999999924</v>
      </c>
      <c r="S640" t="s">
        <v>1246</v>
      </c>
      <c r="T640" t="s">
        <v>107</v>
      </c>
      <c r="U640" t="s">
        <v>1194</v>
      </c>
    </row>
    <row r="641" spans="1:21" x14ac:dyDescent="0.25">
      <c r="A641" t="s">
        <v>2338</v>
      </c>
      <c r="B641" s="8">
        <v>45809</v>
      </c>
      <c r="C641" t="s">
        <v>1383</v>
      </c>
      <c r="D641" t="s">
        <v>998</v>
      </c>
      <c r="E641" t="s">
        <v>198</v>
      </c>
      <c r="F641">
        <v>60</v>
      </c>
      <c r="G641" t="s">
        <v>9</v>
      </c>
      <c r="H641" t="s">
        <v>8</v>
      </c>
      <c r="I641" t="s">
        <v>61</v>
      </c>
      <c r="J641" t="s">
        <v>146</v>
      </c>
      <c r="K641" t="s">
        <v>64</v>
      </c>
      <c r="L641">
        <v>1</v>
      </c>
      <c r="M641" s="12">
        <v>250</v>
      </c>
      <c r="N641" s="12">
        <v>155</v>
      </c>
      <c r="O641">
        <v>15</v>
      </c>
      <c r="P641" s="12">
        <v>212.5</v>
      </c>
      <c r="Q641" s="12">
        <v>155</v>
      </c>
      <c r="R641" s="12">
        <v>57.5</v>
      </c>
      <c r="S641" t="s">
        <v>1246</v>
      </c>
      <c r="T641" t="s">
        <v>109</v>
      </c>
      <c r="U641" t="s">
        <v>1198</v>
      </c>
    </row>
    <row r="642" spans="1:21" x14ac:dyDescent="0.25">
      <c r="A642" t="s">
        <v>2339</v>
      </c>
      <c r="B642" s="8">
        <v>45764</v>
      </c>
      <c r="C642" t="s">
        <v>3765</v>
      </c>
      <c r="D642" t="s">
        <v>591</v>
      </c>
      <c r="E642" t="s">
        <v>218</v>
      </c>
      <c r="F642">
        <v>29</v>
      </c>
      <c r="G642" t="s">
        <v>290</v>
      </c>
      <c r="H642" t="s">
        <v>3</v>
      </c>
      <c r="I642" t="s">
        <v>49</v>
      </c>
      <c r="J642" t="s">
        <v>56</v>
      </c>
      <c r="K642" t="s">
        <v>43</v>
      </c>
      <c r="L642">
        <v>1</v>
      </c>
      <c r="M642" s="12">
        <v>31999</v>
      </c>
      <c r="N642" s="12">
        <v>25599.200000000001</v>
      </c>
      <c r="O642">
        <v>9</v>
      </c>
      <c r="P642" s="12">
        <v>29119.09</v>
      </c>
      <c r="Q642" s="12">
        <v>25599.200000000001</v>
      </c>
      <c r="R642" s="12">
        <v>3519.8899999999994</v>
      </c>
      <c r="S642" t="s">
        <v>1246</v>
      </c>
      <c r="T642" t="s">
        <v>108</v>
      </c>
      <c r="U642" t="s">
        <v>1211</v>
      </c>
    </row>
    <row r="643" spans="1:21" x14ac:dyDescent="0.25">
      <c r="A643" t="s">
        <v>2340</v>
      </c>
      <c r="B643" s="8">
        <v>45675</v>
      </c>
      <c r="C643" t="s">
        <v>2206</v>
      </c>
      <c r="D643" t="s">
        <v>846</v>
      </c>
      <c r="E643" t="s">
        <v>218</v>
      </c>
      <c r="F643">
        <v>52</v>
      </c>
      <c r="G643" t="s">
        <v>14</v>
      </c>
      <c r="H643" t="s">
        <v>15</v>
      </c>
      <c r="I643" t="s">
        <v>59</v>
      </c>
      <c r="J643" t="s">
        <v>73</v>
      </c>
      <c r="K643" t="s">
        <v>64</v>
      </c>
      <c r="L643">
        <v>5</v>
      </c>
      <c r="M643" s="12">
        <v>120</v>
      </c>
      <c r="N643" s="12">
        <v>81.599999999999994</v>
      </c>
      <c r="O643">
        <v>13</v>
      </c>
      <c r="P643" s="12">
        <v>522</v>
      </c>
      <c r="Q643" s="12">
        <v>408</v>
      </c>
      <c r="R643" s="12">
        <v>114</v>
      </c>
      <c r="S643" t="s">
        <v>113</v>
      </c>
      <c r="T643" t="s">
        <v>108</v>
      </c>
      <c r="U643" t="s">
        <v>1209</v>
      </c>
    </row>
    <row r="644" spans="1:21" x14ac:dyDescent="0.25">
      <c r="A644" t="s">
        <v>2341</v>
      </c>
      <c r="B644" s="8">
        <v>45845</v>
      </c>
      <c r="C644" t="s">
        <v>3895</v>
      </c>
      <c r="D644" t="s">
        <v>1106</v>
      </c>
      <c r="E644" t="s">
        <v>198</v>
      </c>
      <c r="F644">
        <v>41</v>
      </c>
      <c r="G644" t="s">
        <v>290</v>
      </c>
      <c r="H644" t="s">
        <v>3</v>
      </c>
      <c r="I644" t="s">
        <v>49</v>
      </c>
      <c r="J644" t="s">
        <v>56</v>
      </c>
      <c r="K644" t="s">
        <v>43</v>
      </c>
      <c r="L644">
        <v>4</v>
      </c>
      <c r="M644" s="12">
        <v>31999</v>
      </c>
      <c r="N644" s="12">
        <v>25599.200000000001</v>
      </c>
      <c r="O644">
        <v>10</v>
      </c>
      <c r="P644" s="12">
        <v>115196.40000000001</v>
      </c>
      <c r="Q644" s="12">
        <v>102396.8</v>
      </c>
      <c r="R644" s="12">
        <v>12799.600000000006</v>
      </c>
      <c r="S644" t="s">
        <v>113</v>
      </c>
      <c r="T644" t="s">
        <v>107</v>
      </c>
      <c r="U644" t="s">
        <v>1196</v>
      </c>
    </row>
    <row r="645" spans="1:21" x14ac:dyDescent="0.25">
      <c r="A645" t="s">
        <v>2343</v>
      </c>
      <c r="B645" s="8">
        <v>45825</v>
      </c>
      <c r="C645" t="s">
        <v>4606</v>
      </c>
      <c r="D645" t="s">
        <v>498</v>
      </c>
      <c r="E645" t="s">
        <v>198</v>
      </c>
      <c r="F645">
        <v>58</v>
      </c>
      <c r="G645" t="s">
        <v>17</v>
      </c>
      <c r="H645" t="s">
        <v>15</v>
      </c>
      <c r="I645" t="s">
        <v>34</v>
      </c>
      <c r="J645" t="s">
        <v>137</v>
      </c>
      <c r="K645" t="s">
        <v>22</v>
      </c>
      <c r="L645">
        <v>4</v>
      </c>
      <c r="M645" s="12">
        <v>6900</v>
      </c>
      <c r="N645" s="12">
        <v>5727</v>
      </c>
      <c r="O645">
        <v>5</v>
      </c>
      <c r="P645" s="12">
        <v>26220</v>
      </c>
      <c r="Q645" s="12">
        <v>22908</v>
      </c>
      <c r="R645" s="12">
        <v>3312</v>
      </c>
      <c r="S645" t="s">
        <v>113</v>
      </c>
      <c r="T645" t="s">
        <v>108</v>
      </c>
      <c r="U645" t="s">
        <v>1198</v>
      </c>
    </row>
    <row r="646" spans="1:21" x14ac:dyDescent="0.25">
      <c r="A646" t="s">
        <v>2344</v>
      </c>
      <c r="B646" s="8">
        <v>45817</v>
      </c>
      <c r="C646" t="s">
        <v>2377</v>
      </c>
      <c r="D646" t="s">
        <v>585</v>
      </c>
      <c r="E646" t="s">
        <v>218</v>
      </c>
      <c r="F646">
        <v>39</v>
      </c>
      <c r="G646" t="s">
        <v>9</v>
      </c>
      <c r="H646" t="s">
        <v>8</v>
      </c>
      <c r="I646" t="s">
        <v>21</v>
      </c>
      <c r="J646" t="s">
        <v>23</v>
      </c>
      <c r="K646" t="s">
        <v>22</v>
      </c>
      <c r="L646">
        <v>3</v>
      </c>
      <c r="M646" s="12">
        <v>54999</v>
      </c>
      <c r="N646" s="12">
        <v>45099.18</v>
      </c>
      <c r="O646">
        <v>6</v>
      </c>
      <c r="P646" s="12">
        <v>155097.18</v>
      </c>
      <c r="Q646" s="12">
        <v>135297.54</v>
      </c>
      <c r="R646" s="12">
        <v>19799.639999999985</v>
      </c>
      <c r="S646" t="s">
        <v>1249</v>
      </c>
      <c r="T646" t="s">
        <v>110</v>
      </c>
      <c r="U646" t="s">
        <v>1207</v>
      </c>
    </row>
    <row r="647" spans="1:21" x14ac:dyDescent="0.25">
      <c r="A647" t="s">
        <v>2345</v>
      </c>
      <c r="B647" s="8">
        <v>45911</v>
      </c>
      <c r="C647" t="s">
        <v>1494</v>
      </c>
      <c r="D647" t="s">
        <v>930</v>
      </c>
      <c r="E647" t="s">
        <v>198</v>
      </c>
      <c r="F647">
        <v>54</v>
      </c>
      <c r="G647" t="s">
        <v>289</v>
      </c>
      <c r="H647" t="s">
        <v>3</v>
      </c>
      <c r="I647" t="s">
        <v>51</v>
      </c>
      <c r="J647" t="s">
        <v>54</v>
      </c>
      <c r="K647" t="s">
        <v>43</v>
      </c>
      <c r="L647">
        <v>5</v>
      </c>
      <c r="M647" s="12">
        <v>27499</v>
      </c>
      <c r="N647" s="12">
        <v>21724.210000000003</v>
      </c>
      <c r="O647">
        <v>10</v>
      </c>
      <c r="P647" s="12">
        <v>123745.5</v>
      </c>
      <c r="Q647" s="12">
        <v>108621.05000000002</v>
      </c>
      <c r="R647" s="12">
        <v>15124.449999999983</v>
      </c>
      <c r="S647" t="s">
        <v>1246</v>
      </c>
      <c r="T647" t="s">
        <v>109</v>
      </c>
      <c r="U647" t="s">
        <v>1205</v>
      </c>
    </row>
    <row r="648" spans="1:21" x14ac:dyDescent="0.25">
      <c r="A648" t="s">
        <v>2346</v>
      </c>
      <c r="B648" s="8">
        <v>46013</v>
      </c>
      <c r="C648" t="s">
        <v>4001</v>
      </c>
      <c r="D648" t="s">
        <v>777</v>
      </c>
      <c r="E648" t="s">
        <v>218</v>
      </c>
      <c r="F648">
        <v>19</v>
      </c>
      <c r="G648" t="s">
        <v>4</v>
      </c>
      <c r="H648" t="s">
        <v>3</v>
      </c>
      <c r="I648" t="s">
        <v>59</v>
      </c>
      <c r="J648" t="s">
        <v>73</v>
      </c>
      <c r="K648" t="s">
        <v>64</v>
      </c>
      <c r="L648">
        <v>2</v>
      </c>
      <c r="M648" s="12">
        <v>120</v>
      </c>
      <c r="N648" s="12">
        <v>81.599999999999994</v>
      </c>
      <c r="O648">
        <v>4</v>
      </c>
      <c r="P648" s="12">
        <v>230.39999999999998</v>
      </c>
      <c r="Q648" s="12">
        <v>163.19999999999999</v>
      </c>
      <c r="R648" s="12">
        <v>67.199999999999989</v>
      </c>
      <c r="S648" t="s">
        <v>113</v>
      </c>
      <c r="T648" t="s">
        <v>108</v>
      </c>
      <c r="U648" t="s">
        <v>1205</v>
      </c>
    </row>
    <row r="649" spans="1:21" x14ac:dyDescent="0.25">
      <c r="A649" t="s">
        <v>2348</v>
      </c>
      <c r="B649" s="8">
        <v>45700</v>
      </c>
      <c r="C649" t="s">
        <v>1701</v>
      </c>
      <c r="D649" t="s">
        <v>475</v>
      </c>
      <c r="E649" t="s">
        <v>218</v>
      </c>
      <c r="F649">
        <v>18</v>
      </c>
      <c r="G649" t="s">
        <v>7</v>
      </c>
      <c r="H649" t="s">
        <v>8</v>
      </c>
      <c r="I649" t="s">
        <v>53</v>
      </c>
      <c r="J649" t="s">
        <v>48</v>
      </c>
      <c r="K649" t="s">
        <v>43</v>
      </c>
      <c r="L649">
        <v>2</v>
      </c>
      <c r="M649" s="12">
        <v>6499</v>
      </c>
      <c r="N649" s="12">
        <v>4549.2999999999993</v>
      </c>
      <c r="O649">
        <v>7</v>
      </c>
      <c r="P649" s="12">
        <v>12088.14</v>
      </c>
      <c r="Q649" s="12">
        <v>9098.5999999999985</v>
      </c>
      <c r="R649" s="12">
        <v>2989.5400000000009</v>
      </c>
      <c r="S649" t="s">
        <v>1249</v>
      </c>
      <c r="T649" t="s">
        <v>111</v>
      </c>
      <c r="U649" t="s">
        <v>1194</v>
      </c>
    </row>
    <row r="650" spans="1:21" x14ac:dyDescent="0.25">
      <c r="A650" t="s">
        <v>2350</v>
      </c>
      <c r="B650" s="8">
        <v>45945</v>
      </c>
      <c r="C650" t="s">
        <v>1692</v>
      </c>
      <c r="D650" t="s">
        <v>988</v>
      </c>
      <c r="E650" t="s">
        <v>218</v>
      </c>
      <c r="F650">
        <v>49</v>
      </c>
      <c r="G650" t="s">
        <v>289</v>
      </c>
      <c r="H650" t="s">
        <v>3</v>
      </c>
      <c r="I650" t="s">
        <v>30</v>
      </c>
      <c r="J650" t="s">
        <v>41</v>
      </c>
      <c r="K650" t="s">
        <v>22</v>
      </c>
      <c r="L650">
        <v>4</v>
      </c>
      <c r="M650" s="12">
        <v>13749</v>
      </c>
      <c r="N650" s="12">
        <v>10999.2</v>
      </c>
      <c r="O650">
        <v>3</v>
      </c>
      <c r="P650" s="12">
        <v>53346.119999999995</v>
      </c>
      <c r="Q650" s="12">
        <v>43996.800000000003</v>
      </c>
      <c r="R650" s="12">
        <v>9349.3199999999924</v>
      </c>
      <c r="S650" t="s">
        <v>1246</v>
      </c>
      <c r="T650" t="s">
        <v>108</v>
      </c>
      <c r="U650" t="s">
        <v>1198</v>
      </c>
    </row>
    <row r="651" spans="1:21" x14ac:dyDescent="0.25">
      <c r="A651" t="s">
        <v>2351</v>
      </c>
      <c r="B651" s="8">
        <v>45937</v>
      </c>
      <c r="C651" t="s">
        <v>1372</v>
      </c>
      <c r="D651" t="s">
        <v>1181</v>
      </c>
      <c r="E651" t="s">
        <v>218</v>
      </c>
      <c r="F651">
        <v>29</v>
      </c>
      <c r="G651" t="s">
        <v>4</v>
      </c>
      <c r="H651" t="s">
        <v>3</v>
      </c>
      <c r="I651" t="s">
        <v>61</v>
      </c>
      <c r="J651" t="s">
        <v>146</v>
      </c>
      <c r="K651" t="s">
        <v>64</v>
      </c>
      <c r="L651">
        <v>2</v>
      </c>
      <c r="M651" s="12">
        <v>250</v>
      </c>
      <c r="N651" s="12">
        <v>155</v>
      </c>
      <c r="O651">
        <v>0</v>
      </c>
      <c r="P651" s="12">
        <v>500</v>
      </c>
      <c r="Q651" s="12">
        <v>310</v>
      </c>
      <c r="R651" s="12">
        <v>190</v>
      </c>
      <c r="S651" t="s">
        <v>113</v>
      </c>
      <c r="T651" t="s">
        <v>108</v>
      </c>
      <c r="U651" t="s">
        <v>1205</v>
      </c>
    </row>
    <row r="652" spans="1:21" x14ac:dyDescent="0.25">
      <c r="A652" t="s">
        <v>2352</v>
      </c>
      <c r="B652" s="8">
        <v>45844</v>
      </c>
      <c r="C652" t="s">
        <v>2106</v>
      </c>
      <c r="D652" t="s">
        <v>473</v>
      </c>
      <c r="E652" t="s">
        <v>218</v>
      </c>
      <c r="F652">
        <v>37</v>
      </c>
      <c r="G652" t="s">
        <v>10</v>
      </c>
      <c r="H652" t="s">
        <v>8</v>
      </c>
      <c r="I652" t="s">
        <v>47</v>
      </c>
      <c r="J652" t="s">
        <v>52</v>
      </c>
      <c r="K652" t="s">
        <v>43</v>
      </c>
      <c r="L652">
        <v>2</v>
      </c>
      <c r="M652" s="12">
        <v>42999</v>
      </c>
      <c r="N652" s="12">
        <v>33539.22</v>
      </c>
      <c r="O652">
        <v>9</v>
      </c>
      <c r="P652" s="12">
        <v>78258.180000000008</v>
      </c>
      <c r="Q652" s="12">
        <v>67078.44</v>
      </c>
      <c r="R652" s="12">
        <v>11179.740000000005</v>
      </c>
      <c r="S652" t="s">
        <v>1249</v>
      </c>
      <c r="T652" t="s">
        <v>108</v>
      </c>
      <c r="U652" t="s">
        <v>1201</v>
      </c>
    </row>
    <row r="653" spans="1:21" x14ac:dyDescent="0.25">
      <c r="A653" t="s">
        <v>2353</v>
      </c>
      <c r="B653" s="8">
        <v>45665</v>
      </c>
      <c r="C653" t="s">
        <v>2713</v>
      </c>
      <c r="D653" t="s">
        <v>788</v>
      </c>
      <c r="E653" t="s">
        <v>218</v>
      </c>
      <c r="F653">
        <v>57</v>
      </c>
      <c r="G653" t="s">
        <v>4</v>
      </c>
      <c r="H653" t="s">
        <v>3</v>
      </c>
      <c r="I653" t="s">
        <v>51</v>
      </c>
      <c r="J653" t="s">
        <v>54</v>
      </c>
      <c r="K653" t="s">
        <v>43</v>
      </c>
      <c r="L653">
        <v>2</v>
      </c>
      <c r="M653" s="12">
        <v>27499</v>
      </c>
      <c r="N653" s="12">
        <v>21724.210000000003</v>
      </c>
      <c r="O653">
        <v>2</v>
      </c>
      <c r="P653" s="12">
        <v>53898.04</v>
      </c>
      <c r="Q653" s="12">
        <v>43448.420000000006</v>
      </c>
      <c r="R653" s="12">
        <v>10449.619999999995</v>
      </c>
      <c r="S653" t="s">
        <v>113</v>
      </c>
      <c r="T653" t="s">
        <v>107</v>
      </c>
      <c r="U653" t="s">
        <v>1203</v>
      </c>
    </row>
    <row r="654" spans="1:21" x14ac:dyDescent="0.25">
      <c r="A654" t="s">
        <v>2354</v>
      </c>
      <c r="B654" s="8">
        <v>45801</v>
      </c>
      <c r="C654" t="s">
        <v>5091</v>
      </c>
      <c r="D654" t="s">
        <v>717</v>
      </c>
      <c r="E654" t="s">
        <v>198</v>
      </c>
      <c r="F654">
        <v>47</v>
      </c>
      <c r="G654" t="s">
        <v>14</v>
      </c>
      <c r="H654" t="s">
        <v>15</v>
      </c>
      <c r="I654" t="s">
        <v>55</v>
      </c>
      <c r="J654" t="s">
        <v>65</v>
      </c>
      <c r="K654" t="s">
        <v>64</v>
      </c>
      <c r="L654">
        <v>2</v>
      </c>
      <c r="M654" s="12">
        <v>80</v>
      </c>
      <c r="N654" s="12">
        <v>56</v>
      </c>
      <c r="O654">
        <v>14</v>
      </c>
      <c r="P654" s="12">
        <v>137.6</v>
      </c>
      <c r="Q654" s="12">
        <v>112</v>
      </c>
      <c r="R654" s="12">
        <v>25.599999999999994</v>
      </c>
      <c r="S654" t="s">
        <v>113</v>
      </c>
      <c r="T654" t="s">
        <v>107</v>
      </c>
      <c r="U654" t="s">
        <v>1203</v>
      </c>
    </row>
    <row r="655" spans="1:21" x14ac:dyDescent="0.25">
      <c r="A655" t="s">
        <v>2355</v>
      </c>
      <c r="B655" s="8">
        <v>45776</v>
      </c>
      <c r="C655" t="s">
        <v>2216</v>
      </c>
      <c r="D655" t="s">
        <v>876</v>
      </c>
      <c r="E655" t="s">
        <v>198</v>
      </c>
      <c r="F655">
        <v>61</v>
      </c>
      <c r="G655" t="s">
        <v>2</v>
      </c>
      <c r="H655" t="s">
        <v>3</v>
      </c>
      <c r="I655" t="s">
        <v>63</v>
      </c>
      <c r="J655" t="s">
        <v>77</v>
      </c>
      <c r="K655" t="s">
        <v>64</v>
      </c>
      <c r="L655">
        <v>1</v>
      </c>
      <c r="M655" s="12">
        <v>650</v>
      </c>
      <c r="N655" s="12">
        <v>468</v>
      </c>
      <c r="O655">
        <v>4</v>
      </c>
      <c r="P655" s="12">
        <v>624</v>
      </c>
      <c r="Q655" s="12">
        <v>468</v>
      </c>
      <c r="R655" s="12">
        <v>156</v>
      </c>
      <c r="S655" t="s">
        <v>1246</v>
      </c>
      <c r="T655" t="s">
        <v>111</v>
      </c>
      <c r="U655" t="s">
        <v>1211</v>
      </c>
    </row>
    <row r="656" spans="1:21" x14ac:dyDescent="0.25">
      <c r="A656" t="s">
        <v>2357</v>
      </c>
      <c r="B656" s="8">
        <v>45786</v>
      </c>
      <c r="C656" t="s">
        <v>1259</v>
      </c>
      <c r="D656" t="s">
        <v>1156</v>
      </c>
      <c r="E656" t="s">
        <v>198</v>
      </c>
      <c r="F656">
        <v>50</v>
      </c>
      <c r="G656" t="s">
        <v>14</v>
      </c>
      <c r="H656" t="s">
        <v>15</v>
      </c>
      <c r="I656" t="s">
        <v>28</v>
      </c>
      <c r="J656" t="s">
        <v>35</v>
      </c>
      <c r="K656" t="s">
        <v>22</v>
      </c>
      <c r="L656">
        <v>1</v>
      </c>
      <c r="M656" s="12">
        <v>16499</v>
      </c>
      <c r="N656" s="12">
        <v>14519.12</v>
      </c>
      <c r="O656">
        <v>7</v>
      </c>
      <c r="P656" s="12">
        <v>15344.07</v>
      </c>
      <c r="Q656" s="12">
        <v>14519.12</v>
      </c>
      <c r="R656" s="12">
        <v>824.94999999999891</v>
      </c>
      <c r="S656" t="s">
        <v>1246</v>
      </c>
      <c r="T656" t="s">
        <v>108</v>
      </c>
      <c r="U656" t="s">
        <v>1203</v>
      </c>
    </row>
    <row r="657" spans="1:21" x14ac:dyDescent="0.25">
      <c r="A657" t="s">
        <v>2358</v>
      </c>
      <c r="B657" s="8">
        <v>45749</v>
      </c>
      <c r="C657" t="s">
        <v>2317</v>
      </c>
      <c r="D657" t="s">
        <v>786</v>
      </c>
      <c r="E657" t="s">
        <v>218</v>
      </c>
      <c r="F657">
        <v>49</v>
      </c>
      <c r="G657" t="s">
        <v>9</v>
      </c>
      <c r="H657" t="s">
        <v>8</v>
      </c>
      <c r="I657" t="s">
        <v>51</v>
      </c>
      <c r="J657" t="s">
        <v>54</v>
      </c>
      <c r="K657" t="s">
        <v>43</v>
      </c>
      <c r="L657">
        <v>4</v>
      </c>
      <c r="M657" s="12">
        <v>27499</v>
      </c>
      <c r="N657" s="12">
        <v>21724.210000000003</v>
      </c>
      <c r="O657">
        <v>10</v>
      </c>
      <c r="P657" s="12">
        <v>98996.400000000009</v>
      </c>
      <c r="Q657" s="12">
        <v>86896.840000000011</v>
      </c>
      <c r="R657" s="12">
        <v>12099.559999999998</v>
      </c>
      <c r="S657" t="s">
        <v>1249</v>
      </c>
      <c r="T657" t="s">
        <v>108</v>
      </c>
      <c r="U657" t="s">
        <v>1207</v>
      </c>
    </row>
    <row r="658" spans="1:21" x14ac:dyDescent="0.25">
      <c r="A658" t="s">
        <v>2360</v>
      </c>
      <c r="B658" s="8">
        <v>46020</v>
      </c>
      <c r="C658" t="s">
        <v>2040</v>
      </c>
      <c r="D658" t="s">
        <v>646</v>
      </c>
      <c r="E658" t="s">
        <v>218</v>
      </c>
      <c r="F658">
        <v>50</v>
      </c>
      <c r="G658" t="s">
        <v>290</v>
      </c>
      <c r="H658" t="s">
        <v>3</v>
      </c>
      <c r="I658" t="s">
        <v>38</v>
      </c>
      <c r="J658" t="s">
        <v>37</v>
      </c>
      <c r="K658" t="s">
        <v>22</v>
      </c>
      <c r="L658">
        <v>2</v>
      </c>
      <c r="M658" s="12">
        <v>1650</v>
      </c>
      <c r="N658" s="12">
        <v>990</v>
      </c>
      <c r="O658">
        <v>14</v>
      </c>
      <c r="P658" s="12">
        <v>2838</v>
      </c>
      <c r="Q658" s="12">
        <v>1980</v>
      </c>
      <c r="R658" s="12">
        <v>858</v>
      </c>
      <c r="S658" t="s">
        <v>1246</v>
      </c>
      <c r="T658" t="s">
        <v>109</v>
      </c>
      <c r="U658" t="s">
        <v>1196</v>
      </c>
    </row>
    <row r="659" spans="1:21" x14ac:dyDescent="0.25">
      <c r="A659" t="s">
        <v>2361</v>
      </c>
      <c r="B659" s="8">
        <v>45914</v>
      </c>
      <c r="C659" t="s">
        <v>5092</v>
      </c>
      <c r="D659" t="s">
        <v>496</v>
      </c>
      <c r="E659" t="s">
        <v>198</v>
      </c>
      <c r="F659">
        <v>64</v>
      </c>
      <c r="G659" t="s">
        <v>289</v>
      </c>
      <c r="H659" t="s">
        <v>3</v>
      </c>
      <c r="I659" t="s">
        <v>32</v>
      </c>
      <c r="J659" t="s">
        <v>29</v>
      </c>
      <c r="K659" t="s">
        <v>22</v>
      </c>
      <c r="L659">
        <v>5</v>
      </c>
      <c r="M659" s="12">
        <v>9500</v>
      </c>
      <c r="N659" s="12">
        <v>6650</v>
      </c>
      <c r="O659">
        <v>4</v>
      </c>
      <c r="P659" s="12">
        <v>45600</v>
      </c>
      <c r="Q659" s="12">
        <v>33250</v>
      </c>
      <c r="R659" s="12">
        <v>12350</v>
      </c>
      <c r="S659" t="s">
        <v>113</v>
      </c>
      <c r="T659" t="s">
        <v>109</v>
      </c>
      <c r="U659" t="s">
        <v>1205</v>
      </c>
    </row>
    <row r="660" spans="1:21" x14ac:dyDescent="0.25">
      <c r="A660" t="s">
        <v>2363</v>
      </c>
      <c r="B660" s="8">
        <v>46004</v>
      </c>
      <c r="C660" t="s">
        <v>2356</v>
      </c>
      <c r="D660" t="s">
        <v>1028</v>
      </c>
      <c r="E660" t="s">
        <v>198</v>
      </c>
      <c r="F660">
        <v>42</v>
      </c>
      <c r="G660" t="s">
        <v>17</v>
      </c>
      <c r="H660" t="s">
        <v>15</v>
      </c>
      <c r="I660" t="s">
        <v>32</v>
      </c>
      <c r="J660" t="s">
        <v>29</v>
      </c>
      <c r="K660" t="s">
        <v>22</v>
      </c>
      <c r="L660">
        <v>2</v>
      </c>
      <c r="M660" s="12">
        <v>9500</v>
      </c>
      <c r="N660" s="12">
        <v>6650</v>
      </c>
      <c r="O660">
        <v>18</v>
      </c>
      <c r="P660" s="12">
        <v>15580.000000000002</v>
      </c>
      <c r="Q660" s="12">
        <v>13300</v>
      </c>
      <c r="R660" s="12">
        <v>2280.0000000000018</v>
      </c>
      <c r="S660" t="s">
        <v>1246</v>
      </c>
      <c r="T660" t="s">
        <v>109</v>
      </c>
      <c r="U660" t="s">
        <v>1199</v>
      </c>
    </row>
    <row r="661" spans="1:21" x14ac:dyDescent="0.25">
      <c r="A661" t="s">
        <v>2364</v>
      </c>
      <c r="B661" s="8">
        <v>45982</v>
      </c>
      <c r="C661" t="s">
        <v>2145</v>
      </c>
      <c r="D661" t="s">
        <v>761</v>
      </c>
      <c r="E661" t="s">
        <v>198</v>
      </c>
      <c r="F661">
        <v>34</v>
      </c>
      <c r="G661" t="s">
        <v>289</v>
      </c>
      <c r="H661" t="s">
        <v>3</v>
      </c>
      <c r="I661" t="s">
        <v>49</v>
      </c>
      <c r="J661" t="s">
        <v>56</v>
      </c>
      <c r="K661" t="s">
        <v>43</v>
      </c>
      <c r="L661">
        <v>4</v>
      </c>
      <c r="M661" s="12">
        <v>31999</v>
      </c>
      <c r="N661" s="12">
        <v>25599.200000000001</v>
      </c>
      <c r="O661">
        <v>15</v>
      </c>
      <c r="P661" s="12">
        <v>108796.59999999999</v>
      </c>
      <c r="Q661" s="12">
        <v>102396.8</v>
      </c>
      <c r="R661" s="12">
        <v>6399.7999999999884</v>
      </c>
      <c r="S661" t="s">
        <v>1246</v>
      </c>
      <c r="T661" t="s">
        <v>108</v>
      </c>
      <c r="U661" t="s">
        <v>1198</v>
      </c>
    </row>
    <row r="662" spans="1:21" x14ac:dyDescent="0.25">
      <c r="A662" t="s">
        <v>2366</v>
      </c>
      <c r="B662" s="8">
        <v>45765</v>
      </c>
      <c r="C662" t="s">
        <v>4531</v>
      </c>
      <c r="D662" t="s">
        <v>698</v>
      </c>
      <c r="E662" t="s">
        <v>198</v>
      </c>
      <c r="F662">
        <v>30</v>
      </c>
      <c r="G662" t="s">
        <v>5</v>
      </c>
      <c r="H662" t="s">
        <v>3</v>
      </c>
      <c r="I662" t="s">
        <v>30</v>
      </c>
      <c r="J662" t="s">
        <v>41</v>
      </c>
      <c r="K662" t="s">
        <v>22</v>
      </c>
      <c r="L662">
        <v>1</v>
      </c>
      <c r="M662" s="12">
        <v>13749</v>
      </c>
      <c r="N662" s="12">
        <v>10999.2</v>
      </c>
      <c r="O662">
        <v>4</v>
      </c>
      <c r="P662" s="12">
        <v>13199.039999999999</v>
      </c>
      <c r="Q662" s="12">
        <v>10999.2</v>
      </c>
      <c r="R662" s="12">
        <v>2199.8399999999983</v>
      </c>
      <c r="S662" t="s">
        <v>113</v>
      </c>
      <c r="T662" t="s">
        <v>109</v>
      </c>
      <c r="U662" t="s">
        <v>1205</v>
      </c>
    </row>
    <row r="663" spans="1:21" x14ac:dyDescent="0.25">
      <c r="A663" t="s">
        <v>2367</v>
      </c>
      <c r="B663" s="8">
        <v>45986</v>
      </c>
      <c r="C663" t="s">
        <v>2809</v>
      </c>
      <c r="D663" t="s">
        <v>1123</v>
      </c>
      <c r="E663" t="s">
        <v>218</v>
      </c>
      <c r="F663">
        <v>57</v>
      </c>
      <c r="G663" t="s">
        <v>10</v>
      </c>
      <c r="H663" t="s">
        <v>8</v>
      </c>
      <c r="I663" t="s">
        <v>53</v>
      </c>
      <c r="J663" t="s">
        <v>48</v>
      </c>
      <c r="K663" t="s">
        <v>43</v>
      </c>
      <c r="L663">
        <v>5</v>
      </c>
      <c r="M663" s="12">
        <v>6499</v>
      </c>
      <c r="N663" s="12">
        <v>4549.2999999999993</v>
      </c>
      <c r="O663">
        <v>18</v>
      </c>
      <c r="P663" s="12">
        <v>26645.9</v>
      </c>
      <c r="Q663" s="12">
        <v>22746.499999999996</v>
      </c>
      <c r="R663" s="12">
        <v>3899.4000000000051</v>
      </c>
      <c r="S663" t="s">
        <v>1246</v>
      </c>
      <c r="T663" t="s">
        <v>108</v>
      </c>
      <c r="U663" t="s">
        <v>1201</v>
      </c>
    </row>
    <row r="664" spans="1:21" x14ac:dyDescent="0.25">
      <c r="A664" t="s">
        <v>2368</v>
      </c>
      <c r="B664" s="8">
        <v>45982</v>
      </c>
      <c r="C664" t="s">
        <v>3357</v>
      </c>
      <c r="D664" t="s">
        <v>656</v>
      </c>
      <c r="E664" t="s">
        <v>198</v>
      </c>
      <c r="F664">
        <v>36</v>
      </c>
      <c r="G664" t="s">
        <v>10</v>
      </c>
      <c r="H664" t="s">
        <v>8</v>
      </c>
      <c r="I664" t="s">
        <v>63</v>
      </c>
      <c r="J664" t="s">
        <v>77</v>
      </c>
      <c r="K664" t="s">
        <v>64</v>
      </c>
      <c r="L664">
        <v>5</v>
      </c>
      <c r="M664" s="12">
        <v>650</v>
      </c>
      <c r="N664" s="12">
        <v>468</v>
      </c>
      <c r="O664">
        <v>7</v>
      </c>
      <c r="P664" s="12">
        <v>3022.5</v>
      </c>
      <c r="Q664" s="12">
        <v>2340</v>
      </c>
      <c r="R664" s="12">
        <v>682.5</v>
      </c>
      <c r="S664" t="s">
        <v>1246</v>
      </c>
      <c r="T664" t="s">
        <v>109</v>
      </c>
      <c r="U664" t="s">
        <v>1209</v>
      </c>
    </row>
    <row r="665" spans="1:21" x14ac:dyDescent="0.25">
      <c r="A665" t="s">
        <v>2370</v>
      </c>
      <c r="B665" s="8">
        <v>45823</v>
      </c>
      <c r="C665" t="s">
        <v>4780</v>
      </c>
      <c r="D665" t="s">
        <v>1056</v>
      </c>
      <c r="E665" t="s">
        <v>218</v>
      </c>
      <c r="F665">
        <v>31</v>
      </c>
      <c r="G665" t="s">
        <v>10</v>
      </c>
      <c r="H665" t="s">
        <v>8</v>
      </c>
      <c r="I665" t="s">
        <v>34</v>
      </c>
      <c r="J665" t="s">
        <v>137</v>
      </c>
      <c r="K665" t="s">
        <v>22</v>
      </c>
      <c r="L665">
        <v>5</v>
      </c>
      <c r="M665" s="12">
        <v>6900</v>
      </c>
      <c r="N665" s="12">
        <v>5727</v>
      </c>
      <c r="O665">
        <v>8</v>
      </c>
      <c r="P665" s="12">
        <v>31740</v>
      </c>
      <c r="Q665" s="12">
        <v>28635</v>
      </c>
      <c r="R665" s="12">
        <v>3105</v>
      </c>
      <c r="S665" t="s">
        <v>1246</v>
      </c>
      <c r="T665" t="s">
        <v>110</v>
      </c>
      <c r="U665" t="s">
        <v>1201</v>
      </c>
    </row>
    <row r="666" spans="1:21" x14ac:dyDescent="0.25">
      <c r="A666" t="s">
        <v>2372</v>
      </c>
      <c r="B666" s="8">
        <v>45761</v>
      </c>
      <c r="C666" t="s">
        <v>2036</v>
      </c>
      <c r="D666" t="s">
        <v>1077</v>
      </c>
      <c r="E666" t="s">
        <v>218</v>
      </c>
      <c r="F666">
        <v>32</v>
      </c>
      <c r="G666" t="s">
        <v>16</v>
      </c>
      <c r="H666" t="s">
        <v>15</v>
      </c>
      <c r="I666" t="s">
        <v>57</v>
      </c>
      <c r="J666" t="s">
        <v>67</v>
      </c>
      <c r="K666" t="s">
        <v>64</v>
      </c>
      <c r="L666">
        <v>1</v>
      </c>
      <c r="M666" s="12">
        <v>150</v>
      </c>
      <c r="N666" s="12">
        <v>97.5</v>
      </c>
      <c r="O666">
        <v>4</v>
      </c>
      <c r="P666" s="12">
        <v>144</v>
      </c>
      <c r="Q666" s="12">
        <v>97.5</v>
      </c>
      <c r="R666" s="12">
        <v>46.5</v>
      </c>
      <c r="S666" t="s">
        <v>1246</v>
      </c>
      <c r="T666" t="s">
        <v>108</v>
      </c>
      <c r="U666" t="s">
        <v>1211</v>
      </c>
    </row>
    <row r="667" spans="1:21" x14ac:dyDescent="0.25">
      <c r="A667" t="s">
        <v>2374</v>
      </c>
      <c r="B667" s="8">
        <v>45794</v>
      </c>
      <c r="C667" t="s">
        <v>1524</v>
      </c>
      <c r="D667" t="s">
        <v>398</v>
      </c>
      <c r="E667" t="s">
        <v>198</v>
      </c>
      <c r="F667">
        <v>61</v>
      </c>
      <c r="G667" t="s">
        <v>7</v>
      </c>
      <c r="H667" t="s">
        <v>8</v>
      </c>
      <c r="I667" t="s">
        <v>38</v>
      </c>
      <c r="J667" t="s">
        <v>37</v>
      </c>
      <c r="K667" t="s">
        <v>22</v>
      </c>
      <c r="L667">
        <v>4</v>
      </c>
      <c r="M667" s="12">
        <v>1650</v>
      </c>
      <c r="N667" s="12">
        <v>990</v>
      </c>
      <c r="O667">
        <v>9</v>
      </c>
      <c r="P667" s="12">
        <v>6006</v>
      </c>
      <c r="Q667" s="12">
        <v>3960</v>
      </c>
      <c r="R667" s="12">
        <v>2046</v>
      </c>
      <c r="S667" t="s">
        <v>113</v>
      </c>
      <c r="T667" t="s">
        <v>108</v>
      </c>
      <c r="U667" t="s">
        <v>1194</v>
      </c>
    </row>
    <row r="668" spans="1:21" x14ac:dyDescent="0.25">
      <c r="A668" t="s">
        <v>2376</v>
      </c>
      <c r="B668" s="8">
        <v>45760</v>
      </c>
      <c r="C668" t="s">
        <v>1688</v>
      </c>
      <c r="D668" t="s">
        <v>755</v>
      </c>
      <c r="E668" t="s">
        <v>198</v>
      </c>
      <c r="F668">
        <v>35</v>
      </c>
      <c r="G668" t="s">
        <v>2</v>
      </c>
      <c r="H668" t="s">
        <v>3</v>
      </c>
      <c r="I668" t="s">
        <v>26</v>
      </c>
      <c r="J668" t="s">
        <v>27</v>
      </c>
      <c r="K668" t="s">
        <v>22</v>
      </c>
      <c r="L668">
        <v>1</v>
      </c>
      <c r="M668" s="12">
        <v>27499</v>
      </c>
      <c r="N668" s="12">
        <v>23374.149999999998</v>
      </c>
      <c r="O668">
        <v>5</v>
      </c>
      <c r="P668" s="12">
        <v>26124.05</v>
      </c>
      <c r="Q668" s="12">
        <v>23374.149999999998</v>
      </c>
      <c r="R668" s="12">
        <v>2749.9000000000015</v>
      </c>
      <c r="S668" t="s">
        <v>113</v>
      </c>
      <c r="T668" t="s">
        <v>108</v>
      </c>
      <c r="U668" t="s">
        <v>1205</v>
      </c>
    </row>
    <row r="669" spans="1:21" x14ac:dyDescent="0.25">
      <c r="A669" t="s">
        <v>2378</v>
      </c>
      <c r="B669" s="8">
        <v>45836</v>
      </c>
      <c r="C669" t="s">
        <v>2086</v>
      </c>
      <c r="D669" t="s">
        <v>624</v>
      </c>
      <c r="E669" t="s">
        <v>198</v>
      </c>
      <c r="F669">
        <v>56</v>
      </c>
      <c r="G669" t="s">
        <v>290</v>
      </c>
      <c r="H669" t="s">
        <v>3</v>
      </c>
      <c r="I669" t="s">
        <v>51</v>
      </c>
      <c r="J669" t="s">
        <v>54</v>
      </c>
      <c r="K669" t="s">
        <v>43</v>
      </c>
      <c r="L669">
        <v>1</v>
      </c>
      <c r="M669" s="12">
        <v>27499</v>
      </c>
      <c r="N669" s="12">
        <v>21724.210000000003</v>
      </c>
      <c r="O669">
        <v>4</v>
      </c>
      <c r="P669" s="12">
        <v>26399.039999999997</v>
      </c>
      <c r="Q669" s="12">
        <v>21724.210000000003</v>
      </c>
      <c r="R669" s="12">
        <v>4674.8299999999945</v>
      </c>
      <c r="S669" t="s">
        <v>113</v>
      </c>
      <c r="T669" t="s">
        <v>107</v>
      </c>
      <c r="U669" t="s">
        <v>1209</v>
      </c>
    </row>
    <row r="670" spans="1:21" x14ac:dyDescent="0.25">
      <c r="A670" t="s">
        <v>2380</v>
      </c>
      <c r="B670" s="8">
        <v>45694</v>
      </c>
      <c r="C670" t="s">
        <v>3325</v>
      </c>
      <c r="D670" t="s">
        <v>849</v>
      </c>
      <c r="E670" t="s">
        <v>198</v>
      </c>
      <c r="F670">
        <v>27</v>
      </c>
      <c r="G670" t="s">
        <v>17</v>
      </c>
      <c r="H670" t="s">
        <v>15</v>
      </c>
      <c r="I670" t="s">
        <v>24</v>
      </c>
      <c r="J670" t="s">
        <v>25</v>
      </c>
      <c r="K670" t="s">
        <v>22</v>
      </c>
      <c r="L670">
        <v>4</v>
      </c>
      <c r="M670" s="12">
        <v>35800</v>
      </c>
      <c r="N670" s="12">
        <v>28640</v>
      </c>
      <c r="O670">
        <v>6</v>
      </c>
      <c r="P670" s="12">
        <v>134608</v>
      </c>
      <c r="Q670" s="12">
        <v>114560</v>
      </c>
      <c r="R670" s="12">
        <v>20048</v>
      </c>
      <c r="S670" t="s">
        <v>1246</v>
      </c>
      <c r="T670" t="s">
        <v>110</v>
      </c>
      <c r="U670" t="s">
        <v>1209</v>
      </c>
    </row>
    <row r="671" spans="1:21" x14ac:dyDescent="0.25">
      <c r="A671" t="s">
        <v>2381</v>
      </c>
      <c r="B671" s="8">
        <v>45920</v>
      </c>
      <c r="C671" t="s">
        <v>2467</v>
      </c>
      <c r="D671" t="s">
        <v>654</v>
      </c>
      <c r="E671" t="s">
        <v>198</v>
      </c>
      <c r="F671">
        <v>30</v>
      </c>
      <c r="G671" t="s">
        <v>5</v>
      </c>
      <c r="H671" t="s">
        <v>3</v>
      </c>
      <c r="I671" t="s">
        <v>63</v>
      </c>
      <c r="J671" t="s">
        <v>77</v>
      </c>
      <c r="K671" t="s">
        <v>64</v>
      </c>
      <c r="L671">
        <v>3</v>
      </c>
      <c r="M671" s="12">
        <v>650</v>
      </c>
      <c r="N671" s="12">
        <v>468</v>
      </c>
      <c r="O671">
        <v>5</v>
      </c>
      <c r="P671" s="12">
        <v>1852.5</v>
      </c>
      <c r="Q671" s="12">
        <v>1404</v>
      </c>
      <c r="R671" s="12">
        <v>448.5</v>
      </c>
      <c r="S671" t="s">
        <v>113</v>
      </c>
      <c r="T671" t="s">
        <v>107</v>
      </c>
      <c r="U671" t="s">
        <v>1205</v>
      </c>
    </row>
    <row r="672" spans="1:21" x14ac:dyDescent="0.25">
      <c r="A672" t="s">
        <v>2382</v>
      </c>
      <c r="B672" s="8">
        <v>45916</v>
      </c>
      <c r="C672" t="s">
        <v>1745</v>
      </c>
      <c r="D672" t="s">
        <v>1046</v>
      </c>
      <c r="E672" t="s">
        <v>198</v>
      </c>
      <c r="F672">
        <v>53</v>
      </c>
      <c r="G672" t="s">
        <v>9</v>
      </c>
      <c r="H672" t="s">
        <v>8</v>
      </c>
      <c r="I672" t="s">
        <v>57</v>
      </c>
      <c r="J672" t="s">
        <v>67</v>
      </c>
      <c r="K672" t="s">
        <v>64</v>
      </c>
      <c r="L672">
        <v>5</v>
      </c>
      <c r="M672" s="12">
        <v>150</v>
      </c>
      <c r="N672" s="12">
        <v>97.5</v>
      </c>
      <c r="O672">
        <v>2</v>
      </c>
      <c r="P672" s="12">
        <v>735</v>
      </c>
      <c r="Q672" s="12">
        <v>487.5</v>
      </c>
      <c r="R672" s="12">
        <v>247.5</v>
      </c>
      <c r="S672" t="s">
        <v>1246</v>
      </c>
      <c r="T672" t="s">
        <v>107</v>
      </c>
      <c r="U672" t="s">
        <v>1207</v>
      </c>
    </row>
    <row r="673" spans="1:21" x14ac:dyDescent="0.25">
      <c r="A673" t="s">
        <v>2384</v>
      </c>
      <c r="B673" s="8">
        <v>45673</v>
      </c>
      <c r="C673" t="s">
        <v>4422</v>
      </c>
      <c r="D673" t="s">
        <v>669</v>
      </c>
      <c r="E673" t="s">
        <v>198</v>
      </c>
      <c r="F673">
        <v>65</v>
      </c>
      <c r="G673" t="s">
        <v>14</v>
      </c>
      <c r="H673" t="s">
        <v>15</v>
      </c>
      <c r="I673" t="s">
        <v>57</v>
      </c>
      <c r="J673" t="s">
        <v>67</v>
      </c>
      <c r="K673" t="s">
        <v>64</v>
      </c>
      <c r="L673">
        <v>4</v>
      </c>
      <c r="M673" s="12">
        <v>150</v>
      </c>
      <c r="N673" s="12">
        <v>97.5</v>
      </c>
      <c r="O673">
        <v>13</v>
      </c>
      <c r="P673" s="12">
        <v>522</v>
      </c>
      <c r="Q673" s="12">
        <v>390</v>
      </c>
      <c r="R673" s="12">
        <v>132</v>
      </c>
      <c r="S673" t="s">
        <v>113</v>
      </c>
      <c r="T673" t="s">
        <v>108</v>
      </c>
      <c r="U673" t="s">
        <v>1203</v>
      </c>
    </row>
    <row r="674" spans="1:21" x14ac:dyDescent="0.25">
      <c r="A674" t="s">
        <v>2386</v>
      </c>
      <c r="B674" s="8">
        <v>45889</v>
      </c>
      <c r="C674" t="s">
        <v>2873</v>
      </c>
      <c r="D674" t="s">
        <v>687</v>
      </c>
      <c r="E674" t="s">
        <v>218</v>
      </c>
      <c r="F674">
        <v>45</v>
      </c>
      <c r="G674" t="s">
        <v>290</v>
      </c>
      <c r="H674" t="s">
        <v>3</v>
      </c>
      <c r="I674" t="s">
        <v>24</v>
      </c>
      <c r="J674" t="s">
        <v>25</v>
      </c>
      <c r="K674" t="s">
        <v>22</v>
      </c>
      <c r="L674">
        <v>1</v>
      </c>
      <c r="M674" s="12">
        <v>35800</v>
      </c>
      <c r="N674" s="12">
        <v>28640</v>
      </c>
      <c r="O674">
        <v>8</v>
      </c>
      <c r="P674" s="12">
        <v>32936</v>
      </c>
      <c r="Q674" s="12">
        <v>28640</v>
      </c>
      <c r="R674" s="12">
        <v>4296</v>
      </c>
      <c r="S674" t="s">
        <v>1249</v>
      </c>
      <c r="T674" t="s">
        <v>108</v>
      </c>
      <c r="U674" t="s">
        <v>1199</v>
      </c>
    </row>
    <row r="675" spans="1:21" x14ac:dyDescent="0.25">
      <c r="A675" t="s">
        <v>2387</v>
      </c>
      <c r="B675" s="8">
        <v>45866</v>
      </c>
      <c r="C675" t="s">
        <v>5093</v>
      </c>
      <c r="D675" t="s">
        <v>638</v>
      </c>
      <c r="E675" t="s">
        <v>218</v>
      </c>
      <c r="F675">
        <v>46</v>
      </c>
      <c r="G675" t="s">
        <v>289</v>
      </c>
      <c r="H675" t="s">
        <v>3</v>
      </c>
      <c r="I675" t="s">
        <v>59</v>
      </c>
      <c r="J675" t="s">
        <v>73</v>
      </c>
      <c r="K675" t="s">
        <v>64</v>
      </c>
      <c r="L675">
        <v>3</v>
      </c>
      <c r="M675" s="12">
        <v>120</v>
      </c>
      <c r="N675" s="12">
        <v>81.599999999999994</v>
      </c>
      <c r="O675">
        <v>0</v>
      </c>
      <c r="P675" s="12">
        <v>360</v>
      </c>
      <c r="Q675" s="12">
        <v>244.79999999999998</v>
      </c>
      <c r="R675" s="12">
        <v>115.20000000000002</v>
      </c>
      <c r="S675" t="s">
        <v>113</v>
      </c>
      <c r="T675" t="s">
        <v>107</v>
      </c>
      <c r="U675" t="s">
        <v>1196</v>
      </c>
    </row>
    <row r="676" spans="1:21" x14ac:dyDescent="0.25">
      <c r="A676" t="s">
        <v>2389</v>
      </c>
      <c r="B676" s="8">
        <v>45675</v>
      </c>
      <c r="C676" t="s">
        <v>1433</v>
      </c>
      <c r="D676" t="s">
        <v>464</v>
      </c>
      <c r="E676" t="s">
        <v>218</v>
      </c>
      <c r="F676">
        <v>46</v>
      </c>
      <c r="G676" t="s">
        <v>9</v>
      </c>
      <c r="H676" t="s">
        <v>8</v>
      </c>
      <c r="I676" t="s">
        <v>59</v>
      </c>
      <c r="J676" t="s">
        <v>73</v>
      </c>
      <c r="K676" t="s">
        <v>64</v>
      </c>
      <c r="L676">
        <v>1</v>
      </c>
      <c r="M676" s="12">
        <v>120</v>
      </c>
      <c r="N676" s="12">
        <v>81.599999999999994</v>
      </c>
      <c r="O676">
        <v>13</v>
      </c>
      <c r="P676" s="12">
        <v>104.4</v>
      </c>
      <c r="Q676" s="12">
        <v>81.599999999999994</v>
      </c>
      <c r="R676" s="12">
        <v>22.800000000000011</v>
      </c>
      <c r="S676" t="s">
        <v>1246</v>
      </c>
      <c r="T676" t="s">
        <v>109</v>
      </c>
      <c r="U676" t="s">
        <v>1209</v>
      </c>
    </row>
    <row r="677" spans="1:21" x14ac:dyDescent="0.25">
      <c r="A677" t="s">
        <v>2391</v>
      </c>
      <c r="B677" s="8">
        <v>45827</v>
      </c>
      <c r="C677" t="s">
        <v>1923</v>
      </c>
      <c r="D677" t="s">
        <v>426</v>
      </c>
      <c r="E677" t="s">
        <v>198</v>
      </c>
      <c r="F677">
        <v>46</v>
      </c>
      <c r="G677" t="s">
        <v>4</v>
      </c>
      <c r="H677" t="s">
        <v>3</v>
      </c>
      <c r="I677" t="s">
        <v>45</v>
      </c>
      <c r="J677" t="s">
        <v>46</v>
      </c>
      <c r="K677" t="s">
        <v>43</v>
      </c>
      <c r="L677">
        <v>3</v>
      </c>
      <c r="M677" s="12">
        <v>11999</v>
      </c>
      <c r="N677" s="12">
        <v>8999.25</v>
      </c>
      <c r="O677">
        <v>3</v>
      </c>
      <c r="P677" s="12">
        <v>34917.089999999997</v>
      </c>
      <c r="Q677" s="12">
        <v>26997.75</v>
      </c>
      <c r="R677" s="12">
        <v>7919.3399999999965</v>
      </c>
      <c r="S677" t="s">
        <v>113</v>
      </c>
      <c r="T677" t="s">
        <v>108</v>
      </c>
      <c r="U677" t="s">
        <v>1205</v>
      </c>
    </row>
    <row r="678" spans="1:21" x14ac:dyDescent="0.25">
      <c r="A678" t="s">
        <v>2393</v>
      </c>
      <c r="B678" s="8">
        <v>45708</v>
      </c>
      <c r="C678" t="s">
        <v>2863</v>
      </c>
      <c r="D678" t="s">
        <v>890</v>
      </c>
      <c r="E678" t="s">
        <v>218</v>
      </c>
      <c r="F678">
        <v>25</v>
      </c>
      <c r="G678" t="s">
        <v>17</v>
      </c>
      <c r="H678" t="s">
        <v>15</v>
      </c>
      <c r="I678" t="s">
        <v>47</v>
      </c>
      <c r="J678" t="s">
        <v>52</v>
      </c>
      <c r="K678" t="s">
        <v>43</v>
      </c>
      <c r="L678">
        <v>5</v>
      </c>
      <c r="M678" s="12">
        <v>42999</v>
      </c>
      <c r="N678" s="12">
        <v>33539.22</v>
      </c>
      <c r="O678">
        <v>5</v>
      </c>
      <c r="P678" s="12">
        <v>204245.25</v>
      </c>
      <c r="Q678" s="12">
        <v>167696.1</v>
      </c>
      <c r="R678" s="12">
        <v>36549.149999999994</v>
      </c>
      <c r="S678" t="s">
        <v>113</v>
      </c>
      <c r="T678" t="s">
        <v>108</v>
      </c>
      <c r="U678" t="s">
        <v>1209</v>
      </c>
    </row>
    <row r="679" spans="1:21" x14ac:dyDescent="0.25">
      <c r="A679" t="s">
        <v>2395</v>
      </c>
      <c r="B679" s="8">
        <v>45934</v>
      </c>
      <c r="C679" t="s">
        <v>1724</v>
      </c>
      <c r="D679" t="s">
        <v>685</v>
      </c>
      <c r="E679" t="s">
        <v>198</v>
      </c>
      <c r="F679">
        <v>35</v>
      </c>
      <c r="G679" t="s">
        <v>289</v>
      </c>
      <c r="H679" t="s">
        <v>3</v>
      </c>
      <c r="I679" t="s">
        <v>36</v>
      </c>
      <c r="J679" t="s">
        <v>136</v>
      </c>
      <c r="K679" t="s">
        <v>22</v>
      </c>
      <c r="L679">
        <v>3</v>
      </c>
      <c r="M679" s="12">
        <v>3590</v>
      </c>
      <c r="N679" s="12">
        <v>2333.5</v>
      </c>
      <c r="O679">
        <v>7</v>
      </c>
      <c r="P679" s="12">
        <v>10016.099999999999</v>
      </c>
      <c r="Q679" s="12">
        <v>7000.5</v>
      </c>
      <c r="R679" s="12">
        <v>3015.5999999999985</v>
      </c>
      <c r="S679" t="s">
        <v>1246</v>
      </c>
      <c r="T679" t="s">
        <v>108</v>
      </c>
      <c r="U679" t="s">
        <v>1207</v>
      </c>
    </row>
    <row r="680" spans="1:21" x14ac:dyDescent="0.25">
      <c r="A680" t="s">
        <v>2397</v>
      </c>
      <c r="B680" s="8">
        <v>45916</v>
      </c>
      <c r="C680" t="s">
        <v>1843</v>
      </c>
      <c r="D680" t="s">
        <v>985</v>
      </c>
      <c r="E680" t="s">
        <v>218</v>
      </c>
      <c r="F680">
        <v>21</v>
      </c>
      <c r="G680" t="s">
        <v>7</v>
      </c>
      <c r="H680" t="s">
        <v>8</v>
      </c>
      <c r="I680" t="s">
        <v>47</v>
      </c>
      <c r="J680" t="s">
        <v>52</v>
      </c>
      <c r="K680" t="s">
        <v>43</v>
      </c>
      <c r="L680">
        <v>4</v>
      </c>
      <c r="M680" s="12">
        <v>42999</v>
      </c>
      <c r="N680" s="12">
        <v>33539.22</v>
      </c>
      <c r="O680">
        <v>9</v>
      </c>
      <c r="P680" s="12">
        <v>156516.36000000002</v>
      </c>
      <c r="Q680" s="12">
        <v>134156.88</v>
      </c>
      <c r="R680" s="12">
        <v>22359.48000000001</v>
      </c>
      <c r="S680" t="s">
        <v>1246</v>
      </c>
      <c r="T680" t="s">
        <v>107</v>
      </c>
      <c r="U680" t="s">
        <v>1201</v>
      </c>
    </row>
    <row r="681" spans="1:21" x14ac:dyDescent="0.25">
      <c r="A681" t="s">
        <v>2399</v>
      </c>
      <c r="B681" s="8">
        <v>45823</v>
      </c>
      <c r="C681" t="s">
        <v>2836</v>
      </c>
      <c r="D681" t="s">
        <v>869</v>
      </c>
      <c r="E681" t="s">
        <v>198</v>
      </c>
      <c r="F681">
        <v>36</v>
      </c>
      <c r="G681" t="s">
        <v>290</v>
      </c>
      <c r="H681" t="s">
        <v>3</v>
      </c>
      <c r="I681" t="s">
        <v>21</v>
      </c>
      <c r="J681" t="s">
        <v>23</v>
      </c>
      <c r="K681" t="s">
        <v>22</v>
      </c>
      <c r="L681">
        <v>5</v>
      </c>
      <c r="M681" s="12">
        <v>54999</v>
      </c>
      <c r="N681" s="12">
        <v>45099.18</v>
      </c>
      <c r="O681">
        <v>9</v>
      </c>
      <c r="P681" s="12">
        <v>250245.45</v>
      </c>
      <c r="Q681" s="12">
        <v>225495.9</v>
      </c>
      <c r="R681" s="12">
        <v>24749.550000000017</v>
      </c>
      <c r="S681" t="s">
        <v>113</v>
      </c>
      <c r="T681" t="s">
        <v>108</v>
      </c>
      <c r="U681" t="s">
        <v>1203</v>
      </c>
    </row>
    <row r="682" spans="1:21" x14ac:dyDescent="0.25">
      <c r="A682" t="s">
        <v>2400</v>
      </c>
      <c r="B682" s="8">
        <v>45910</v>
      </c>
      <c r="C682" t="s">
        <v>3522</v>
      </c>
      <c r="D682" t="s">
        <v>407</v>
      </c>
      <c r="E682" t="s">
        <v>218</v>
      </c>
      <c r="F682">
        <v>30</v>
      </c>
      <c r="G682" t="s">
        <v>4</v>
      </c>
      <c r="H682" t="s">
        <v>3</v>
      </c>
      <c r="I682" t="s">
        <v>40</v>
      </c>
      <c r="J682" t="s">
        <v>39</v>
      </c>
      <c r="K682" t="s">
        <v>22</v>
      </c>
      <c r="L682">
        <v>2</v>
      </c>
      <c r="M682" s="12">
        <v>1100</v>
      </c>
      <c r="N682" s="12">
        <v>715</v>
      </c>
      <c r="O682">
        <v>6</v>
      </c>
      <c r="P682" s="12">
        <v>2068</v>
      </c>
      <c r="Q682" s="12">
        <v>1430</v>
      </c>
      <c r="R682" s="12">
        <v>638</v>
      </c>
      <c r="S682" t="s">
        <v>1246</v>
      </c>
      <c r="T682" t="s">
        <v>109</v>
      </c>
      <c r="U682" t="s">
        <v>1209</v>
      </c>
    </row>
    <row r="683" spans="1:21" x14ac:dyDescent="0.25">
      <c r="A683" t="s">
        <v>2401</v>
      </c>
      <c r="B683" s="8">
        <v>45957</v>
      </c>
      <c r="C683" t="s">
        <v>3724</v>
      </c>
      <c r="D683" t="s">
        <v>1119</v>
      </c>
      <c r="E683" t="s">
        <v>198</v>
      </c>
      <c r="F683">
        <v>22</v>
      </c>
      <c r="G683" t="s">
        <v>2</v>
      </c>
      <c r="H683" t="s">
        <v>3</v>
      </c>
      <c r="I683" t="s">
        <v>61</v>
      </c>
      <c r="J683" t="s">
        <v>146</v>
      </c>
      <c r="K683" t="s">
        <v>64</v>
      </c>
      <c r="L683">
        <v>3</v>
      </c>
      <c r="M683" s="12">
        <v>250</v>
      </c>
      <c r="N683" s="12">
        <v>155</v>
      </c>
      <c r="O683">
        <v>5</v>
      </c>
      <c r="P683" s="12">
        <v>712.5</v>
      </c>
      <c r="Q683" s="12">
        <v>465</v>
      </c>
      <c r="R683" s="12">
        <v>247.5</v>
      </c>
      <c r="S683" t="s">
        <v>1246</v>
      </c>
      <c r="T683" t="s">
        <v>107</v>
      </c>
      <c r="U683" t="s">
        <v>1211</v>
      </c>
    </row>
    <row r="684" spans="1:21" x14ac:dyDescent="0.25">
      <c r="A684" t="s">
        <v>2402</v>
      </c>
      <c r="B684" s="8">
        <v>45791</v>
      </c>
      <c r="C684" t="s">
        <v>2322</v>
      </c>
      <c r="D684" t="s">
        <v>1151</v>
      </c>
      <c r="E684" t="s">
        <v>198</v>
      </c>
      <c r="F684">
        <v>38</v>
      </c>
      <c r="G684" t="s">
        <v>14</v>
      </c>
      <c r="H684" t="s">
        <v>15</v>
      </c>
      <c r="I684" t="s">
        <v>47</v>
      </c>
      <c r="J684" t="s">
        <v>52</v>
      </c>
      <c r="K684" t="s">
        <v>43</v>
      </c>
      <c r="L684">
        <v>2</v>
      </c>
      <c r="M684" s="12">
        <v>42999</v>
      </c>
      <c r="N684" s="12">
        <v>33539.22</v>
      </c>
      <c r="O684">
        <v>3</v>
      </c>
      <c r="P684" s="12">
        <v>83418.06</v>
      </c>
      <c r="Q684" s="12">
        <v>67078.44</v>
      </c>
      <c r="R684" s="12">
        <v>16339.619999999995</v>
      </c>
      <c r="S684" t="s">
        <v>1246</v>
      </c>
      <c r="T684" t="s">
        <v>109</v>
      </c>
      <c r="U684" t="s">
        <v>1207</v>
      </c>
    </row>
    <row r="685" spans="1:21" x14ac:dyDescent="0.25">
      <c r="A685" t="s">
        <v>2404</v>
      </c>
      <c r="B685" s="8">
        <v>45909</v>
      </c>
      <c r="C685" t="s">
        <v>2715</v>
      </c>
      <c r="D685" t="s">
        <v>841</v>
      </c>
      <c r="E685" t="s">
        <v>218</v>
      </c>
      <c r="F685">
        <v>61</v>
      </c>
      <c r="G685" t="s">
        <v>10</v>
      </c>
      <c r="H685" t="s">
        <v>8</v>
      </c>
      <c r="I685" t="s">
        <v>30</v>
      </c>
      <c r="J685" t="s">
        <v>41</v>
      </c>
      <c r="K685" t="s">
        <v>22</v>
      </c>
      <c r="L685">
        <v>2</v>
      </c>
      <c r="M685" s="12">
        <v>13749</v>
      </c>
      <c r="N685" s="12">
        <v>10999.2</v>
      </c>
      <c r="O685">
        <v>8</v>
      </c>
      <c r="P685" s="12">
        <v>25298.16</v>
      </c>
      <c r="Q685" s="12">
        <v>21998.400000000001</v>
      </c>
      <c r="R685" s="12">
        <v>3299.7599999999984</v>
      </c>
      <c r="S685" t="s">
        <v>113</v>
      </c>
      <c r="T685" t="s">
        <v>107</v>
      </c>
      <c r="U685" t="s">
        <v>1194</v>
      </c>
    </row>
    <row r="686" spans="1:21" x14ac:dyDescent="0.25">
      <c r="A686" t="s">
        <v>2405</v>
      </c>
      <c r="B686" s="8">
        <v>45717</v>
      </c>
      <c r="C686" t="s">
        <v>2234</v>
      </c>
      <c r="D686" t="s">
        <v>570</v>
      </c>
      <c r="E686" t="s">
        <v>198</v>
      </c>
      <c r="F686">
        <v>29</v>
      </c>
      <c r="G686" t="s">
        <v>4</v>
      </c>
      <c r="H686" t="s">
        <v>3</v>
      </c>
      <c r="I686" t="s">
        <v>26</v>
      </c>
      <c r="J686" t="s">
        <v>27</v>
      </c>
      <c r="K686" t="s">
        <v>22</v>
      </c>
      <c r="L686">
        <v>5</v>
      </c>
      <c r="M686" s="12">
        <v>27499</v>
      </c>
      <c r="N686" s="12">
        <v>23374.149999999998</v>
      </c>
      <c r="O686">
        <v>8</v>
      </c>
      <c r="P686" s="12">
        <v>126495.40000000001</v>
      </c>
      <c r="Q686" s="12">
        <v>116870.74999999999</v>
      </c>
      <c r="R686" s="12">
        <v>9624.6500000000233</v>
      </c>
      <c r="S686" t="s">
        <v>1246</v>
      </c>
      <c r="T686" t="s">
        <v>107</v>
      </c>
      <c r="U686" t="s">
        <v>1203</v>
      </c>
    </row>
    <row r="687" spans="1:21" x14ac:dyDescent="0.25">
      <c r="A687" t="s">
        <v>2406</v>
      </c>
      <c r="B687" s="8">
        <v>45916</v>
      </c>
      <c r="C687" t="s">
        <v>4569</v>
      </c>
      <c r="D687" t="s">
        <v>1079</v>
      </c>
      <c r="E687" t="s">
        <v>218</v>
      </c>
      <c r="F687">
        <v>65</v>
      </c>
      <c r="G687" t="s">
        <v>4</v>
      </c>
      <c r="H687" t="s">
        <v>3</v>
      </c>
      <c r="I687" t="s">
        <v>30</v>
      </c>
      <c r="J687" t="s">
        <v>41</v>
      </c>
      <c r="K687" t="s">
        <v>22</v>
      </c>
      <c r="L687">
        <v>3</v>
      </c>
      <c r="M687" s="12">
        <v>13749</v>
      </c>
      <c r="N687" s="12">
        <v>10999.2</v>
      </c>
      <c r="O687">
        <v>5</v>
      </c>
      <c r="P687" s="12">
        <v>39184.65</v>
      </c>
      <c r="Q687" s="12">
        <v>32997.600000000006</v>
      </c>
      <c r="R687" s="12">
        <v>6187.0499999999956</v>
      </c>
      <c r="S687" t="s">
        <v>113</v>
      </c>
      <c r="T687" t="s">
        <v>107</v>
      </c>
      <c r="U687" t="s">
        <v>1201</v>
      </c>
    </row>
    <row r="688" spans="1:21" x14ac:dyDescent="0.25">
      <c r="A688" t="s">
        <v>2408</v>
      </c>
      <c r="B688" s="8">
        <v>45913</v>
      </c>
      <c r="C688" t="s">
        <v>5090</v>
      </c>
      <c r="D688" t="s">
        <v>836</v>
      </c>
      <c r="E688" t="s">
        <v>218</v>
      </c>
      <c r="F688">
        <v>58</v>
      </c>
      <c r="G688" t="s">
        <v>11</v>
      </c>
      <c r="H688" t="s">
        <v>12</v>
      </c>
      <c r="I688" t="s">
        <v>63</v>
      </c>
      <c r="J688" t="s">
        <v>77</v>
      </c>
      <c r="K688" t="s">
        <v>64</v>
      </c>
      <c r="L688">
        <v>4</v>
      </c>
      <c r="M688" s="12">
        <v>650</v>
      </c>
      <c r="N688" s="12">
        <v>468</v>
      </c>
      <c r="O688">
        <v>4</v>
      </c>
      <c r="P688" s="12">
        <v>2496</v>
      </c>
      <c r="Q688" s="12">
        <v>1872</v>
      </c>
      <c r="R688" s="12">
        <v>624</v>
      </c>
      <c r="S688" t="s">
        <v>1249</v>
      </c>
      <c r="T688" t="s">
        <v>107</v>
      </c>
      <c r="U688" t="s">
        <v>1196</v>
      </c>
    </row>
    <row r="689" spans="1:21" x14ac:dyDescent="0.25">
      <c r="A689" t="s">
        <v>2409</v>
      </c>
      <c r="B689" s="8">
        <v>45816</v>
      </c>
      <c r="C689" t="s">
        <v>1363</v>
      </c>
      <c r="D689" t="s">
        <v>1117</v>
      </c>
      <c r="E689" t="s">
        <v>198</v>
      </c>
      <c r="F689">
        <v>36</v>
      </c>
      <c r="G689" t="s">
        <v>17</v>
      </c>
      <c r="H689" t="s">
        <v>15</v>
      </c>
      <c r="I689" t="s">
        <v>38</v>
      </c>
      <c r="J689" t="s">
        <v>37</v>
      </c>
      <c r="K689" t="s">
        <v>22</v>
      </c>
      <c r="L689">
        <v>5</v>
      </c>
      <c r="M689" s="12">
        <v>1650</v>
      </c>
      <c r="N689" s="12">
        <v>990</v>
      </c>
      <c r="O689">
        <v>8</v>
      </c>
      <c r="P689" s="12">
        <v>7590</v>
      </c>
      <c r="Q689" s="12">
        <v>4950</v>
      </c>
      <c r="R689" s="12">
        <v>2640</v>
      </c>
      <c r="S689" t="s">
        <v>1246</v>
      </c>
      <c r="T689" t="s">
        <v>109</v>
      </c>
      <c r="U689" t="s">
        <v>1196</v>
      </c>
    </row>
    <row r="690" spans="1:21" x14ac:dyDescent="0.25">
      <c r="A690" t="s">
        <v>2410</v>
      </c>
      <c r="B690" s="8">
        <v>45793</v>
      </c>
      <c r="C690" t="s">
        <v>3009</v>
      </c>
      <c r="D690" t="s">
        <v>665</v>
      </c>
      <c r="E690" t="s">
        <v>198</v>
      </c>
      <c r="F690">
        <v>31</v>
      </c>
      <c r="G690" t="s">
        <v>9</v>
      </c>
      <c r="H690" t="s">
        <v>8</v>
      </c>
      <c r="I690" t="s">
        <v>59</v>
      </c>
      <c r="J690" t="s">
        <v>73</v>
      </c>
      <c r="K690" t="s">
        <v>64</v>
      </c>
      <c r="L690">
        <v>3</v>
      </c>
      <c r="M690" s="12">
        <v>120</v>
      </c>
      <c r="N690" s="12">
        <v>81.599999999999994</v>
      </c>
      <c r="O690">
        <v>11</v>
      </c>
      <c r="P690" s="12">
        <v>320.39999999999998</v>
      </c>
      <c r="Q690" s="12">
        <v>244.79999999999998</v>
      </c>
      <c r="R690" s="12">
        <v>75.599999999999994</v>
      </c>
      <c r="S690" t="s">
        <v>1246</v>
      </c>
      <c r="T690" t="s">
        <v>109</v>
      </c>
      <c r="U690" t="s">
        <v>1203</v>
      </c>
    </row>
    <row r="691" spans="1:21" x14ac:dyDescent="0.25">
      <c r="A691" t="s">
        <v>2411</v>
      </c>
      <c r="B691" s="8">
        <v>45948</v>
      </c>
      <c r="C691" t="s">
        <v>4788</v>
      </c>
      <c r="D691" t="s">
        <v>671</v>
      </c>
      <c r="E691" t="s">
        <v>218</v>
      </c>
      <c r="F691">
        <v>65</v>
      </c>
      <c r="G691" t="s">
        <v>290</v>
      </c>
      <c r="H691" t="s">
        <v>3</v>
      </c>
      <c r="I691" t="s">
        <v>36</v>
      </c>
      <c r="J691" t="s">
        <v>136</v>
      </c>
      <c r="K691" t="s">
        <v>22</v>
      </c>
      <c r="L691">
        <v>3</v>
      </c>
      <c r="M691" s="12">
        <v>3590</v>
      </c>
      <c r="N691" s="12">
        <v>2333.5</v>
      </c>
      <c r="O691">
        <v>3</v>
      </c>
      <c r="P691" s="12">
        <v>10446.9</v>
      </c>
      <c r="Q691" s="12">
        <v>7000.5</v>
      </c>
      <c r="R691" s="12">
        <v>3446.3999999999996</v>
      </c>
      <c r="S691" t="s">
        <v>1246</v>
      </c>
      <c r="T691" t="s">
        <v>107</v>
      </c>
      <c r="U691" t="s">
        <v>1196</v>
      </c>
    </row>
    <row r="692" spans="1:21" x14ac:dyDescent="0.25">
      <c r="A692" t="s">
        <v>2412</v>
      </c>
      <c r="B692" s="8">
        <v>45833</v>
      </c>
      <c r="C692" t="s">
        <v>3035</v>
      </c>
      <c r="D692" t="s">
        <v>553</v>
      </c>
      <c r="E692" t="s">
        <v>198</v>
      </c>
      <c r="F692">
        <v>34</v>
      </c>
      <c r="G692" t="s">
        <v>9</v>
      </c>
      <c r="H692" t="s">
        <v>8</v>
      </c>
      <c r="I692" t="s">
        <v>34</v>
      </c>
      <c r="J692" t="s">
        <v>137</v>
      </c>
      <c r="K692" t="s">
        <v>22</v>
      </c>
      <c r="L692">
        <v>2</v>
      </c>
      <c r="M692" s="12">
        <v>6900</v>
      </c>
      <c r="N692" s="12">
        <v>5727</v>
      </c>
      <c r="O692">
        <v>7</v>
      </c>
      <c r="P692" s="12">
        <v>12834</v>
      </c>
      <c r="Q692" s="12">
        <v>11454</v>
      </c>
      <c r="R692" s="12">
        <v>1380</v>
      </c>
      <c r="S692" t="s">
        <v>113</v>
      </c>
      <c r="T692" t="s">
        <v>107</v>
      </c>
      <c r="U692" t="s">
        <v>1209</v>
      </c>
    </row>
    <row r="693" spans="1:21" x14ac:dyDescent="0.25">
      <c r="A693" t="s">
        <v>2414</v>
      </c>
      <c r="B693" s="8">
        <v>45740</v>
      </c>
      <c r="C693" t="s">
        <v>1986</v>
      </c>
      <c r="D693" t="s">
        <v>593</v>
      </c>
      <c r="E693" t="s">
        <v>218</v>
      </c>
      <c r="F693">
        <v>58</v>
      </c>
      <c r="G693" t="s">
        <v>11</v>
      </c>
      <c r="H693" t="s">
        <v>12</v>
      </c>
      <c r="I693" t="s">
        <v>21</v>
      </c>
      <c r="J693" t="s">
        <v>23</v>
      </c>
      <c r="K693" t="s">
        <v>22</v>
      </c>
      <c r="L693">
        <v>5</v>
      </c>
      <c r="M693" s="12">
        <v>54999</v>
      </c>
      <c r="N693" s="12">
        <v>45099.18</v>
      </c>
      <c r="O693">
        <v>4</v>
      </c>
      <c r="P693" s="12">
        <v>263995.2</v>
      </c>
      <c r="Q693" s="12">
        <v>225495.9</v>
      </c>
      <c r="R693" s="12">
        <v>38499.300000000017</v>
      </c>
      <c r="S693" t="s">
        <v>1246</v>
      </c>
      <c r="T693" t="s">
        <v>108</v>
      </c>
      <c r="U693" t="s">
        <v>1201</v>
      </c>
    </row>
    <row r="694" spans="1:21" x14ac:dyDescent="0.25">
      <c r="A694" t="s">
        <v>2416</v>
      </c>
      <c r="B694" s="8">
        <v>45942</v>
      </c>
      <c r="C694" t="s">
        <v>2678</v>
      </c>
      <c r="D694" t="s">
        <v>980</v>
      </c>
      <c r="E694" t="s">
        <v>218</v>
      </c>
      <c r="F694">
        <v>34</v>
      </c>
      <c r="G694" t="s">
        <v>9</v>
      </c>
      <c r="H694" t="s">
        <v>8</v>
      </c>
      <c r="I694" t="s">
        <v>59</v>
      </c>
      <c r="J694" t="s">
        <v>73</v>
      </c>
      <c r="K694" t="s">
        <v>64</v>
      </c>
      <c r="L694">
        <v>2</v>
      </c>
      <c r="M694" s="12">
        <v>120</v>
      </c>
      <c r="N694" s="12">
        <v>81.599999999999994</v>
      </c>
      <c r="O694">
        <v>0</v>
      </c>
      <c r="P694" s="12">
        <v>240</v>
      </c>
      <c r="Q694" s="12">
        <v>163.19999999999999</v>
      </c>
      <c r="R694" s="12">
        <v>76.800000000000011</v>
      </c>
      <c r="S694" t="s">
        <v>1249</v>
      </c>
      <c r="T694" t="s">
        <v>108</v>
      </c>
      <c r="U694" t="s">
        <v>1203</v>
      </c>
    </row>
    <row r="695" spans="1:21" x14ac:dyDescent="0.25">
      <c r="A695" t="s">
        <v>2418</v>
      </c>
      <c r="B695" s="8">
        <v>45844</v>
      </c>
      <c r="C695" t="s">
        <v>1555</v>
      </c>
      <c r="D695" t="s">
        <v>968</v>
      </c>
      <c r="E695" t="s">
        <v>218</v>
      </c>
      <c r="F695">
        <v>63</v>
      </c>
      <c r="G695" t="s">
        <v>16</v>
      </c>
      <c r="H695" t="s">
        <v>15</v>
      </c>
      <c r="I695" t="s">
        <v>53</v>
      </c>
      <c r="J695" t="s">
        <v>48</v>
      </c>
      <c r="K695" t="s">
        <v>43</v>
      </c>
      <c r="L695">
        <v>1</v>
      </c>
      <c r="M695" s="12">
        <v>6499</v>
      </c>
      <c r="N695" s="12">
        <v>4549.2999999999993</v>
      </c>
      <c r="O695">
        <v>10</v>
      </c>
      <c r="P695" s="12">
        <v>5849.1</v>
      </c>
      <c r="Q695" s="12">
        <v>4549.2999999999993</v>
      </c>
      <c r="R695" s="12">
        <v>1299.8000000000011</v>
      </c>
      <c r="S695" t="s">
        <v>1249</v>
      </c>
      <c r="T695" t="s">
        <v>107</v>
      </c>
      <c r="U695" t="s">
        <v>1194</v>
      </c>
    </row>
    <row r="696" spans="1:21" x14ac:dyDescent="0.25">
      <c r="A696" t="s">
        <v>2420</v>
      </c>
      <c r="B696" s="8">
        <v>45696</v>
      </c>
      <c r="C696" t="s">
        <v>1539</v>
      </c>
      <c r="D696" t="s">
        <v>390</v>
      </c>
      <c r="E696" t="s">
        <v>198</v>
      </c>
      <c r="F696">
        <v>42</v>
      </c>
      <c r="G696" t="s">
        <v>4</v>
      </c>
      <c r="H696" t="s">
        <v>3</v>
      </c>
      <c r="I696" t="s">
        <v>38</v>
      </c>
      <c r="J696" t="s">
        <v>37</v>
      </c>
      <c r="K696" t="s">
        <v>22</v>
      </c>
      <c r="L696">
        <v>1</v>
      </c>
      <c r="M696" s="12">
        <v>1650</v>
      </c>
      <c r="N696" s="12">
        <v>990</v>
      </c>
      <c r="O696">
        <v>8</v>
      </c>
      <c r="P696" s="12">
        <v>1518</v>
      </c>
      <c r="Q696" s="12">
        <v>990</v>
      </c>
      <c r="R696" s="12">
        <v>528</v>
      </c>
      <c r="S696" t="s">
        <v>113</v>
      </c>
      <c r="T696" t="s">
        <v>109</v>
      </c>
      <c r="U696" t="s">
        <v>1201</v>
      </c>
    </row>
    <row r="697" spans="1:21" x14ac:dyDescent="0.25">
      <c r="A697" t="s">
        <v>2421</v>
      </c>
      <c r="B697" s="8">
        <v>46013</v>
      </c>
      <c r="C697" t="s">
        <v>1667</v>
      </c>
      <c r="D697" t="s">
        <v>898</v>
      </c>
      <c r="E697" t="s">
        <v>218</v>
      </c>
      <c r="F697">
        <v>65</v>
      </c>
      <c r="G697" t="s">
        <v>11</v>
      </c>
      <c r="H697" t="s">
        <v>12</v>
      </c>
      <c r="I697" t="s">
        <v>42</v>
      </c>
      <c r="J697" t="s">
        <v>44</v>
      </c>
      <c r="K697" t="s">
        <v>43</v>
      </c>
      <c r="L697">
        <v>1</v>
      </c>
      <c r="M697" s="12">
        <v>8999</v>
      </c>
      <c r="N697" s="12">
        <v>6479.28</v>
      </c>
      <c r="O697">
        <v>13</v>
      </c>
      <c r="P697" s="12">
        <v>7829.13</v>
      </c>
      <c r="Q697" s="12">
        <v>6479.28</v>
      </c>
      <c r="R697" s="12">
        <v>1349.8500000000004</v>
      </c>
      <c r="S697" t="s">
        <v>1246</v>
      </c>
      <c r="T697" t="s">
        <v>107</v>
      </c>
      <c r="U697" t="s">
        <v>1211</v>
      </c>
    </row>
    <row r="698" spans="1:21" x14ac:dyDescent="0.25">
      <c r="A698" t="s">
        <v>2423</v>
      </c>
      <c r="B698" s="8">
        <v>45727</v>
      </c>
      <c r="C698" t="s">
        <v>1787</v>
      </c>
      <c r="D698" t="s">
        <v>833</v>
      </c>
      <c r="E698" t="s">
        <v>218</v>
      </c>
      <c r="F698">
        <v>21</v>
      </c>
      <c r="G698" t="s">
        <v>10</v>
      </c>
      <c r="H698" t="s">
        <v>8</v>
      </c>
      <c r="I698" t="s">
        <v>63</v>
      </c>
      <c r="J698" t="s">
        <v>77</v>
      </c>
      <c r="K698" t="s">
        <v>64</v>
      </c>
      <c r="L698">
        <v>1</v>
      </c>
      <c r="M698" s="12">
        <v>650</v>
      </c>
      <c r="N698" s="12">
        <v>468</v>
      </c>
      <c r="O698">
        <v>3</v>
      </c>
      <c r="P698" s="12">
        <v>630.5</v>
      </c>
      <c r="Q698" s="12">
        <v>468</v>
      </c>
      <c r="R698" s="12">
        <v>162.5</v>
      </c>
      <c r="S698" t="s">
        <v>1246</v>
      </c>
      <c r="T698" t="s">
        <v>110</v>
      </c>
      <c r="U698" t="s">
        <v>1211</v>
      </c>
    </row>
    <row r="699" spans="1:21" x14ac:dyDescent="0.25">
      <c r="A699" t="s">
        <v>2425</v>
      </c>
      <c r="B699" s="8">
        <v>45855</v>
      </c>
      <c r="C699" t="s">
        <v>1935</v>
      </c>
      <c r="D699" t="s">
        <v>785</v>
      </c>
      <c r="E699" t="s">
        <v>198</v>
      </c>
      <c r="F699">
        <v>44</v>
      </c>
      <c r="G699" t="s">
        <v>9</v>
      </c>
      <c r="H699" t="s">
        <v>8</v>
      </c>
      <c r="I699" t="s">
        <v>32</v>
      </c>
      <c r="J699" t="s">
        <v>29</v>
      </c>
      <c r="K699" t="s">
        <v>22</v>
      </c>
      <c r="L699">
        <v>3</v>
      </c>
      <c r="M699" s="12">
        <v>9500</v>
      </c>
      <c r="N699" s="12">
        <v>6650</v>
      </c>
      <c r="O699">
        <v>6</v>
      </c>
      <c r="P699" s="12">
        <v>26790</v>
      </c>
      <c r="Q699" s="12">
        <v>19950</v>
      </c>
      <c r="R699" s="12">
        <v>6840</v>
      </c>
      <c r="S699" t="s">
        <v>113</v>
      </c>
      <c r="T699" t="s">
        <v>109</v>
      </c>
      <c r="U699" t="s">
        <v>1198</v>
      </c>
    </row>
    <row r="700" spans="1:21" x14ac:dyDescent="0.25">
      <c r="A700" t="s">
        <v>2426</v>
      </c>
      <c r="B700" s="8">
        <v>45695</v>
      </c>
      <c r="C700" t="s">
        <v>2797</v>
      </c>
      <c r="D700" t="s">
        <v>380</v>
      </c>
      <c r="E700" t="s">
        <v>218</v>
      </c>
      <c r="F700">
        <v>58</v>
      </c>
      <c r="G700" t="s">
        <v>11</v>
      </c>
      <c r="H700" t="s">
        <v>12</v>
      </c>
      <c r="I700" t="s">
        <v>26</v>
      </c>
      <c r="J700" t="s">
        <v>27</v>
      </c>
      <c r="K700" t="s">
        <v>22</v>
      </c>
      <c r="L700">
        <v>1</v>
      </c>
      <c r="M700" s="12">
        <v>27499</v>
      </c>
      <c r="N700" s="12">
        <v>23374.149999999998</v>
      </c>
      <c r="O700">
        <v>8</v>
      </c>
      <c r="P700" s="12">
        <v>25299.08</v>
      </c>
      <c r="Q700" s="12">
        <v>23374.149999999998</v>
      </c>
      <c r="R700" s="12">
        <v>1924.9300000000039</v>
      </c>
      <c r="S700" t="s">
        <v>1246</v>
      </c>
      <c r="T700" t="s">
        <v>108</v>
      </c>
      <c r="U700" t="s">
        <v>1203</v>
      </c>
    </row>
    <row r="701" spans="1:21" x14ac:dyDescent="0.25">
      <c r="A701" t="s">
        <v>2427</v>
      </c>
      <c r="B701" s="8">
        <v>45947</v>
      </c>
      <c r="C701" t="s">
        <v>1415</v>
      </c>
      <c r="D701" t="s">
        <v>1103</v>
      </c>
      <c r="E701" t="s">
        <v>198</v>
      </c>
      <c r="F701">
        <v>36</v>
      </c>
      <c r="G701" t="s">
        <v>16</v>
      </c>
      <c r="H701" t="s">
        <v>15</v>
      </c>
      <c r="I701" t="s">
        <v>32</v>
      </c>
      <c r="J701" t="s">
        <v>29</v>
      </c>
      <c r="K701" t="s">
        <v>22</v>
      </c>
      <c r="L701">
        <v>5</v>
      </c>
      <c r="M701" s="12">
        <v>9500</v>
      </c>
      <c r="N701" s="12">
        <v>6650</v>
      </c>
      <c r="O701">
        <v>4</v>
      </c>
      <c r="P701" s="12">
        <v>45600</v>
      </c>
      <c r="Q701" s="12">
        <v>33250</v>
      </c>
      <c r="R701" s="12">
        <v>12350</v>
      </c>
      <c r="S701" t="s">
        <v>1246</v>
      </c>
      <c r="T701" t="s">
        <v>107</v>
      </c>
      <c r="U701" t="s">
        <v>1203</v>
      </c>
    </row>
    <row r="702" spans="1:21" x14ac:dyDescent="0.25">
      <c r="A702" t="s">
        <v>2429</v>
      </c>
      <c r="B702" s="8">
        <v>46008</v>
      </c>
      <c r="C702" t="s">
        <v>1468</v>
      </c>
      <c r="D702" t="s">
        <v>643</v>
      </c>
      <c r="E702" t="s">
        <v>218</v>
      </c>
      <c r="F702">
        <v>47</v>
      </c>
      <c r="G702" t="s">
        <v>7</v>
      </c>
      <c r="H702" t="s">
        <v>8</v>
      </c>
      <c r="I702" t="s">
        <v>47</v>
      </c>
      <c r="J702" t="s">
        <v>52</v>
      </c>
      <c r="K702" t="s">
        <v>43</v>
      </c>
      <c r="L702">
        <v>2</v>
      </c>
      <c r="M702" s="12">
        <v>42999</v>
      </c>
      <c r="N702" s="12">
        <v>33539.22</v>
      </c>
      <c r="O702">
        <v>19</v>
      </c>
      <c r="P702" s="12">
        <v>69658.38</v>
      </c>
      <c r="Q702" s="12">
        <v>67078.44</v>
      </c>
      <c r="R702" s="12">
        <v>2579.9400000000023</v>
      </c>
      <c r="S702" t="s">
        <v>113</v>
      </c>
      <c r="T702" t="s">
        <v>110</v>
      </c>
      <c r="U702" t="s">
        <v>1196</v>
      </c>
    </row>
    <row r="703" spans="1:21" x14ac:dyDescent="0.25">
      <c r="A703" t="s">
        <v>2430</v>
      </c>
      <c r="B703" s="8">
        <v>45670</v>
      </c>
      <c r="C703" t="s">
        <v>1528</v>
      </c>
      <c r="D703" t="s">
        <v>954</v>
      </c>
      <c r="E703" t="s">
        <v>218</v>
      </c>
      <c r="F703">
        <v>26</v>
      </c>
      <c r="G703" t="s">
        <v>4</v>
      </c>
      <c r="H703" t="s">
        <v>3</v>
      </c>
      <c r="I703" t="s">
        <v>59</v>
      </c>
      <c r="J703" t="s">
        <v>73</v>
      </c>
      <c r="K703" t="s">
        <v>64</v>
      </c>
      <c r="L703">
        <v>3</v>
      </c>
      <c r="M703" s="12">
        <v>120</v>
      </c>
      <c r="N703" s="12">
        <v>81.599999999999994</v>
      </c>
      <c r="O703">
        <v>10</v>
      </c>
      <c r="P703" s="12">
        <v>324</v>
      </c>
      <c r="Q703" s="12">
        <v>244.79999999999998</v>
      </c>
      <c r="R703" s="12">
        <v>79.200000000000017</v>
      </c>
      <c r="S703" t="s">
        <v>113</v>
      </c>
      <c r="T703" t="s">
        <v>110</v>
      </c>
      <c r="U703" t="s">
        <v>1211</v>
      </c>
    </row>
    <row r="704" spans="1:21" x14ac:dyDescent="0.25">
      <c r="A704" t="s">
        <v>2431</v>
      </c>
      <c r="B704" s="8">
        <v>45752</v>
      </c>
      <c r="C704" t="s">
        <v>2291</v>
      </c>
      <c r="D704" t="s">
        <v>457</v>
      </c>
      <c r="E704" t="s">
        <v>198</v>
      </c>
      <c r="F704">
        <v>61</v>
      </c>
      <c r="G704" t="s">
        <v>9</v>
      </c>
      <c r="H704" t="s">
        <v>8</v>
      </c>
      <c r="I704" t="s">
        <v>49</v>
      </c>
      <c r="J704" t="s">
        <v>56</v>
      </c>
      <c r="K704" t="s">
        <v>43</v>
      </c>
      <c r="L704">
        <v>1</v>
      </c>
      <c r="M704" s="12">
        <v>31999</v>
      </c>
      <c r="N704" s="12">
        <v>25599.200000000001</v>
      </c>
      <c r="O704">
        <v>8</v>
      </c>
      <c r="P704" s="12">
        <v>29439.08</v>
      </c>
      <c r="Q704" s="12">
        <v>25599.200000000001</v>
      </c>
      <c r="R704" s="12">
        <v>3839.880000000001</v>
      </c>
      <c r="S704" t="s">
        <v>113</v>
      </c>
      <c r="T704" t="s">
        <v>110</v>
      </c>
      <c r="U704" t="s">
        <v>1199</v>
      </c>
    </row>
    <row r="705" spans="1:21" x14ac:dyDescent="0.25">
      <c r="A705" t="s">
        <v>2432</v>
      </c>
      <c r="B705" s="8">
        <v>45941</v>
      </c>
      <c r="C705" t="s">
        <v>1669</v>
      </c>
      <c r="D705" t="s">
        <v>1047</v>
      </c>
      <c r="E705" t="s">
        <v>198</v>
      </c>
      <c r="F705">
        <v>62</v>
      </c>
      <c r="G705" t="s">
        <v>290</v>
      </c>
      <c r="H705" t="s">
        <v>3</v>
      </c>
      <c r="I705" t="s">
        <v>55</v>
      </c>
      <c r="J705" t="s">
        <v>65</v>
      </c>
      <c r="K705" t="s">
        <v>64</v>
      </c>
      <c r="L705">
        <v>2</v>
      </c>
      <c r="M705" s="12">
        <v>80</v>
      </c>
      <c r="N705" s="12">
        <v>56</v>
      </c>
      <c r="O705">
        <v>4</v>
      </c>
      <c r="P705" s="12">
        <v>153.6</v>
      </c>
      <c r="Q705" s="12">
        <v>112</v>
      </c>
      <c r="R705" s="12">
        <v>41.599999999999994</v>
      </c>
      <c r="S705" t="s">
        <v>113</v>
      </c>
      <c r="T705" t="s">
        <v>109</v>
      </c>
      <c r="U705" t="s">
        <v>1205</v>
      </c>
    </row>
    <row r="706" spans="1:21" x14ac:dyDescent="0.25">
      <c r="A706" t="s">
        <v>2434</v>
      </c>
      <c r="B706" s="8">
        <v>45714</v>
      </c>
      <c r="C706" t="s">
        <v>3975</v>
      </c>
      <c r="D706" t="s">
        <v>533</v>
      </c>
      <c r="E706" t="s">
        <v>218</v>
      </c>
      <c r="F706">
        <v>24</v>
      </c>
      <c r="G706" t="s">
        <v>289</v>
      </c>
      <c r="H706" t="s">
        <v>3</v>
      </c>
      <c r="I706" t="s">
        <v>59</v>
      </c>
      <c r="J706" t="s">
        <v>73</v>
      </c>
      <c r="K706" t="s">
        <v>64</v>
      </c>
      <c r="L706">
        <v>1</v>
      </c>
      <c r="M706" s="12">
        <v>120</v>
      </c>
      <c r="N706" s="12">
        <v>81.599999999999994</v>
      </c>
      <c r="O706">
        <v>4</v>
      </c>
      <c r="P706" s="12">
        <v>115.19999999999999</v>
      </c>
      <c r="Q706" s="12">
        <v>81.599999999999994</v>
      </c>
      <c r="R706" s="12">
        <v>33.599999999999994</v>
      </c>
      <c r="S706" t="s">
        <v>1246</v>
      </c>
      <c r="T706" t="s">
        <v>107</v>
      </c>
      <c r="U706" t="s">
        <v>1211</v>
      </c>
    </row>
    <row r="707" spans="1:21" x14ac:dyDescent="0.25">
      <c r="A707" t="s">
        <v>2436</v>
      </c>
      <c r="B707" s="8">
        <v>45884</v>
      </c>
      <c r="C707" t="s">
        <v>1975</v>
      </c>
      <c r="D707" t="s">
        <v>431</v>
      </c>
      <c r="E707" t="s">
        <v>198</v>
      </c>
      <c r="F707">
        <v>34</v>
      </c>
      <c r="G707" t="s">
        <v>5</v>
      </c>
      <c r="H707" t="s">
        <v>3</v>
      </c>
      <c r="I707" t="s">
        <v>47</v>
      </c>
      <c r="J707" t="s">
        <v>52</v>
      </c>
      <c r="K707" t="s">
        <v>43</v>
      </c>
      <c r="L707">
        <v>1</v>
      </c>
      <c r="M707" s="12">
        <v>42999</v>
      </c>
      <c r="N707" s="12">
        <v>33539.22</v>
      </c>
      <c r="O707">
        <v>9</v>
      </c>
      <c r="P707" s="12">
        <v>39129.090000000004</v>
      </c>
      <c r="Q707" s="12">
        <v>33539.22</v>
      </c>
      <c r="R707" s="12">
        <v>5589.8700000000026</v>
      </c>
      <c r="S707" t="s">
        <v>113</v>
      </c>
      <c r="T707" t="s">
        <v>107</v>
      </c>
      <c r="U707" t="s">
        <v>1196</v>
      </c>
    </row>
    <row r="708" spans="1:21" x14ac:dyDescent="0.25">
      <c r="A708" t="s">
        <v>2438</v>
      </c>
      <c r="B708" s="8">
        <v>45726</v>
      </c>
      <c r="C708" t="s">
        <v>4065</v>
      </c>
      <c r="D708" t="s">
        <v>504</v>
      </c>
      <c r="E708" t="s">
        <v>218</v>
      </c>
      <c r="F708">
        <v>37</v>
      </c>
      <c r="G708" t="s">
        <v>11</v>
      </c>
      <c r="H708" t="s">
        <v>12</v>
      </c>
      <c r="I708" t="s">
        <v>34</v>
      </c>
      <c r="J708" t="s">
        <v>137</v>
      </c>
      <c r="K708" t="s">
        <v>22</v>
      </c>
      <c r="L708">
        <v>4</v>
      </c>
      <c r="M708" s="12">
        <v>6900</v>
      </c>
      <c r="N708" s="12">
        <v>5727</v>
      </c>
      <c r="O708">
        <v>5</v>
      </c>
      <c r="P708" s="12">
        <v>26220</v>
      </c>
      <c r="Q708" s="12">
        <v>22908</v>
      </c>
      <c r="R708" s="12">
        <v>3312</v>
      </c>
      <c r="S708" t="s">
        <v>113</v>
      </c>
      <c r="T708" t="s">
        <v>107</v>
      </c>
      <c r="U708" t="s">
        <v>1199</v>
      </c>
    </row>
    <row r="709" spans="1:21" x14ac:dyDescent="0.25">
      <c r="A709" t="s">
        <v>2439</v>
      </c>
      <c r="B709" s="8">
        <v>45851</v>
      </c>
      <c r="C709" t="s">
        <v>5094</v>
      </c>
      <c r="D709" t="s">
        <v>573</v>
      </c>
      <c r="E709" t="s">
        <v>198</v>
      </c>
      <c r="F709">
        <v>37</v>
      </c>
      <c r="G709" t="s">
        <v>7</v>
      </c>
      <c r="H709" t="s">
        <v>8</v>
      </c>
      <c r="I709" t="s">
        <v>42</v>
      </c>
      <c r="J709" t="s">
        <v>44</v>
      </c>
      <c r="K709" t="s">
        <v>43</v>
      </c>
      <c r="L709">
        <v>1</v>
      </c>
      <c r="M709" s="12">
        <v>8999</v>
      </c>
      <c r="N709" s="12">
        <v>6479.28</v>
      </c>
      <c r="O709">
        <v>7</v>
      </c>
      <c r="P709" s="12">
        <v>8369.07</v>
      </c>
      <c r="Q709" s="12">
        <v>6479.28</v>
      </c>
      <c r="R709" s="12">
        <v>1889.79</v>
      </c>
      <c r="S709" t="s">
        <v>113</v>
      </c>
      <c r="T709" t="s">
        <v>107</v>
      </c>
      <c r="U709" t="s">
        <v>1196</v>
      </c>
    </row>
    <row r="710" spans="1:21" x14ac:dyDescent="0.25">
      <c r="A710" t="s">
        <v>2440</v>
      </c>
      <c r="B710" s="8">
        <v>45667</v>
      </c>
      <c r="C710" t="s">
        <v>2991</v>
      </c>
      <c r="D710" t="s">
        <v>784</v>
      </c>
      <c r="E710" t="s">
        <v>218</v>
      </c>
      <c r="F710">
        <v>43</v>
      </c>
      <c r="G710" t="s">
        <v>17</v>
      </c>
      <c r="H710" t="s">
        <v>15</v>
      </c>
      <c r="I710" t="s">
        <v>51</v>
      </c>
      <c r="J710" t="s">
        <v>54</v>
      </c>
      <c r="K710" t="s">
        <v>43</v>
      </c>
      <c r="L710">
        <v>1</v>
      </c>
      <c r="M710" s="12">
        <v>27499</v>
      </c>
      <c r="N710" s="12">
        <v>21724.210000000003</v>
      </c>
      <c r="O710">
        <v>4</v>
      </c>
      <c r="P710" s="12">
        <v>26399.039999999997</v>
      </c>
      <c r="Q710" s="12">
        <v>21724.210000000003</v>
      </c>
      <c r="R710" s="12">
        <v>4674.8299999999945</v>
      </c>
      <c r="S710" t="s">
        <v>1246</v>
      </c>
      <c r="T710" t="s">
        <v>107</v>
      </c>
      <c r="U710" t="s">
        <v>1207</v>
      </c>
    </row>
    <row r="711" spans="1:21" x14ac:dyDescent="0.25">
      <c r="A711" t="s">
        <v>2442</v>
      </c>
      <c r="B711" s="8">
        <v>45907</v>
      </c>
      <c r="C711" t="s">
        <v>1848</v>
      </c>
      <c r="D711" t="s">
        <v>589</v>
      </c>
      <c r="E711" t="s">
        <v>198</v>
      </c>
      <c r="F711">
        <v>51</v>
      </c>
      <c r="G711" t="s">
        <v>290</v>
      </c>
      <c r="H711" t="s">
        <v>3</v>
      </c>
      <c r="I711" t="s">
        <v>51</v>
      </c>
      <c r="J711" t="s">
        <v>54</v>
      </c>
      <c r="K711" t="s">
        <v>43</v>
      </c>
      <c r="L711">
        <v>2</v>
      </c>
      <c r="M711" s="12">
        <v>27499</v>
      </c>
      <c r="N711" s="12">
        <v>21724.210000000003</v>
      </c>
      <c r="O711">
        <v>7</v>
      </c>
      <c r="P711" s="12">
        <v>51148.14</v>
      </c>
      <c r="Q711" s="12">
        <v>43448.420000000006</v>
      </c>
      <c r="R711" s="12">
        <v>7699.7199999999939</v>
      </c>
      <c r="S711" t="s">
        <v>113</v>
      </c>
      <c r="T711" t="s">
        <v>108</v>
      </c>
      <c r="U711" t="s">
        <v>1211</v>
      </c>
    </row>
    <row r="712" spans="1:21" x14ac:dyDescent="0.25">
      <c r="A712" t="s">
        <v>2443</v>
      </c>
      <c r="B712" s="8">
        <v>46022</v>
      </c>
      <c r="C712" t="s">
        <v>5095</v>
      </c>
      <c r="D712" t="s">
        <v>416</v>
      </c>
      <c r="E712" t="s">
        <v>198</v>
      </c>
      <c r="F712">
        <v>51</v>
      </c>
      <c r="G712" t="s">
        <v>289</v>
      </c>
      <c r="H712" t="s">
        <v>3</v>
      </c>
      <c r="I712" t="s">
        <v>28</v>
      </c>
      <c r="J712" t="s">
        <v>35</v>
      </c>
      <c r="K712" t="s">
        <v>22</v>
      </c>
      <c r="L712">
        <v>4</v>
      </c>
      <c r="M712" s="12">
        <v>16499</v>
      </c>
      <c r="N712" s="12">
        <v>14519.12</v>
      </c>
      <c r="O712">
        <v>11</v>
      </c>
      <c r="P712" s="12">
        <v>58736.44</v>
      </c>
      <c r="Q712" s="12">
        <v>58076.480000000003</v>
      </c>
      <c r="R712" s="12">
        <v>659.95999999999913</v>
      </c>
      <c r="S712" t="s">
        <v>1246</v>
      </c>
      <c r="T712" t="s">
        <v>109</v>
      </c>
      <c r="U712" t="s">
        <v>1205</v>
      </c>
    </row>
    <row r="713" spans="1:21" x14ac:dyDescent="0.25">
      <c r="A713" t="s">
        <v>2445</v>
      </c>
      <c r="B713" s="8">
        <v>45910</v>
      </c>
      <c r="C713" t="s">
        <v>4197</v>
      </c>
      <c r="D713" t="s">
        <v>1007</v>
      </c>
      <c r="E713" t="s">
        <v>198</v>
      </c>
      <c r="F713">
        <v>20</v>
      </c>
      <c r="G713" t="s">
        <v>10</v>
      </c>
      <c r="H713" t="s">
        <v>8</v>
      </c>
      <c r="I713" t="s">
        <v>38</v>
      </c>
      <c r="J713" t="s">
        <v>37</v>
      </c>
      <c r="K713" t="s">
        <v>22</v>
      </c>
      <c r="L713">
        <v>2</v>
      </c>
      <c r="M713" s="12">
        <v>1650</v>
      </c>
      <c r="N713" s="12">
        <v>990</v>
      </c>
      <c r="O713">
        <v>4</v>
      </c>
      <c r="P713" s="12">
        <v>3168</v>
      </c>
      <c r="Q713" s="12">
        <v>1980</v>
      </c>
      <c r="R713" s="12">
        <v>1188</v>
      </c>
      <c r="S713" t="s">
        <v>113</v>
      </c>
      <c r="T713" t="s">
        <v>107</v>
      </c>
      <c r="U713" t="s">
        <v>1201</v>
      </c>
    </row>
    <row r="714" spans="1:21" x14ac:dyDescent="0.25">
      <c r="A714" t="s">
        <v>2446</v>
      </c>
      <c r="B714" s="8">
        <v>45821</v>
      </c>
      <c r="C714" t="s">
        <v>1925</v>
      </c>
      <c r="D714" t="s">
        <v>765</v>
      </c>
      <c r="E714" t="s">
        <v>218</v>
      </c>
      <c r="F714">
        <v>25</v>
      </c>
      <c r="G714" t="s">
        <v>14</v>
      </c>
      <c r="H714" t="s">
        <v>15</v>
      </c>
      <c r="I714" t="s">
        <v>38</v>
      </c>
      <c r="J714" t="s">
        <v>37</v>
      </c>
      <c r="K714" t="s">
        <v>22</v>
      </c>
      <c r="L714">
        <v>3</v>
      </c>
      <c r="M714" s="12">
        <v>1650</v>
      </c>
      <c r="N714" s="12">
        <v>990</v>
      </c>
      <c r="O714">
        <v>6</v>
      </c>
      <c r="P714" s="12">
        <v>4653</v>
      </c>
      <c r="Q714" s="12">
        <v>2970</v>
      </c>
      <c r="R714" s="12">
        <v>1683</v>
      </c>
      <c r="S714" t="s">
        <v>113</v>
      </c>
      <c r="T714" t="s">
        <v>107</v>
      </c>
      <c r="U714" t="s">
        <v>1194</v>
      </c>
    </row>
    <row r="715" spans="1:21" x14ac:dyDescent="0.25">
      <c r="A715" t="s">
        <v>2447</v>
      </c>
      <c r="B715" s="8">
        <v>45752</v>
      </c>
      <c r="C715" t="s">
        <v>2567</v>
      </c>
      <c r="D715" t="s">
        <v>380</v>
      </c>
      <c r="E715" t="s">
        <v>218</v>
      </c>
      <c r="F715">
        <v>29</v>
      </c>
      <c r="G715" t="s">
        <v>9</v>
      </c>
      <c r="H715" t="s">
        <v>8</v>
      </c>
      <c r="I715" t="s">
        <v>57</v>
      </c>
      <c r="J715" t="s">
        <v>67</v>
      </c>
      <c r="K715" t="s">
        <v>64</v>
      </c>
      <c r="L715">
        <v>1</v>
      </c>
      <c r="M715" s="12">
        <v>150</v>
      </c>
      <c r="N715" s="12">
        <v>97.5</v>
      </c>
      <c r="O715">
        <v>2</v>
      </c>
      <c r="P715" s="12">
        <v>147</v>
      </c>
      <c r="Q715" s="12">
        <v>97.5</v>
      </c>
      <c r="R715" s="12">
        <v>49.5</v>
      </c>
      <c r="S715" t="s">
        <v>1246</v>
      </c>
      <c r="T715" t="s">
        <v>108</v>
      </c>
      <c r="U715" t="s">
        <v>1203</v>
      </c>
    </row>
    <row r="716" spans="1:21" x14ac:dyDescent="0.25">
      <c r="A716" t="s">
        <v>2448</v>
      </c>
      <c r="B716" s="8">
        <v>45992</v>
      </c>
      <c r="C716" t="s">
        <v>1462</v>
      </c>
      <c r="D716" t="s">
        <v>520</v>
      </c>
      <c r="E716" t="s">
        <v>198</v>
      </c>
      <c r="F716">
        <v>43</v>
      </c>
      <c r="G716" t="s">
        <v>2</v>
      </c>
      <c r="H716" t="s">
        <v>3</v>
      </c>
      <c r="I716" t="s">
        <v>30</v>
      </c>
      <c r="J716" t="s">
        <v>41</v>
      </c>
      <c r="K716" t="s">
        <v>22</v>
      </c>
      <c r="L716">
        <v>2</v>
      </c>
      <c r="M716" s="12">
        <v>13749</v>
      </c>
      <c r="N716" s="12">
        <v>10999.2</v>
      </c>
      <c r="O716">
        <v>16</v>
      </c>
      <c r="P716" s="12">
        <v>23098.32</v>
      </c>
      <c r="Q716" s="12">
        <v>21998.400000000001</v>
      </c>
      <c r="R716" s="12">
        <v>1099.9199999999983</v>
      </c>
      <c r="S716" t="s">
        <v>1246</v>
      </c>
      <c r="T716" t="s">
        <v>111</v>
      </c>
      <c r="U716" t="s">
        <v>1211</v>
      </c>
    </row>
    <row r="717" spans="1:21" x14ac:dyDescent="0.25">
      <c r="A717" t="s">
        <v>2450</v>
      </c>
      <c r="B717" s="8">
        <v>45910</v>
      </c>
      <c r="C717" t="s">
        <v>1279</v>
      </c>
      <c r="D717" t="s">
        <v>451</v>
      </c>
      <c r="E717" t="s">
        <v>198</v>
      </c>
      <c r="F717">
        <v>41</v>
      </c>
      <c r="G717" t="s">
        <v>290</v>
      </c>
      <c r="H717" t="s">
        <v>3</v>
      </c>
      <c r="I717" t="s">
        <v>57</v>
      </c>
      <c r="J717" t="s">
        <v>67</v>
      </c>
      <c r="K717" t="s">
        <v>64</v>
      </c>
      <c r="L717">
        <v>3</v>
      </c>
      <c r="M717" s="12">
        <v>150</v>
      </c>
      <c r="N717" s="12">
        <v>97.5</v>
      </c>
      <c r="O717">
        <v>4</v>
      </c>
      <c r="P717" s="12">
        <v>432</v>
      </c>
      <c r="Q717" s="12">
        <v>292.5</v>
      </c>
      <c r="R717" s="12">
        <v>139.5</v>
      </c>
      <c r="S717" t="s">
        <v>1246</v>
      </c>
      <c r="T717" t="s">
        <v>107</v>
      </c>
      <c r="U717" t="s">
        <v>1209</v>
      </c>
    </row>
    <row r="718" spans="1:21" x14ac:dyDescent="0.25">
      <c r="A718" t="s">
        <v>2451</v>
      </c>
      <c r="B718" s="8">
        <v>45924</v>
      </c>
      <c r="C718" t="s">
        <v>2741</v>
      </c>
      <c r="D718" t="s">
        <v>819</v>
      </c>
      <c r="E718" t="s">
        <v>198</v>
      </c>
      <c r="F718">
        <v>60</v>
      </c>
      <c r="G718" t="s">
        <v>7</v>
      </c>
      <c r="H718" t="s">
        <v>8</v>
      </c>
      <c r="I718" t="s">
        <v>59</v>
      </c>
      <c r="J718" t="s">
        <v>73</v>
      </c>
      <c r="K718" t="s">
        <v>64</v>
      </c>
      <c r="L718">
        <v>1</v>
      </c>
      <c r="M718" s="12">
        <v>120</v>
      </c>
      <c r="N718" s="12">
        <v>81.599999999999994</v>
      </c>
      <c r="O718">
        <v>4</v>
      </c>
      <c r="P718" s="12">
        <v>115.19999999999999</v>
      </c>
      <c r="Q718" s="12">
        <v>81.599999999999994</v>
      </c>
      <c r="R718" s="12">
        <v>33.599999999999994</v>
      </c>
      <c r="S718" t="s">
        <v>113</v>
      </c>
      <c r="T718" t="s">
        <v>109</v>
      </c>
      <c r="U718" t="s">
        <v>1201</v>
      </c>
    </row>
    <row r="719" spans="1:21" x14ac:dyDescent="0.25">
      <c r="A719" t="s">
        <v>2452</v>
      </c>
      <c r="B719" s="8">
        <v>45702</v>
      </c>
      <c r="C719" t="s">
        <v>1287</v>
      </c>
      <c r="D719" t="s">
        <v>394</v>
      </c>
      <c r="E719" t="s">
        <v>218</v>
      </c>
      <c r="F719">
        <v>59</v>
      </c>
      <c r="G719" t="s">
        <v>10</v>
      </c>
      <c r="H719" t="s">
        <v>8</v>
      </c>
      <c r="I719" t="s">
        <v>30</v>
      </c>
      <c r="J719" t="s">
        <v>41</v>
      </c>
      <c r="K719" t="s">
        <v>22</v>
      </c>
      <c r="L719">
        <v>5</v>
      </c>
      <c r="M719" s="12">
        <v>13749</v>
      </c>
      <c r="N719" s="12">
        <v>10999.2</v>
      </c>
      <c r="O719">
        <v>6</v>
      </c>
      <c r="P719" s="12">
        <v>64620.299999999996</v>
      </c>
      <c r="Q719" s="12">
        <v>54996</v>
      </c>
      <c r="R719" s="12">
        <v>9624.2999999999956</v>
      </c>
      <c r="S719" t="s">
        <v>1246</v>
      </c>
      <c r="T719" t="s">
        <v>109</v>
      </c>
      <c r="U719" t="s">
        <v>1203</v>
      </c>
    </row>
    <row r="720" spans="1:21" x14ac:dyDescent="0.25">
      <c r="A720" t="s">
        <v>2453</v>
      </c>
      <c r="B720" s="8">
        <v>46018</v>
      </c>
      <c r="C720" t="s">
        <v>1310</v>
      </c>
      <c r="D720" t="s">
        <v>1154</v>
      </c>
      <c r="E720" t="s">
        <v>198</v>
      </c>
      <c r="F720">
        <v>57</v>
      </c>
      <c r="G720" t="s">
        <v>289</v>
      </c>
      <c r="H720" t="s">
        <v>3</v>
      </c>
      <c r="I720" t="s">
        <v>36</v>
      </c>
      <c r="J720" t="s">
        <v>136</v>
      </c>
      <c r="K720" t="s">
        <v>22</v>
      </c>
      <c r="L720">
        <v>2</v>
      </c>
      <c r="M720" s="12">
        <v>3590</v>
      </c>
      <c r="N720" s="12">
        <v>2333.5</v>
      </c>
      <c r="O720">
        <v>18</v>
      </c>
      <c r="P720" s="12">
        <v>5887.6</v>
      </c>
      <c r="Q720" s="12">
        <v>4667</v>
      </c>
      <c r="R720" s="12">
        <v>1220.6000000000004</v>
      </c>
      <c r="S720" t="s">
        <v>1246</v>
      </c>
      <c r="T720" t="s">
        <v>108</v>
      </c>
      <c r="U720" t="s">
        <v>1196</v>
      </c>
    </row>
    <row r="721" spans="1:21" x14ac:dyDescent="0.25">
      <c r="A721" t="s">
        <v>2455</v>
      </c>
      <c r="B721" s="8">
        <v>45813</v>
      </c>
      <c r="C721" t="s">
        <v>1429</v>
      </c>
      <c r="D721" t="s">
        <v>552</v>
      </c>
      <c r="E721" t="s">
        <v>218</v>
      </c>
      <c r="F721">
        <v>41</v>
      </c>
      <c r="G721" t="s">
        <v>2</v>
      </c>
      <c r="H721" t="s">
        <v>3</v>
      </c>
      <c r="I721" t="s">
        <v>53</v>
      </c>
      <c r="J721" t="s">
        <v>48</v>
      </c>
      <c r="K721" t="s">
        <v>43</v>
      </c>
      <c r="L721">
        <v>4</v>
      </c>
      <c r="M721" s="12">
        <v>6499</v>
      </c>
      <c r="N721" s="12">
        <v>4549.2999999999993</v>
      </c>
      <c r="O721">
        <v>2</v>
      </c>
      <c r="P721" s="12">
        <v>25476.079999999998</v>
      </c>
      <c r="Q721" s="12">
        <v>18197.199999999997</v>
      </c>
      <c r="R721" s="12">
        <v>7278.880000000001</v>
      </c>
      <c r="S721" t="s">
        <v>1249</v>
      </c>
      <c r="T721" t="s">
        <v>107</v>
      </c>
      <c r="U721" t="s">
        <v>1194</v>
      </c>
    </row>
    <row r="722" spans="1:21" x14ac:dyDescent="0.25">
      <c r="A722" t="s">
        <v>2456</v>
      </c>
      <c r="B722" s="8">
        <v>45954</v>
      </c>
      <c r="C722" t="s">
        <v>3197</v>
      </c>
      <c r="D722" t="s">
        <v>648</v>
      </c>
      <c r="E722" t="s">
        <v>218</v>
      </c>
      <c r="F722">
        <v>20</v>
      </c>
      <c r="G722" t="s">
        <v>290</v>
      </c>
      <c r="H722" t="s">
        <v>3</v>
      </c>
      <c r="I722" t="s">
        <v>38</v>
      </c>
      <c r="J722" t="s">
        <v>37</v>
      </c>
      <c r="K722" t="s">
        <v>22</v>
      </c>
      <c r="L722">
        <v>1</v>
      </c>
      <c r="M722" s="12">
        <v>1650</v>
      </c>
      <c r="N722" s="12">
        <v>990</v>
      </c>
      <c r="O722">
        <v>3</v>
      </c>
      <c r="P722" s="12">
        <v>1600.5</v>
      </c>
      <c r="Q722" s="12">
        <v>990</v>
      </c>
      <c r="R722" s="12">
        <v>610.5</v>
      </c>
      <c r="S722" t="s">
        <v>113</v>
      </c>
      <c r="T722" t="s">
        <v>107</v>
      </c>
      <c r="U722" t="s">
        <v>1201</v>
      </c>
    </row>
    <row r="723" spans="1:21" x14ac:dyDescent="0.25">
      <c r="A723" t="s">
        <v>2457</v>
      </c>
      <c r="B723" s="8">
        <v>45780</v>
      </c>
      <c r="C723" t="s">
        <v>1468</v>
      </c>
      <c r="D723" t="s">
        <v>643</v>
      </c>
      <c r="E723" t="s">
        <v>218</v>
      </c>
      <c r="F723">
        <v>47</v>
      </c>
      <c r="G723" t="s">
        <v>7</v>
      </c>
      <c r="H723" t="s">
        <v>8</v>
      </c>
      <c r="I723" t="s">
        <v>53</v>
      </c>
      <c r="J723" t="s">
        <v>48</v>
      </c>
      <c r="K723" t="s">
        <v>43</v>
      </c>
      <c r="L723">
        <v>1</v>
      </c>
      <c r="M723" s="12">
        <v>6499</v>
      </c>
      <c r="N723" s="12">
        <v>4549.2999999999993</v>
      </c>
      <c r="O723">
        <v>4</v>
      </c>
      <c r="P723" s="12">
        <v>6239.04</v>
      </c>
      <c r="Q723" s="12">
        <v>4549.2999999999993</v>
      </c>
      <c r="R723" s="12">
        <v>1689.7400000000007</v>
      </c>
      <c r="S723" t="s">
        <v>1246</v>
      </c>
      <c r="T723" t="s">
        <v>111</v>
      </c>
      <c r="U723" t="s">
        <v>1211</v>
      </c>
    </row>
    <row r="724" spans="1:21" x14ac:dyDescent="0.25">
      <c r="A724" t="s">
        <v>2458</v>
      </c>
      <c r="B724" s="8">
        <v>45940</v>
      </c>
      <c r="C724" t="s">
        <v>4210</v>
      </c>
      <c r="D724" t="s">
        <v>700</v>
      </c>
      <c r="E724" t="s">
        <v>218</v>
      </c>
      <c r="F724">
        <v>63</v>
      </c>
      <c r="G724" t="s">
        <v>2</v>
      </c>
      <c r="H724" t="s">
        <v>3</v>
      </c>
      <c r="I724" t="s">
        <v>32</v>
      </c>
      <c r="J724" t="s">
        <v>29</v>
      </c>
      <c r="K724" t="s">
        <v>22</v>
      </c>
      <c r="L724">
        <v>5</v>
      </c>
      <c r="M724" s="12">
        <v>9500</v>
      </c>
      <c r="N724" s="12">
        <v>6650</v>
      </c>
      <c r="O724">
        <v>4</v>
      </c>
      <c r="P724" s="12">
        <v>45600</v>
      </c>
      <c r="Q724" s="12">
        <v>33250</v>
      </c>
      <c r="R724" s="12">
        <v>12350</v>
      </c>
      <c r="S724" t="s">
        <v>1246</v>
      </c>
      <c r="T724" t="s">
        <v>110</v>
      </c>
      <c r="U724" t="s">
        <v>1209</v>
      </c>
    </row>
    <row r="725" spans="1:21" x14ac:dyDescent="0.25">
      <c r="A725" t="s">
        <v>2459</v>
      </c>
      <c r="B725" s="8">
        <v>45955</v>
      </c>
      <c r="C725" t="s">
        <v>2878</v>
      </c>
      <c r="D725" t="s">
        <v>525</v>
      </c>
      <c r="E725" t="s">
        <v>198</v>
      </c>
      <c r="F725">
        <v>24</v>
      </c>
      <c r="G725" t="s">
        <v>16</v>
      </c>
      <c r="H725" t="s">
        <v>15</v>
      </c>
      <c r="I725" t="s">
        <v>47</v>
      </c>
      <c r="J725" t="s">
        <v>52</v>
      </c>
      <c r="K725" t="s">
        <v>43</v>
      </c>
      <c r="L725">
        <v>2</v>
      </c>
      <c r="M725" s="12">
        <v>42999</v>
      </c>
      <c r="N725" s="12">
        <v>33539.22</v>
      </c>
      <c r="O725">
        <v>6</v>
      </c>
      <c r="P725" s="12">
        <v>80838.12</v>
      </c>
      <c r="Q725" s="12">
        <v>67078.44</v>
      </c>
      <c r="R725" s="12">
        <v>13759.679999999993</v>
      </c>
      <c r="S725" t="s">
        <v>1246</v>
      </c>
      <c r="T725" t="s">
        <v>107</v>
      </c>
      <c r="U725" t="s">
        <v>1194</v>
      </c>
    </row>
    <row r="726" spans="1:21" x14ac:dyDescent="0.25">
      <c r="A726" t="s">
        <v>2460</v>
      </c>
      <c r="B726" s="8">
        <v>45984</v>
      </c>
      <c r="C726" t="s">
        <v>3554</v>
      </c>
      <c r="D726" t="s">
        <v>438</v>
      </c>
      <c r="E726" t="s">
        <v>198</v>
      </c>
      <c r="F726">
        <v>39</v>
      </c>
      <c r="G726" t="s">
        <v>290</v>
      </c>
      <c r="H726" t="s">
        <v>3</v>
      </c>
      <c r="I726" t="s">
        <v>32</v>
      </c>
      <c r="J726" t="s">
        <v>29</v>
      </c>
      <c r="K726" t="s">
        <v>22</v>
      </c>
      <c r="L726">
        <v>4</v>
      </c>
      <c r="M726" s="12">
        <v>9500</v>
      </c>
      <c r="N726" s="12">
        <v>6650</v>
      </c>
      <c r="O726">
        <v>10</v>
      </c>
      <c r="P726" s="12">
        <v>34200</v>
      </c>
      <c r="Q726" s="12">
        <v>26600</v>
      </c>
      <c r="R726" s="12">
        <v>7600</v>
      </c>
      <c r="S726" t="s">
        <v>113</v>
      </c>
      <c r="T726" t="s">
        <v>109</v>
      </c>
      <c r="U726" t="s">
        <v>1199</v>
      </c>
    </row>
    <row r="727" spans="1:21" x14ac:dyDescent="0.25">
      <c r="A727" t="s">
        <v>2462</v>
      </c>
      <c r="B727" s="8">
        <v>45667</v>
      </c>
      <c r="C727" t="s">
        <v>2444</v>
      </c>
      <c r="D727" t="s">
        <v>367</v>
      </c>
      <c r="E727" t="s">
        <v>218</v>
      </c>
      <c r="F727">
        <v>23</v>
      </c>
      <c r="G727" t="s">
        <v>7</v>
      </c>
      <c r="H727" t="s">
        <v>8</v>
      </c>
      <c r="I727" t="s">
        <v>36</v>
      </c>
      <c r="J727" t="s">
        <v>136</v>
      </c>
      <c r="K727" t="s">
        <v>22</v>
      </c>
      <c r="L727">
        <v>5</v>
      </c>
      <c r="M727" s="12">
        <v>3590</v>
      </c>
      <c r="N727" s="12">
        <v>2333.5</v>
      </c>
      <c r="O727">
        <v>9</v>
      </c>
      <c r="P727" s="12">
        <v>16334.5</v>
      </c>
      <c r="Q727" s="12">
        <v>11667.5</v>
      </c>
      <c r="R727" s="12">
        <v>4667</v>
      </c>
      <c r="S727" t="s">
        <v>1246</v>
      </c>
      <c r="T727" t="s">
        <v>107</v>
      </c>
      <c r="U727" t="s">
        <v>1211</v>
      </c>
    </row>
    <row r="728" spans="1:21" x14ac:dyDescent="0.25">
      <c r="A728" t="s">
        <v>2463</v>
      </c>
      <c r="B728" s="8">
        <v>45969</v>
      </c>
      <c r="C728" t="s">
        <v>2365</v>
      </c>
      <c r="D728" t="s">
        <v>1003</v>
      </c>
      <c r="E728" t="s">
        <v>218</v>
      </c>
      <c r="F728">
        <v>25</v>
      </c>
      <c r="G728" t="s">
        <v>5</v>
      </c>
      <c r="H728" t="s">
        <v>3</v>
      </c>
      <c r="I728" t="s">
        <v>24</v>
      </c>
      <c r="J728" t="s">
        <v>25</v>
      </c>
      <c r="K728" t="s">
        <v>22</v>
      </c>
      <c r="L728">
        <v>2</v>
      </c>
      <c r="M728" s="12">
        <v>35800</v>
      </c>
      <c r="N728" s="12">
        <v>28640</v>
      </c>
      <c r="O728">
        <v>16</v>
      </c>
      <c r="P728" s="12">
        <v>60144</v>
      </c>
      <c r="Q728" s="12">
        <v>57280</v>
      </c>
      <c r="R728" s="12">
        <v>2864</v>
      </c>
      <c r="S728" t="s">
        <v>113</v>
      </c>
      <c r="T728" t="s">
        <v>108</v>
      </c>
      <c r="U728" t="s">
        <v>1203</v>
      </c>
    </row>
    <row r="729" spans="1:21" x14ac:dyDescent="0.25">
      <c r="A729" t="s">
        <v>2465</v>
      </c>
      <c r="B729" s="8">
        <v>45869</v>
      </c>
      <c r="C729" t="s">
        <v>1511</v>
      </c>
      <c r="D729" t="s">
        <v>1168</v>
      </c>
      <c r="E729" t="s">
        <v>218</v>
      </c>
      <c r="F729">
        <v>31</v>
      </c>
      <c r="G729" t="s">
        <v>14</v>
      </c>
      <c r="H729" t="s">
        <v>15</v>
      </c>
      <c r="I729" t="s">
        <v>63</v>
      </c>
      <c r="J729" t="s">
        <v>77</v>
      </c>
      <c r="K729" t="s">
        <v>64</v>
      </c>
      <c r="L729">
        <v>4</v>
      </c>
      <c r="M729" s="12">
        <v>650</v>
      </c>
      <c r="N729" s="12">
        <v>468</v>
      </c>
      <c r="O729">
        <v>5</v>
      </c>
      <c r="P729" s="12">
        <v>2470</v>
      </c>
      <c r="Q729" s="12">
        <v>1872</v>
      </c>
      <c r="R729" s="12">
        <v>598</v>
      </c>
      <c r="S729" t="s">
        <v>113</v>
      </c>
      <c r="T729" t="s">
        <v>107</v>
      </c>
      <c r="U729" t="s">
        <v>1201</v>
      </c>
    </row>
    <row r="730" spans="1:21" x14ac:dyDescent="0.25">
      <c r="A730" t="s">
        <v>2466</v>
      </c>
      <c r="B730" s="8">
        <v>45688</v>
      </c>
      <c r="C730" t="s">
        <v>2300</v>
      </c>
      <c r="D730" t="s">
        <v>940</v>
      </c>
      <c r="E730" t="s">
        <v>198</v>
      </c>
      <c r="F730">
        <v>55</v>
      </c>
      <c r="G730" t="s">
        <v>9</v>
      </c>
      <c r="H730" t="s">
        <v>8</v>
      </c>
      <c r="I730" t="s">
        <v>30</v>
      </c>
      <c r="J730" t="s">
        <v>41</v>
      </c>
      <c r="K730" t="s">
        <v>22</v>
      </c>
      <c r="L730">
        <v>3</v>
      </c>
      <c r="M730" s="12">
        <v>13749</v>
      </c>
      <c r="N730" s="12">
        <v>10999.2</v>
      </c>
      <c r="O730">
        <v>5</v>
      </c>
      <c r="P730" s="12">
        <v>39184.65</v>
      </c>
      <c r="Q730" s="12">
        <v>32997.600000000006</v>
      </c>
      <c r="R730" s="12">
        <v>6187.0499999999956</v>
      </c>
      <c r="S730" t="s">
        <v>113</v>
      </c>
      <c r="T730" t="s">
        <v>108</v>
      </c>
      <c r="U730" t="s">
        <v>1196</v>
      </c>
    </row>
    <row r="731" spans="1:21" x14ac:dyDescent="0.25">
      <c r="A731" t="s">
        <v>2468</v>
      </c>
      <c r="B731" s="8">
        <v>45730</v>
      </c>
      <c r="C731" t="s">
        <v>1587</v>
      </c>
      <c r="D731" t="s">
        <v>526</v>
      </c>
      <c r="E731" t="s">
        <v>198</v>
      </c>
      <c r="F731">
        <v>48</v>
      </c>
      <c r="G731" t="s">
        <v>14</v>
      </c>
      <c r="H731" t="s">
        <v>15</v>
      </c>
      <c r="I731" t="s">
        <v>53</v>
      </c>
      <c r="J731" t="s">
        <v>48</v>
      </c>
      <c r="K731" t="s">
        <v>43</v>
      </c>
      <c r="L731">
        <v>5</v>
      </c>
      <c r="M731" s="12">
        <v>6499</v>
      </c>
      <c r="N731" s="12">
        <v>4549.2999999999993</v>
      </c>
      <c r="O731">
        <v>9</v>
      </c>
      <c r="P731" s="12">
        <v>29570.45</v>
      </c>
      <c r="Q731" s="12">
        <v>22746.499999999996</v>
      </c>
      <c r="R731" s="12">
        <v>6823.9500000000044</v>
      </c>
      <c r="S731" t="s">
        <v>1246</v>
      </c>
      <c r="T731" t="s">
        <v>107</v>
      </c>
      <c r="U731" t="s">
        <v>1201</v>
      </c>
    </row>
    <row r="732" spans="1:21" x14ac:dyDescent="0.25">
      <c r="A732" t="s">
        <v>2469</v>
      </c>
      <c r="B732" s="8">
        <v>45701</v>
      </c>
      <c r="C732" t="s">
        <v>2390</v>
      </c>
      <c r="D732" t="s">
        <v>994</v>
      </c>
      <c r="E732" t="s">
        <v>218</v>
      </c>
      <c r="F732">
        <v>26</v>
      </c>
      <c r="G732" t="s">
        <v>2</v>
      </c>
      <c r="H732" t="s">
        <v>3</v>
      </c>
      <c r="I732" t="s">
        <v>47</v>
      </c>
      <c r="J732" t="s">
        <v>52</v>
      </c>
      <c r="K732" t="s">
        <v>43</v>
      </c>
      <c r="L732">
        <v>4</v>
      </c>
      <c r="M732" s="12">
        <v>42999</v>
      </c>
      <c r="N732" s="12">
        <v>33539.22</v>
      </c>
      <c r="O732">
        <v>9</v>
      </c>
      <c r="P732" s="12">
        <v>156516.36000000002</v>
      </c>
      <c r="Q732" s="12">
        <v>134156.88</v>
      </c>
      <c r="R732" s="12">
        <v>22359.48000000001</v>
      </c>
      <c r="S732" t="s">
        <v>1246</v>
      </c>
      <c r="T732" t="s">
        <v>108</v>
      </c>
      <c r="U732" t="s">
        <v>1198</v>
      </c>
    </row>
    <row r="733" spans="1:21" x14ac:dyDescent="0.25">
      <c r="A733" t="s">
        <v>2470</v>
      </c>
      <c r="B733" s="8">
        <v>46002</v>
      </c>
      <c r="C733" t="s">
        <v>2242</v>
      </c>
      <c r="D733" t="s">
        <v>760</v>
      </c>
      <c r="E733" t="s">
        <v>218</v>
      </c>
      <c r="F733">
        <v>26</v>
      </c>
      <c r="G733" t="s">
        <v>17</v>
      </c>
      <c r="H733" t="s">
        <v>15</v>
      </c>
      <c r="I733" t="s">
        <v>59</v>
      </c>
      <c r="J733" t="s">
        <v>73</v>
      </c>
      <c r="K733" t="s">
        <v>64</v>
      </c>
      <c r="L733">
        <v>4</v>
      </c>
      <c r="M733" s="12">
        <v>120</v>
      </c>
      <c r="N733" s="12">
        <v>81.599999999999994</v>
      </c>
      <c r="O733">
        <v>3</v>
      </c>
      <c r="P733" s="12">
        <v>465.59999999999997</v>
      </c>
      <c r="Q733" s="12">
        <v>326.39999999999998</v>
      </c>
      <c r="R733" s="12">
        <v>139.19999999999999</v>
      </c>
      <c r="S733" t="s">
        <v>113</v>
      </c>
      <c r="T733" t="s">
        <v>107</v>
      </c>
      <c r="U733" t="s">
        <v>1211</v>
      </c>
    </row>
    <row r="734" spans="1:21" x14ac:dyDescent="0.25">
      <c r="A734" t="s">
        <v>2471</v>
      </c>
      <c r="B734" s="8">
        <v>45751</v>
      </c>
      <c r="C734" t="s">
        <v>1837</v>
      </c>
      <c r="D734" t="s">
        <v>449</v>
      </c>
      <c r="E734" t="s">
        <v>198</v>
      </c>
      <c r="F734">
        <v>24</v>
      </c>
      <c r="G734" t="s">
        <v>14</v>
      </c>
      <c r="H734" t="s">
        <v>15</v>
      </c>
      <c r="I734" t="s">
        <v>30</v>
      </c>
      <c r="J734" t="s">
        <v>41</v>
      </c>
      <c r="K734" t="s">
        <v>22</v>
      </c>
      <c r="L734">
        <v>1</v>
      </c>
      <c r="M734" s="12">
        <v>13749</v>
      </c>
      <c r="N734" s="12">
        <v>10999.2</v>
      </c>
      <c r="O734">
        <v>4</v>
      </c>
      <c r="P734" s="12">
        <v>13199.039999999999</v>
      </c>
      <c r="Q734" s="12">
        <v>10999.2</v>
      </c>
      <c r="R734" s="12">
        <v>2199.8399999999983</v>
      </c>
      <c r="S734" t="s">
        <v>113</v>
      </c>
      <c r="T734" t="s">
        <v>108</v>
      </c>
      <c r="U734" t="s">
        <v>1209</v>
      </c>
    </row>
    <row r="735" spans="1:21" x14ac:dyDescent="0.25">
      <c r="A735" t="s">
        <v>2473</v>
      </c>
      <c r="B735" s="8">
        <v>45971</v>
      </c>
      <c r="C735" t="s">
        <v>1519</v>
      </c>
      <c r="D735" t="s">
        <v>688</v>
      </c>
      <c r="E735" t="s">
        <v>198</v>
      </c>
      <c r="F735">
        <v>28</v>
      </c>
      <c r="G735" t="s">
        <v>10</v>
      </c>
      <c r="H735" t="s">
        <v>8</v>
      </c>
      <c r="I735" t="s">
        <v>26</v>
      </c>
      <c r="J735" t="s">
        <v>27</v>
      </c>
      <c r="K735" t="s">
        <v>22</v>
      </c>
      <c r="L735">
        <v>3</v>
      </c>
      <c r="M735" s="12">
        <v>27499</v>
      </c>
      <c r="N735" s="12">
        <v>23374.149999999998</v>
      </c>
      <c r="O735">
        <v>13</v>
      </c>
      <c r="P735" s="12">
        <v>71772.39</v>
      </c>
      <c r="Q735" s="12">
        <v>70122.45</v>
      </c>
      <c r="R735" s="12">
        <v>1649.9400000000023</v>
      </c>
      <c r="S735" t="s">
        <v>1246</v>
      </c>
      <c r="T735" t="s">
        <v>107</v>
      </c>
      <c r="U735" t="s">
        <v>1196</v>
      </c>
    </row>
    <row r="736" spans="1:21" x14ac:dyDescent="0.25">
      <c r="A736" t="s">
        <v>2474</v>
      </c>
      <c r="B736" s="8">
        <v>45948</v>
      </c>
      <c r="C736" t="s">
        <v>1335</v>
      </c>
      <c r="D736" t="s">
        <v>521</v>
      </c>
      <c r="E736" t="s">
        <v>218</v>
      </c>
      <c r="F736">
        <v>59</v>
      </c>
      <c r="G736" t="s">
        <v>9</v>
      </c>
      <c r="H736" t="s">
        <v>8</v>
      </c>
      <c r="I736" t="s">
        <v>28</v>
      </c>
      <c r="J736" t="s">
        <v>35</v>
      </c>
      <c r="K736" t="s">
        <v>22</v>
      </c>
      <c r="L736">
        <v>3</v>
      </c>
      <c r="M736" s="12">
        <v>16499</v>
      </c>
      <c r="N736" s="12">
        <v>14519.12</v>
      </c>
      <c r="O736">
        <v>6</v>
      </c>
      <c r="P736" s="12">
        <v>46527.18</v>
      </c>
      <c r="Q736" s="12">
        <v>43557.36</v>
      </c>
      <c r="R736" s="12">
        <v>2969.8199999999997</v>
      </c>
      <c r="S736" t="s">
        <v>113</v>
      </c>
      <c r="T736" t="s">
        <v>107</v>
      </c>
      <c r="U736" t="s">
        <v>1196</v>
      </c>
    </row>
    <row r="737" spans="1:21" x14ac:dyDescent="0.25">
      <c r="A737" t="s">
        <v>2475</v>
      </c>
      <c r="B737" s="8">
        <v>45899</v>
      </c>
      <c r="C737" t="s">
        <v>2461</v>
      </c>
      <c r="D737" t="s">
        <v>995</v>
      </c>
      <c r="E737" t="s">
        <v>218</v>
      </c>
      <c r="F737">
        <v>30</v>
      </c>
      <c r="G737" t="s">
        <v>7</v>
      </c>
      <c r="H737" t="s">
        <v>8</v>
      </c>
      <c r="I737" t="s">
        <v>53</v>
      </c>
      <c r="J737" t="s">
        <v>48</v>
      </c>
      <c r="K737" t="s">
        <v>43</v>
      </c>
      <c r="L737">
        <v>3</v>
      </c>
      <c r="M737" s="12">
        <v>6499</v>
      </c>
      <c r="N737" s="12">
        <v>4549.2999999999993</v>
      </c>
      <c r="O737">
        <v>8</v>
      </c>
      <c r="P737" s="12">
        <v>17937.240000000002</v>
      </c>
      <c r="Q737" s="12">
        <v>13647.899999999998</v>
      </c>
      <c r="R737" s="12">
        <v>4289.3400000000038</v>
      </c>
      <c r="S737" t="s">
        <v>1246</v>
      </c>
      <c r="T737" t="s">
        <v>107</v>
      </c>
      <c r="U737" t="s">
        <v>1199</v>
      </c>
    </row>
    <row r="738" spans="1:21" x14ac:dyDescent="0.25">
      <c r="A738" t="s">
        <v>2477</v>
      </c>
      <c r="B738" s="8">
        <v>45688</v>
      </c>
      <c r="C738" t="s">
        <v>1491</v>
      </c>
      <c r="D738" t="s">
        <v>532</v>
      </c>
      <c r="E738" t="s">
        <v>198</v>
      </c>
      <c r="F738">
        <v>56</v>
      </c>
      <c r="G738" t="s">
        <v>289</v>
      </c>
      <c r="H738" t="s">
        <v>3</v>
      </c>
      <c r="I738" t="s">
        <v>57</v>
      </c>
      <c r="J738" t="s">
        <v>67</v>
      </c>
      <c r="K738" t="s">
        <v>64</v>
      </c>
      <c r="L738">
        <v>3</v>
      </c>
      <c r="M738" s="12">
        <v>150</v>
      </c>
      <c r="N738" s="12">
        <v>97.5</v>
      </c>
      <c r="O738">
        <v>14</v>
      </c>
      <c r="P738" s="12">
        <v>387</v>
      </c>
      <c r="Q738" s="12">
        <v>292.5</v>
      </c>
      <c r="R738" s="12">
        <v>94.5</v>
      </c>
      <c r="S738" t="s">
        <v>1246</v>
      </c>
      <c r="T738" t="s">
        <v>108</v>
      </c>
      <c r="U738" t="s">
        <v>1209</v>
      </c>
    </row>
    <row r="739" spans="1:21" x14ac:dyDescent="0.25">
      <c r="A739" t="s">
        <v>2478</v>
      </c>
      <c r="B739" s="8">
        <v>45965</v>
      </c>
      <c r="C739" t="s">
        <v>1630</v>
      </c>
      <c r="D739" t="s">
        <v>1044</v>
      </c>
      <c r="E739" t="s">
        <v>198</v>
      </c>
      <c r="F739">
        <v>20</v>
      </c>
      <c r="G739" t="s">
        <v>5</v>
      </c>
      <c r="H739" t="s">
        <v>3</v>
      </c>
      <c r="I739" t="s">
        <v>51</v>
      </c>
      <c r="J739" t="s">
        <v>54</v>
      </c>
      <c r="K739" t="s">
        <v>43</v>
      </c>
      <c r="L739">
        <v>2</v>
      </c>
      <c r="M739" s="12">
        <v>27499</v>
      </c>
      <c r="N739" s="12">
        <v>21724.210000000003</v>
      </c>
      <c r="O739">
        <v>16</v>
      </c>
      <c r="P739" s="12">
        <v>46198.32</v>
      </c>
      <c r="Q739" s="12">
        <v>43448.420000000006</v>
      </c>
      <c r="R739" s="12">
        <v>2749.8999999999942</v>
      </c>
      <c r="S739" t="s">
        <v>113</v>
      </c>
      <c r="T739" t="s">
        <v>108</v>
      </c>
      <c r="U739" t="s">
        <v>1201</v>
      </c>
    </row>
    <row r="740" spans="1:21" x14ac:dyDescent="0.25">
      <c r="A740" t="s">
        <v>2480</v>
      </c>
      <c r="B740" s="8">
        <v>45739</v>
      </c>
      <c r="C740" t="s">
        <v>4935</v>
      </c>
      <c r="D740" t="s">
        <v>1182</v>
      </c>
      <c r="E740" t="s">
        <v>218</v>
      </c>
      <c r="F740">
        <v>24</v>
      </c>
      <c r="G740" t="s">
        <v>4</v>
      </c>
      <c r="H740" t="s">
        <v>3</v>
      </c>
      <c r="I740" t="s">
        <v>45</v>
      </c>
      <c r="J740" t="s">
        <v>46</v>
      </c>
      <c r="K740" t="s">
        <v>43</v>
      </c>
      <c r="L740">
        <v>1</v>
      </c>
      <c r="M740" s="12">
        <v>11999</v>
      </c>
      <c r="N740" s="12">
        <v>8999.25</v>
      </c>
      <c r="O740">
        <v>7</v>
      </c>
      <c r="P740" s="12">
        <v>11159.07</v>
      </c>
      <c r="Q740" s="12">
        <v>8999.25</v>
      </c>
      <c r="R740" s="12">
        <v>2159.8199999999997</v>
      </c>
      <c r="S740" t="s">
        <v>1246</v>
      </c>
      <c r="T740" t="s">
        <v>109</v>
      </c>
      <c r="U740" t="s">
        <v>1196</v>
      </c>
    </row>
    <row r="741" spans="1:21" x14ac:dyDescent="0.25">
      <c r="A741" t="s">
        <v>2481</v>
      </c>
      <c r="B741" s="8">
        <v>45754</v>
      </c>
      <c r="C741" t="s">
        <v>2422</v>
      </c>
      <c r="D741" t="s">
        <v>859</v>
      </c>
      <c r="E741" t="s">
        <v>218</v>
      </c>
      <c r="F741">
        <v>61</v>
      </c>
      <c r="G741" t="s">
        <v>11</v>
      </c>
      <c r="H741" t="s">
        <v>12</v>
      </c>
      <c r="I741" t="s">
        <v>40</v>
      </c>
      <c r="J741" t="s">
        <v>39</v>
      </c>
      <c r="K741" t="s">
        <v>22</v>
      </c>
      <c r="L741">
        <v>1</v>
      </c>
      <c r="M741" s="12">
        <v>1100</v>
      </c>
      <c r="N741" s="12">
        <v>715</v>
      </c>
      <c r="O741">
        <v>8</v>
      </c>
      <c r="P741" s="12">
        <v>1012</v>
      </c>
      <c r="Q741" s="12">
        <v>715</v>
      </c>
      <c r="R741" s="12">
        <v>297</v>
      </c>
      <c r="S741" t="s">
        <v>1249</v>
      </c>
      <c r="T741" t="s">
        <v>110</v>
      </c>
      <c r="U741" t="s">
        <v>1207</v>
      </c>
    </row>
    <row r="742" spans="1:21" x14ac:dyDescent="0.25">
      <c r="A742" t="s">
        <v>2482</v>
      </c>
      <c r="B742" s="8">
        <v>45926</v>
      </c>
      <c r="C742" t="s">
        <v>2634</v>
      </c>
      <c r="D742" t="s">
        <v>419</v>
      </c>
      <c r="E742" t="s">
        <v>198</v>
      </c>
      <c r="F742">
        <v>18</v>
      </c>
      <c r="G742" t="s">
        <v>290</v>
      </c>
      <c r="H742" t="s">
        <v>3</v>
      </c>
      <c r="I742" t="s">
        <v>47</v>
      </c>
      <c r="J742" t="s">
        <v>52</v>
      </c>
      <c r="K742" t="s">
        <v>43</v>
      </c>
      <c r="L742">
        <v>1</v>
      </c>
      <c r="M742" s="12">
        <v>42999</v>
      </c>
      <c r="N742" s="12">
        <v>33539.22</v>
      </c>
      <c r="O742">
        <v>9</v>
      </c>
      <c r="P742" s="12">
        <v>39129.090000000004</v>
      </c>
      <c r="Q742" s="12">
        <v>33539.22</v>
      </c>
      <c r="R742" s="12">
        <v>5589.8700000000026</v>
      </c>
      <c r="S742" t="s">
        <v>1246</v>
      </c>
      <c r="T742" t="s">
        <v>107</v>
      </c>
      <c r="U742" t="s">
        <v>1207</v>
      </c>
    </row>
    <row r="743" spans="1:21" x14ac:dyDescent="0.25">
      <c r="A743" t="s">
        <v>2483</v>
      </c>
      <c r="B743" s="8">
        <v>45976</v>
      </c>
      <c r="C743" t="s">
        <v>3414</v>
      </c>
      <c r="D743" t="s">
        <v>1019</v>
      </c>
      <c r="E743" t="s">
        <v>198</v>
      </c>
      <c r="F743">
        <v>55</v>
      </c>
      <c r="G743" t="s">
        <v>2</v>
      </c>
      <c r="H743" t="s">
        <v>3</v>
      </c>
      <c r="I743" t="s">
        <v>45</v>
      </c>
      <c r="J743" t="s">
        <v>46</v>
      </c>
      <c r="K743" t="s">
        <v>43</v>
      </c>
      <c r="L743">
        <v>5</v>
      </c>
      <c r="M743" s="12">
        <v>11999</v>
      </c>
      <c r="N743" s="12">
        <v>8999.25</v>
      </c>
      <c r="O743">
        <v>15</v>
      </c>
      <c r="P743" s="12">
        <v>50995.75</v>
      </c>
      <c r="Q743" s="12">
        <v>44996.25</v>
      </c>
      <c r="R743" s="12">
        <v>5999.5</v>
      </c>
      <c r="S743" t="s">
        <v>1246</v>
      </c>
      <c r="T743" t="s">
        <v>107</v>
      </c>
      <c r="U743" t="s">
        <v>1198</v>
      </c>
    </row>
    <row r="744" spans="1:21" x14ac:dyDescent="0.25">
      <c r="A744" t="s">
        <v>2485</v>
      </c>
      <c r="B744" s="8">
        <v>45741</v>
      </c>
      <c r="C744" t="s">
        <v>3632</v>
      </c>
      <c r="D744" t="s">
        <v>1081</v>
      </c>
      <c r="E744" t="s">
        <v>218</v>
      </c>
      <c r="F744">
        <v>47</v>
      </c>
      <c r="G744" t="s">
        <v>289</v>
      </c>
      <c r="H744" t="s">
        <v>3</v>
      </c>
      <c r="I744" t="s">
        <v>40</v>
      </c>
      <c r="J744" t="s">
        <v>39</v>
      </c>
      <c r="K744" t="s">
        <v>22</v>
      </c>
      <c r="L744">
        <v>4</v>
      </c>
      <c r="M744" s="12">
        <v>1100</v>
      </c>
      <c r="N744" s="12">
        <v>715</v>
      </c>
      <c r="O744">
        <v>3</v>
      </c>
      <c r="P744" s="12">
        <v>4268</v>
      </c>
      <c r="Q744" s="12">
        <v>2860</v>
      </c>
      <c r="R744" s="12">
        <v>1408</v>
      </c>
      <c r="S744" t="s">
        <v>1246</v>
      </c>
      <c r="T744" t="s">
        <v>108</v>
      </c>
      <c r="U744" t="s">
        <v>1198</v>
      </c>
    </row>
    <row r="745" spans="1:21" x14ac:dyDescent="0.25">
      <c r="A745" t="s">
        <v>2487</v>
      </c>
      <c r="B745" s="8">
        <v>45678</v>
      </c>
      <c r="C745" t="s">
        <v>3308</v>
      </c>
      <c r="D745" t="s">
        <v>586</v>
      </c>
      <c r="E745" t="s">
        <v>218</v>
      </c>
      <c r="F745">
        <v>37</v>
      </c>
      <c r="G745" t="s">
        <v>290</v>
      </c>
      <c r="H745" t="s">
        <v>3</v>
      </c>
      <c r="I745" t="s">
        <v>34</v>
      </c>
      <c r="J745" t="s">
        <v>137</v>
      </c>
      <c r="K745" t="s">
        <v>22</v>
      </c>
      <c r="L745">
        <v>5</v>
      </c>
      <c r="M745" s="12">
        <v>6900</v>
      </c>
      <c r="N745" s="12">
        <v>5727</v>
      </c>
      <c r="O745">
        <v>8</v>
      </c>
      <c r="P745" s="12">
        <v>31740</v>
      </c>
      <c r="Q745" s="12">
        <v>28635</v>
      </c>
      <c r="R745" s="12">
        <v>3105</v>
      </c>
      <c r="S745" t="s">
        <v>1246</v>
      </c>
      <c r="T745" t="s">
        <v>111</v>
      </c>
      <c r="U745" t="s">
        <v>1203</v>
      </c>
    </row>
    <row r="746" spans="1:21" x14ac:dyDescent="0.25">
      <c r="A746" t="s">
        <v>2488</v>
      </c>
      <c r="B746" s="8">
        <v>45660</v>
      </c>
      <c r="C746" t="s">
        <v>4015</v>
      </c>
      <c r="D746" t="s">
        <v>406</v>
      </c>
      <c r="E746" t="s">
        <v>218</v>
      </c>
      <c r="F746">
        <v>21</v>
      </c>
      <c r="G746" t="s">
        <v>11</v>
      </c>
      <c r="H746" t="s">
        <v>12</v>
      </c>
      <c r="I746" t="s">
        <v>49</v>
      </c>
      <c r="J746" t="s">
        <v>56</v>
      </c>
      <c r="K746" t="s">
        <v>43</v>
      </c>
      <c r="L746">
        <v>3</v>
      </c>
      <c r="M746" s="12">
        <v>31999</v>
      </c>
      <c r="N746" s="12">
        <v>25599.200000000001</v>
      </c>
      <c r="O746">
        <v>3</v>
      </c>
      <c r="P746" s="12">
        <v>93117.09</v>
      </c>
      <c r="Q746" s="12">
        <v>76797.600000000006</v>
      </c>
      <c r="R746" s="12">
        <v>16319.489999999991</v>
      </c>
      <c r="S746" t="s">
        <v>1246</v>
      </c>
      <c r="T746" t="s">
        <v>109</v>
      </c>
      <c r="U746" t="s">
        <v>1196</v>
      </c>
    </row>
    <row r="747" spans="1:21" x14ac:dyDescent="0.25">
      <c r="A747" t="s">
        <v>2490</v>
      </c>
      <c r="B747" s="8">
        <v>45859</v>
      </c>
      <c r="C747" t="s">
        <v>1320</v>
      </c>
      <c r="D747" t="s">
        <v>817</v>
      </c>
      <c r="E747" t="s">
        <v>218</v>
      </c>
      <c r="F747">
        <v>51</v>
      </c>
      <c r="G747" t="s">
        <v>10</v>
      </c>
      <c r="H747" t="s">
        <v>8</v>
      </c>
      <c r="I747" t="s">
        <v>55</v>
      </c>
      <c r="J747" t="s">
        <v>65</v>
      </c>
      <c r="K747" t="s">
        <v>64</v>
      </c>
      <c r="L747">
        <v>1</v>
      </c>
      <c r="M747" s="12">
        <v>80</v>
      </c>
      <c r="N747" s="12">
        <v>56</v>
      </c>
      <c r="O747">
        <v>3</v>
      </c>
      <c r="P747" s="12">
        <v>77.599999999999994</v>
      </c>
      <c r="Q747" s="12">
        <v>56</v>
      </c>
      <c r="R747" s="12">
        <v>21.599999999999994</v>
      </c>
      <c r="S747" t="s">
        <v>1249</v>
      </c>
      <c r="T747" t="s">
        <v>109</v>
      </c>
      <c r="U747" t="s">
        <v>1203</v>
      </c>
    </row>
    <row r="748" spans="1:21" x14ac:dyDescent="0.25">
      <c r="A748" t="s">
        <v>2491</v>
      </c>
      <c r="B748" s="8">
        <v>45701</v>
      </c>
      <c r="C748" t="s">
        <v>5092</v>
      </c>
      <c r="D748" t="s">
        <v>496</v>
      </c>
      <c r="E748" t="s">
        <v>198</v>
      </c>
      <c r="F748">
        <v>64</v>
      </c>
      <c r="G748" t="s">
        <v>289</v>
      </c>
      <c r="H748" t="s">
        <v>3</v>
      </c>
      <c r="I748" t="s">
        <v>26</v>
      </c>
      <c r="J748" t="s">
        <v>27</v>
      </c>
      <c r="K748" t="s">
        <v>22</v>
      </c>
      <c r="L748">
        <v>3</v>
      </c>
      <c r="M748" s="12">
        <v>27499</v>
      </c>
      <c r="N748" s="12">
        <v>23374.149999999998</v>
      </c>
      <c r="O748">
        <v>4</v>
      </c>
      <c r="P748" s="12">
        <v>79197.119999999995</v>
      </c>
      <c r="Q748" s="12">
        <v>70122.45</v>
      </c>
      <c r="R748" s="12">
        <v>9074.6699999999983</v>
      </c>
      <c r="S748" t="s">
        <v>1246</v>
      </c>
      <c r="T748" t="s">
        <v>109</v>
      </c>
      <c r="U748" t="s">
        <v>1196</v>
      </c>
    </row>
    <row r="749" spans="1:21" x14ac:dyDescent="0.25">
      <c r="A749" t="s">
        <v>2493</v>
      </c>
      <c r="B749" s="8">
        <v>45766</v>
      </c>
      <c r="C749" t="s">
        <v>1456</v>
      </c>
      <c r="D749" t="s">
        <v>1024</v>
      </c>
      <c r="E749" t="s">
        <v>198</v>
      </c>
      <c r="F749">
        <v>31</v>
      </c>
      <c r="G749" t="s">
        <v>10</v>
      </c>
      <c r="H749" t="s">
        <v>8</v>
      </c>
      <c r="I749" t="s">
        <v>26</v>
      </c>
      <c r="J749" t="s">
        <v>27</v>
      </c>
      <c r="K749" t="s">
        <v>22</v>
      </c>
      <c r="L749">
        <v>2</v>
      </c>
      <c r="M749" s="12">
        <v>27499</v>
      </c>
      <c r="N749" s="12">
        <v>23374.149999999998</v>
      </c>
      <c r="O749">
        <v>5</v>
      </c>
      <c r="P749" s="12">
        <v>52248.1</v>
      </c>
      <c r="Q749" s="12">
        <v>46748.299999999996</v>
      </c>
      <c r="R749" s="12">
        <v>5499.8000000000029</v>
      </c>
      <c r="S749" t="s">
        <v>1246</v>
      </c>
      <c r="T749" t="s">
        <v>111</v>
      </c>
      <c r="U749" t="s">
        <v>1209</v>
      </c>
    </row>
    <row r="750" spans="1:21" x14ac:dyDescent="0.25">
      <c r="A750" t="s">
        <v>2494</v>
      </c>
      <c r="B750" s="8">
        <v>45944</v>
      </c>
      <c r="C750" t="s">
        <v>1973</v>
      </c>
      <c r="D750" t="s">
        <v>997</v>
      </c>
      <c r="E750" t="s">
        <v>198</v>
      </c>
      <c r="F750">
        <v>42</v>
      </c>
      <c r="G750" t="s">
        <v>11</v>
      </c>
      <c r="H750" t="s">
        <v>12</v>
      </c>
      <c r="I750" t="s">
        <v>24</v>
      </c>
      <c r="J750" t="s">
        <v>25</v>
      </c>
      <c r="K750" t="s">
        <v>22</v>
      </c>
      <c r="L750">
        <v>4</v>
      </c>
      <c r="M750" s="12">
        <v>35800</v>
      </c>
      <c r="N750" s="12">
        <v>28640</v>
      </c>
      <c r="O750">
        <v>4</v>
      </c>
      <c r="P750" s="12">
        <v>137472</v>
      </c>
      <c r="Q750" s="12">
        <v>114560</v>
      </c>
      <c r="R750" s="12">
        <v>22912</v>
      </c>
      <c r="S750" t="s">
        <v>1246</v>
      </c>
      <c r="T750" t="s">
        <v>107</v>
      </c>
      <c r="U750" t="s">
        <v>1194</v>
      </c>
    </row>
    <row r="751" spans="1:21" x14ac:dyDescent="0.25">
      <c r="A751" t="s">
        <v>2495</v>
      </c>
      <c r="B751" s="8">
        <v>45846</v>
      </c>
      <c r="C751" t="s">
        <v>1513</v>
      </c>
      <c r="D751" t="s">
        <v>647</v>
      </c>
      <c r="E751" t="s">
        <v>198</v>
      </c>
      <c r="F751">
        <v>47</v>
      </c>
      <c r="G751" t="s">
        <v>289</v>
      </c>
      <c r="H751" t="s">
        <v>3</v>
      </c>
      <c r="I751" t="s">
        <v>32</v>
      </c>
      <c r="J751" t="s">
        <v>29</v>
      </c>
      <c r="K751" t="s">
        <v>22</v>
      </c>
      <c r="L751">
        <v>5</v>
      </c>
      <c r="M751" s="12">
        <v>9500</v>
      </c>
      <c r="N751" s="12">
        <v>6650</v>
      </c>
      <c r="O751">
        <v>4</v>
      </c>
      <c r="P751" s="12">
        <v>45600</v>
      </c>
      <c r="Q751" s="12">
        <v>33250</v>
      </c>
      <c r="R751" s="12">
        <v>12350</v>
      </c>
      <c r="S751" t="s">
        <v>1249</v>
      </c>
      <c r="T751" t="s">
        <v>108</v>
      </c>
      <c r="U751" t="s">
        <v>1211</v>
      </c>
    </row>
    <row r="752" spans="1:21" x14ac:dyDescent="0.25">
      <c r="A752" t="s">
        <v>2496</v>
      </c>
      <c r="B752" s="8">
        <v>45728</v>
      </c>
      <c r="C752" t="s">
        <v>1372</v>
      </c>
      <c r="D752" t="s">
        <v>1181</v>
      </c>
      <c r="E752" t="s">
        <v>218</v>
      </c>
      <c r="F752">
        <v>29</v>
      </c>
      <c r="G752" t="s">
        <v>4</v>
      </c>
      <c r="H752" t="s">
        <v>3</v>
      </c>
      <c r="I752" t="s">
        <v>28</v>
      </c>
      <c r="J752" t="s">
        <v>35</v>
      </c>
      <c r="K752" t="s">
        <v>22</v>
      </c>
      <c r="L752">
        <v>2</v>
      </c>
      <c r="M752" s="12">
        <v>16499</v>
      </c>
      <c r="N752" s="12">
        <v>14519.12</v>
      </c>
      <c r="O752">
        <v>7</v>
      </c>
      <c r="P752" s="12">
        <v>30688.14</v>
      </c>
      <c r="Q752" s="12">
        <v>29038.240000000002</v>
      </c>
      <c r="R752" s="12">
        <v>1649.8999999999978</v>
      </c>
      <c r="S752" t="s">
        <v>113</v>
      </c>
      <c r="T752" t="s">
        <v>107</v>
      </c>
      <c r="U752" t="s">
        <v>1205</v>
      </c>
    </row>
    <row r="753" spans="1:21" x14ac:dyDescent="0.25">
      <c r="A753" t="s">
        <v>2497</v>
      </c>
      <c r="B753" s="8">
        <v>45957</v>
      </c>
      <c r="C753" t="s">
        <v>2242</v>
      </c>
      <c r="D753" t="s">
        <v>760</v>
      </c>
      <c r="E753" t="s">
        <v>218</v>
      </c>
      <c r="F753">
        <v>26</v>
      </c>
      <c r="G753" t="s">
        <v>17</v>
      </c>
      <c r="H753" t="s">
        <v>15</v>
      </c>
      <c r="I753" t="s">
        <v>63</v>
      </c>
      <c r="J753" t="s">
        <v>77</v>
      </c>
      <c r="K753" t="s">
        <v>64</v>
      </c>
      <c r="L753">
        <v>3</v>
      </c>
      <c r="M753" s="12">
        <v>650</v>
      </c>
      <c r="N753" s="12">
        <v>468</v>
      </c>
      <c r="O753">
        <v>0</v>
      </c>
      <c r="P753" s="12">
        <v>1950</v>
      </c>
      <c r="Q753" s="12">
        <v>1404</v>
      </c>
      <c r="R753" s="12">
        <v>546</v>
      </c>
      <c r="S753" t="s">
        <v>1246</v>
      </c>
      <c r="T753" t="s">
        <v>108</v>
      </c>
      <c r="U753" t="s">
        <v>1203</v>
      </c>
    </row>
    <row r="754" spans="1:21" x14ac:dyDescent="0.25">
      <c r="A754" t="s">
        <v>2499</v>
      </c>
      <c r="B754" s="8">
        <v>45706</v>
      </c>
      <c r="C754" t="s">
        <v>1908</v>
      </c>
      <c r="D754" t="s">
        <v>799</v>
      </c>
      <c r="E754" t="s">
        <v>218</v>
      </c>
      <c r="F754">
        <v>54</v>
      </c>
      <c r="G754" t="s">
        <v>7</v>
      </c>
      <c r="H754" t="s">
        <v>8</v>
      </c>
      <c r="I754" t="s">
        <v>38</v>
      </c>
      <c r="J754" t="s">
        <v>37</v>
      </c>
      <c r="K754" t="s">
        <v>22</v>
      </c>
      <c r="L754">
        <v>5</v>
      </c>
      <c r="M754" s="12">
        <v>1650</v>
      </c>
      <c r="N754" s="12">
        <v>990</v>
      </c>
      <c r="O754">
        <v>4</v>
      </c>
      <c r="P754" s="12">
        <v>7920</v>
      </c>
      <c r="Q754" s="12">
        <v>4950</v>
      </c>
      <c r="R754" s="12">
        <v>2970</v>
      </c>
      <c r="S754" t="s">
        <v>1246</v>
      </c>
      <c r="T754" t="s">
        <v>107</v>
      </c>
      <c r="U754" t="s">
        <v>1211</v>
      </c>
    </row>
    <row r="755" spans="1:21" x14ac:dyDescent="0.25">
      <c r="A755" t="s">
        <v>2500</v>
      </c>
      <c r="B755" s="8">
        <v>45997</v>
      </c>
      <c r="C755" t="s">
        <v>2021</v>
      </c>
      <c r="D755" t="s">
        <v>1131</v>
      </c>
      <c r="E755" t="s">
        <v>218</v>
      </c>
      <c r="F755">
        <v>28</v>
      </c>
      <c r="G755" t="s">
        <v>16</v>
      </c>
      <c r="H755" t="s">
        <v>15</v>
      </c>
      <c r="I755" t="s">
        <v>53</v>
      </c>
      <c r="J755" t="s">
        <v>48</v>
      </c>
      <c r="K755" t="s">
        <v>43</v>
      </c>
      <c r="L755">
        <v>5</v>
      </c>
      <c r="M755" s="12">
        <v>6499</v>
      </c>
      <c r="N755" s="12">
        <v>4549.2999999999993</v>
      </c>
      <c r="O755">
        <v>15</v>
      </c>
      <c r="P755" s="12">
        <v>27620.75</v>
      </c>
      <c r="Q755" s="12">
        <v>22746.499999999996</v>
      </c>
      <c r="R755" s="12">
        <v>4874.2500000000036</v>
      </c>
      <c r="S755" t="s">
        <v>113</v>
      </c>
      <c r="T755" t="s">
        <v>107</v>
      </c>
      <c r="U755" t="s">
        <v>1203</v>
      </c>
    </row>
    <row r="756" spans="1:21" x14ac:dyDescent="0.25">
      <c r="A756" t="s">
        <v>2502</v>
      </c>
      <c r="B756" s="8">
        <v>45979</v>
      </c>
      <c r="C756" t="s">
        <v>5096</v>
      </c>
      <c r="D756" t="s">
        <v>701</v>
      </c>
      <c r="E756" t="s">
        <v>198</v>
      </c>
      <c r="F756">
        <v>20</v>
      </c>
      <c r="G756" t="s">
        <v>14</v>
      </c>
      <c r="H756" t="s">
        <v>15</v>
      </c>
      <c r="I756" t="s">
        <v>30</v>
      </c>
      <c r="J756" t="s">
        <v>41</v>
      </c>
      <c r="K756" t="s">
        <v>22</v>
      </c>
      <c r="L756">
        <v>1</v>
      </c>
      <c r="M756" s="12">
        <v>13749</v>
      </c>
      <c r="N756" s="12">
        <v>10999.2</v>
      </c>
      <c r="O756">
        <v>15</v>
      </c>
      <c r="P756" s="12">
        <v>11686.65</v>
      </c>
      <c r="Q756" s="12">
        <v>10999.2</v>
      </c>
      <c r="R756" s="12">
        <v>687.44999999999891</v>
      </c>
      <c r="S756" t="s">
        <v>1246</v>
      </c>
      <c r="T756" t="s">
        <v>107</v>
      </c>
      <c r="U756" t="s">
        <v>1196</v>
      </c>
    </row>
    <row r="757" spans="1:21" x14ac:dyDescent="0.25">
      <c r="A757" t="s">
        <v>2503</v>
      </c>
      <c r="B757" s="8">
        <v>45970</v>
      </c>
      <c r="C757" t="s">
        <v>1596</v>
      </c>
      <c r="D757" t="s">
        <v>1120</v>
      </c>
      <c r="E757" t="s">
        <v>218</v>
      </c>
      <c r="F757">
        <v>50</v>
      </c>
      <c r="G757" t="s">
        <v>5</v>
      </c>
      <c r="H757" t="s">
        <v>3</v>
      </c>
      <c r="I757" t="s">
        <v>45</v>
      </c>
      <c r="J757" t="s">
        <v>46</v>
      </c>
      <c r="K757" t="s">
        <v>43</v>
      </c>
      <c r="L757">
        <v>4</v>
      </c>
      <c r="M757" s="12">
        <v>11999</v>
      </c>
      <c r="N757" s="12">
        <v>8999.25</v>
      </c>
      <c r="O757">
        <v>12</v>
      </c>
      <c r="P757" s="12">
        <v>42236.480000000003</v>
      </c>
      <c r="Q757" s="12">
        <v>35997</v>
      </c>
      <c r="R757" s="12">
        <v>6239.4800000000032</v>
      </c>
      <c r="S757" t="s">
        <v>1246</v>
      </c>
      <c r="T757" t="s">
        <v>107</v>
      </c>
      <c r="U757" t="s">
        <v>1199</v>
      </c>
    </row>
    <row r="758" spans="1:21" x14ac:dyDescent="0.25">
      <c r="A758" t="s">
        <v>2504</v>
      </c>
      <c r="B758" s="8">
        <v>45855</v>
      </c>
      <c r="C758" t="s">
        <v>3093</v>
      </c>
      <c r="D758" t="s">
        <v>722</v>
      </c>
      <c r="E758" t="s">
        <v>218</v>
      </c>
      <c r="F758">
        <v>44</v>
      </c>
      <c r="G758" t="s">
        <v>4</v>
      </c>
      <c r="H758" t="s">
        <v>3</v>
      </c>
      <c r="I758" t="s">
        <v>49</v>
      </c>
      <c r="J758" t="s">
        <v>56</v>
      </c>
      <c r="K758" t="s">
        <v>43</v>
      </c>
      <c r="L758">
        <v>2</v>
      </c>
      <c r="M758" s="12">
        <v>31999</v>
      </c>
      <c r="N758" s="12">
        <v>25599.200000000001</v>
      </c>
      <c r="O758">
        <v>6</v>
      </c>
      <c r="P758" s="12">
        <v>60158.119999999995</v>
      </c>
      <c r="Q758" s="12">
        <v>51198.400000000001</v>
      </c>
      <c r="R758" s="12">
        <v>8959.7199999999939</v>
      </c>
      <c r="S758" t="s">
        <v>1246</v>
      </c>
      <c r="T758" t="s">
        <v>107</v>
      </c>
      <c r="U758" t="s">
        <v>1198</v>
      </c>
    </row>
    <row r="759" spans="1:21" x14ac:dyDescent="0.25">
      <c r="A759" t="s">
        <v>2505</v>
      </c>
      <c r="B759" s="8">
        <v>45721</v>
      </c>
      <c r="C759" t="s">
        <v>2390</v>
      </c>
      <c r="D759" t="s">
        <v>994</v>
      </c>
      <c r="E759" t="s">
        <v>218</v>
      </c>
      <c r="F759">
        <v>26</v>
      </c>
      <c r="G759" t="s">
        <v>2</v>
      </c>
      <c r="H759" t="s">
        <v>3</v>
      </c>
      <c r="I759" t="s">
        <v>28</v>
      </c>
      <c r="J759" t="s">
        <v>35</v>
      </c>
      <c r="K759" t="s">
        <v>22</v>
      </c>
      <c r="L759">
        <v>1</v>
      </c>
      <c r="M759" s="12">
        <v>16499</v>
      </c>
      <c r="N759" s="12">
        <v>14519.12</v>
      </c>
      <c r="O759">
        <v>5</v>
      </c>
      <c r="P759" s="12">
        <v>15674.05</v>
      </c>
      <c r="Q759" s="12">
        <v>14519.12</v>
      </c>
      <c r="R759" s="12">
        <v>1154.9299999999985</v>
      </c>
      <c r="S759" t="s">
        <v>1246</v>
      </c>
      <c r="T759" t="s">
        <v>107</v>
      </c>
      <c r="U759" t="s">
        <v>1209</v>
      </c>
    </row>
    <row r="760" spans="1:21" x14ac:dyDescent="0.25">
      <c r="A760" t="s">
        <v>2506</v>
      </c>
      <c r="B760" s="8">
        <v>46001</v>
      </c>
      <c r="C760" t="s">
        <v>3690</v>
      </c>
      <c r="D760" t="s">
        <v>512</v>
      </c>
      <c r="E760" t="s">
        <v>198</v>
      </c>
      <c r="F760">
        <v>48</v>
      </c>
      <c r="G760" t="s">
        <v>16</v>
      </c>
      <c r="H760" t="s">
        <v>15</v>
      </c>
      <c r="I760" t="s">
        <v>45</v>
      </c>
      <c r="J760" t="s">
        <v>46</v>
      </c>
      <c r="K760" t="s">
        <v>43</v>
      </c>
      <c r="L760">
        <v>5</v>
      </c>
      <c r="M760" s="12">
        <v>11999</v>
      </c>
      <c r="N760" s="12">
        <v>8999.25</v>
      </c>
      <c r="O760">
        <v>19</v>
      </c>
      <c r="P760" s="12">
        <v>48595.950000000004</v>
      </c>
      <c r="Q760" s="12">
        <v>44996.25</v>
      </c>
      <c r="R760" s="12">
        <v>3599.7000000000044</v>
      </c>
      <c r="S760" t="s">
        <v>113</v>
      </c>
      <c r="T760" t="s">
        <v>109</v>
      </c>
      <c r="U760" t="s">
        <v>1211</v>
      </c>
    </row>
    <row r="761" spans="1:21" x14ac:dyDescent="0.25">
      <c r="A761" t="s">
        <v>2508</v>
      </c>
      <c r="B761" s="8">
        <v>45714</v>
      </c>
      <c r="C761" t="s">
        <v>3983</v>
      </c>
      <c r="D761" t="s">
        <v>1100</v>
      </c>
      <c r="E761" t="s">
        <v>218</v>
      </c>
      <c r="F761">
        <v>33</v>
      </c>
      <c r="G761" t="s">
        <v>11</v>
      </c>
      <c r="H761" t="s">
        <v>12</v>
      </c>
      <c r="I761" t="s">
        <v>42</v>
      </c>
      <c r="J761" t="s">
        <v>44</v>
      </c>
      <c r="K761" t="s">
        <v>43</v>
      </c>
      <c r="L761">
        <v>5</v>
      </c>
      <c r="M761" s="12">
        <v>8999</v>
      </c>
      <c r="N761" s="12">
        <v>6479.28</v>
      </c>
      <c r="O761">
        <v>6</v>
      </c>
      <c r="P761" s="12">
        <v>42295.299999999996</v>
      </c>
      <c r="Q761" s="12">
        <v>32396.399999999998</v>
      </c>
      <c r="R761" s="12">
        <v>9898.8999999999978</v>
      </c>
      <c r="S761" t="s">
        <v>1246</v>
      </c>
      <c r="T761" t="s">
        <v>107</v>
      </c>
      <c r="U761" t="s">
        <v>1209</v>
      </c>
    </row>
    <row r="762" spans="1:21" x14ac:dyDescent="0.25">
      <c r="A762" t="s">
        <v>2510</v>
      </c>
      <c r="B762" s="8">
        <v>45929</v>
      </c>
      <c r="C762" t="s">
        <v>2084</v>
      </c>
      <c r="D762" t="s">
        <v>1175</v>
      </c>
      <c r="E762" t="s">
        <v>198</v>
      </c>
      <c r="F762">
        <v>50</v>
      </c>
      <c r="G762" t="s">
        <v>9</v>
      </c>
      <c r="H762" t="s">
        <v>8</v>
      </c>
      <c r="I762" t="s">
        <v>53</v>
      </c>
      <c r="J762" t="s">
        <v>48</v>
      </c>
      <c r="K762" t="s">
        <v>43</v>
      </c>
      <c r="L762">
        <v>2</v>
      </c>
      <c r="M762" s="12">
        <v>6499</v>
      </c>
      <c r="N762" s="12">
        <v>4549.2999999999993</v>
      </c>
      <c r="O762">
        <v>9</v>
      </c>
      <c r="P762" s="12">
        <v>11828.18</v>
      </c>
      <c r="Q762" s="12">
        <v>9098.5999999999985</v>
      </c>
      <c r="R762" s="12">
        <v>2729.5800000000017</v>
      </c>
      <c r="S762" t="s">
        <v>1246</v>
      </c>
      <c r="T762" t="s">
        <v>108</v>
      </c>
      <c r="U762" t="s">
        <v>1203</v>
      </c>
    </row>
    <row r="763" spans="1:21" x14ac:dyDescent="0.25">
      <c r="A763" t="s">
        <v>2511</v>
      </c>
      <c r="B763" s="8">
        <v>46010</v>
      </c>
      <c r="C763" t="s">
        <v>3810</v>
      </c>
      <c r="D763" t="s">
        <v>516</v>
      </c>
      <c r="E763" t="s">
        <v>198</v>
      </c>
      <c r="F763">
        <v>59</v>
      </c>
      <c r="G763" t="s">
        <v>4</v>
      </c>
      <c r="H763" t="s">
        <v>3</v>
      </c>
      <c r="I763" t="s">
        <v>26</v>
      </c>
      <c r="J763" t="s">
        <v>27</v>
      </c>
      <c r="K763" t="s">
        <v>22</v>
      </c>
      <c r="L763">
        <v>5</v>
      </c>
      <c r="M763" s="12">
        <v>27499</v>
      </c>
      <c r="N763" s="12">
        <v>23374.149999999998</v>
      </c>
      <c r="O763">
        <v>13</v>
      </c>
      <c r="P763" s="12">
        <v>119620.65</v>
      </c>
      <c r="Q763" s="12">
        <v>116870.74999999999</v>
      </c>
      <c r="R763" s="12">
        <v>2749.9000000000087</v>
      </c>
      <c r="S763" t="s">
        <v>1246</v>
      </c>
      <c r="T763" t="s">
        <v>107</v>
      </c>
      <c r="U763" t="s">
        <v>1211</v>
      </c>
    </row>
    <row r="764" spans="1:21" x14ac:dyDescent="0.25">
      <c r="A764" t="s">
        <v>2512</v>
      </c>
      <c r="B764" s="8">
        <v>45993</v>
      </c>
      <c r="C764" t="s">
        <v>4949</v>
      </c>
      <c r="D764" t="s">
        <v>853</v>
      </c>
      <c r="E764" t="s">
        <v>198</v>
      </c>
      <c r="F764">
        <v>37</v>
      </c>
      <c r="G764" t="s">
        <v>11</v>
      </c>
      <c r="H764" t="s">
        <v>12</v>
      </c>
      <c r="I764" t="s">
        <v>59</v>
      </c>
      <c r="J764" t="s">
        <v>73</v>
      </c>
      <c r="K764" t="s">
        <v>64</v>
      </c>
      <c r="L764">
        <v>4</v>
      </c>
      <c r="M764" s="12">
        <v>120</v>
      </c>
      <c r="N764" s="12">
        <v>81.599999999999994</v>
      </c>
      <c r="O764">
        <v>8</v>
      </c>
      <c r="P764" s="12">
        <v>441.6</v>
      </c>
      <c r="Q764" s="12">
        <v>326.39999999999998</v>
      </c>
      <c r="R764" s="12">
        <v>115.20000000000005</v>
      </c>
      <c r="S764" t="s">
        <v>1246</v>
      </c>
      <c r="T764" t="s">
        <v>109</v>
      </c>
      <c r="U764" t="s">
        <v>1211</v>
      </c>
    </row>
    <row r="765" spans="1:21" x14ac:dyDescent="0.25">
      <c r="A765" t="s">
        <v>2513</v>
      </c>
      <c r="B765" s="8">
        <v>45892</v>
      </c>
      <c r="C765" t="s">
        <v>3975</v>
      </c>
      <c r="D765" t="s">
        <v>533</v>
      </c>
      <c r="E765" t="s">
        <v>218</v>
      </c>
      <c r="F765">
        <v>24</v>
      </c>
      <c r="G765" t="s">
        <v>289</v>
      </c>
      <c r="H765" t="s">
        <v>3</v>
      </c>
      <c r="I765" t="s">
        <v>32</v>
      </c>
      <c r="J765" t="s">
        <v>29</v>
      </c>
      <c r="K765" t="s">
        <v>22</v>
      </c>
      <c r="L765">
        <v>5</v>
      </c>
      <c r="M765" s="12">
        <v>9500</v>
      </c>
      <c r="N765" s="12">
        <v>6650</v>
      </c>
      <c r="O765">
        <v>6</v>
      </c>
      <c r="P765" s="12">
        <v>44650</v>
      </c>
      <c r="Q765" s="12">
        <v>33250</v>
      </c>
      <c r="R765" s="12">
        <v>11400</v>
      </c>
      <c r="S765" t="s">
        <v>1246</v>
      </c>
      <c r="T765" t="s">
        <v>108</v>
      </c>
      <c r="U765" t="s">
        <v>1199</v>
      </c>
    </row>
    <row r="766" spans="1:21" x14ac:dyDescent="0.25">
      <c r="A766" t="s">
        <v>2515</v>
      </c>
      <c r="B766" s="8">
        <v>45989</v>
      </c>
      <c r="C766" t="s">
        <v>1699</v>
      </c>
      <c r="D766" t="s">
        <v>608</v>
      </c>
      <c r="E766" t="s">
        <v>198</v>
      </c>
      <c r="F766">
        <v>37</v>
      </c>
      <c r="G766" t="s">
        <v>2</v>
      </c>
      <c r="H766" t="s">
        <v>3</v>
      </c>
      <c r="I766" t="s">
        <v>51</v>
      </c>
      <c r="J766" t="s">
        <v>54</v>
      </c>
      <c r="K766" t="s">
        <v>43</v>
      </c>
      <c r="L766">
        <v>2</v>
      </c>
      <c r="M766" s="12">
        <v>27499</v>
      </c>
      <c r="N766" s="12">
        <v>21724.210000000003</v>
      </c>
      <c r="O766">
        <v>20</v>
      </c>
      <c r="P766" s="12">
        <v>43998.400000000001</v>
      </c>
      <c r="Q766" s="12">
        <v>43448.420000000006</v>
      </c>
      <c r="R766" s="12">
        <v>549.97999999999593</v>
      </c>
      <c r="S766" t="s">
        <v>1246</v>
      </c>
      <c r="T766" t="s">
        <v>110</v>
      </c>
      <c r="U766" t="s">
        <v>1196</v>
      </c>
    </row>
    <row r="767" spans="1:21" x14ac:dyDescent="0.25">
      <c r="A767" t="s">
        <v>2516</v>
      </c>
      <c r="B767" s="8">
        <v>45658</v>
      </c>
      <c r="C767" t="s">
        <v>3971</v>
      </c>
      <c r="D767" t="s">
        <v>903</v>
      </c>
      <c r="E767" t="s">
        <v>218</v>
      </c>
      <c r="F767">
        <v>56</v>
      </c>
      <c r="G767" t="s">
        <v>4</v>
      </c>
      <c r="H767" t="s">
        <v>3</v>
      </c>
      <c r="I767" t="s">
        <v>49</v>
      </c>
      <c r="J767" t="s">
        <v>56</v>
      </c>
      <c r="K767" t="s">
        <v>43</v>
      </c>
      <c r="L767">
        <v>2</v>
      </c>
      <c r="M767" s="12">
        <v>31999</v>
      </c>
      <c r="N767" s="12">
        <v>25599.200000000001</v>
      </c>
      <c r="O767">
        <v>5</v>
      </c>
      <c r="P767" s="12">
        <v>60798.1</v>
      </c>
      <c r="Q767" s="12">
        <v>51198.400000000001</v>
      </c>
      <c r="R767" s="12">
        <v>9599.6999999999971</v>
      </c>
      <c r="S767" t="s">
        <v>1246</v>
      </c>
      <c r="T767" t="s">
        <v>109</v>
      </c>
      <c r="U767" t="s">
        <v>1201</v>
      </c>
    </row>
    <row r="768" spans="1:21" x14ac:dyDescent="0.25">
      <c r="A768" t="s">
        <v>2517</v>
      </c>
      <c r="B768" s="8">
        <v>45836</v>
      </c>
      <c r="C768" t="s">
        <v>1925</v>
      </c>
      <c r="D768" t="s">
        <v>765</v>
      </c>
      <c r="E768" t="s">
        <v>218</v>
      </c>
      <c r="F768">
        <v>25</v>
      </c>
      <c r="G768" t="s">
        <v>14</v>
      </c>
      <c r="H768" t="s">
        <v>15</v>
      </c>
      <c r="I768" t="s">
        <v>55</v>
      </c>
      <c r="J768" t="s">
        <v>65</v>
      </c>
      <c r="K768" t="s">
        <v>64</v>
      </c>
      <c r="L768">
        <v>1</v>
      </c>
      <c r="M768" s="12">
        <v>80</v>
      </c>
      <c r="N768" s="12">
        <v>56</v>
      </c>
      <c r="O768">
        <v>11</v>
      </c>
      <c r="P768" s="12">
        <v>71.2</v>
      </c>
      <c r="Q768" s="12">
        <v>56</v>
      </c>
      <c r="R768" s="12">
        <v>15.200000000000003</v>
      </c>
      <c r="S768" t="s">
        <v>1246</v>
      </c>
      <c r="T768" t="s">
        <v>107</v>
      </c>
      <c r="U768" t="s">
        <v>1196</v>
      </c>
    </row>
    <row r="769" spans="1:21" x14ac:dyDescent="0.25">
      <c r="A769" t="s">
        <v>2518</v>
      </c>
      <c r="B769" s="8">
        <v>45806</v>
      </c>
      <c r="C769" t="s">
        <v>3483</v>
      </c>
      <c r="D769" t="s">
        <v>997</v>
      </c>
      <c r="E769" t="s">
        <v>198</v>
      </c>
      <c r="F769">
        <v>33</v>
      </c>
      <c r="G769" t="s">
        <v>17</v>
      </c>
      <c r="H769" t="s">
        <v>15</v>
      </c>
      <c r="I769" t="s">
        <v>51</v>
      </c>
      <c r="J769" t="s">
        <v>54</v>
      </c>
      <c r="K769" t="s">
        <v>43</v>
      </c>
      <c r="L769">
        <v>2</v>
      </c>
      <c r="M769" s="12">
        <v>27499</v>
      </c>
      <c r="N769" s="12">
        <v>21724.210000000003</v>
      </c>
      <c r="O769">
        <v>3</v>
      </c>
      <c r="P769" s="12">
        <v>53348.06</v>
      </c>
      <c r="Q769" s="12">
        <v>43448.420000000006</v>
      </c>
      <c r="R769" s="12">
        <v>9899.6399999999921</v>
      </c>
      <c r="S769" t="s">
        <v>1249</v>
      </c>
      <c r="T769" t="s">
        <v>109</v>
      </c>
      <c r="U769" t="s">
        <v>1207</v>
      </c>
    </row>
    <row r="770" spans="1:21" x14ac:dyDescent="0.25">
      <c r="A770" t="s">
        <v>2519</v>
      </c>
      <c r="B770" s="8">
        <v>45753</v>
      </c>
      <c r="C770" t="s">
        <v>2086</v>
      </c>
      <c r="D770" t="s">
        <v>624</v>
      </c>
      <c r="E770" t="s">
        <v>198</v>
      </c>
      <c r="F770">
        <v>56</v>
      </c>
      <c r="G770" t="s">
        <v>290</v>
      </c>
      <c r="H770" t="s">
        <v>3</v>
      </c>
      <c r="I770" t="s">
        <v>47</v>
      </c>
      <c r="J770" t="s">
        <v>52</v>
      </c>
      <c r="K770" t="s">
        <v>43</v>
      </c>
      <c r="L770">
        <v>3</v>
      </c>
      <c r="M770" s="12">
        <v>42999</v>
      </c>
      <c r="N770" s="12">
        <v>33539.22</v>
      </c>
      <c r="O770">
        <v>6</v>
      </c>
      <c r="P770" s="12">
        <v>121257.18</v>
      </c>
      <c r="Q770" s="12">
        <v>100617.66</v>
      </c>
      <c r="R770" s="12">
        <v>20639.51999999999</v>
      </c>
      <c r="S770" t="s">
        <v>1246</v>
      </c>
      <c r="T770" t="s">
        <v>107</v>
      </c>
      <c r="U770" t="s">
        <v>1209</v>
      </c>
    </row>
    <row r="771" spans="1:21" x14ac:dyDescent="0.25">
      <c r="A771" t="s">
        <v>2521</v>
      </c>
      <c r="B771" s="8">
        <v>45832</v>
      </c>
      <c r="C771" t="s">
        <v>2713</v>
      </c>
      <c r="D771" t="s">
        <v>788</v>
      </c>
      <c r="E771" t="s">
        <v>218</v>
      </c>
      <c r="F771">
        <v>57</v>
      </c>
      <c r="G771" t="s">
        <v>4</v>
      </c>
      <c r="H771" t="s">
        <v>3</v>
      </c>
      <c r="I771" t="s">
        <v>28</v>
      </c>
      <c r="J771" t="s">
        <v>35</v>
      </c>
      <c r="K771" t="s">
        <v>22</v>
      </c>
      <c r="L771">
        <v>4</v>
      </c>
      <c r="M771" s="12">
        <v>16499</v>
      </c>
      <c r="N771" s="12">
        <v>14519.12</v>
      </c>
      <c r="O771">
        <v>6</v>
      </c>
      <c r="P771" s="12">
        <v>62036.24</v>
      </c>
      <c r="Q771" s="12">
        <v>58076.480000000003</v>
      </c>
      <c r="R771" s="12">
        <v>3959.7599999999948</v>
      </c>
      <c r="S771" t="s">
        <v>1246</v>
      </c>
      <c r="T771" t="s">
        <v>107</v>
      </c>
      <c r="U771" t="s">
        <v>1198</v>
      </c>
    </row>
    <row r="772" spans="1:21" x14ac:dyDescent="0.25">
      <c r="A772" t="s">
        <v>2522</v>
      </c>
      <c r="B772" s="8">
        <v>45663</v>
      </c>
      <c r="C772" t="s">
        <v>2082</v>
      </c>
      <c r="D772" t="s">
        <v>708</v>
      </c>
      <c r="E772" t="s">
        <v>198</v>
      </c>
      <c r="F772">
        <v>43</v>
      </c>
      <c r="G772" t="s">
        <v>10</v>
      </c>
      <c r="H772" t="s">
        <v>8</v>
      </c>
      <c r="I772" t="s">
        <v>36</v>
      </c>
      <c r="J772" t="s">
        <v>136</v>
      </c>
      <c r="K772" t="s">
        <v>22</v>
      </c>
      <c r="L772">
        <v>2</v>
      </c>
      <c r="M772" s="12">
        <v>3590</v>
      </c>
      <c r="N772" s="12">
        <v>2333.5</v>
      </c>
      <c r="O772">
        <v>7</v>
      </c>
      <c r="P772" s="12">
        <v>6677.4</v>
      </c>
      <c r="Q772" s="12">
        <v>4667</v>
      </c>
      <c r="R772" s="12">
        <v>2010.3999999999996</v>
      </c>
      <c r="S772" t="s">
        <v>1246</v>
      </c>
      <c r="T772" t="s">
        <v>108</v>
      </c>
      <c r="U772" t="s">
        <v>1207</v>
      </c>
    </row>
    <row r="773" spans="1:21" x14ac:dyDescent="0.25">
      <c r="A773" t="s">
        <v>2523</v>
      </c>
      <c r="B773" s="8">
        <v>45925</v>
      </c>
      <c r="C773" t="s">
        <v>1650</v>
      </c>
      <c r="D773" t="s">
        <v>476</v>
      </c>
      <c r="E773" t="s">
        <v>198</v>
      </c>
      <c r="F773">
        <v>57</v>
      </c>
      <c r="G773" t="s">
        <v>290</v>
      </c>
      <c r="H773" t="s">
        <v>3</v>
      </c>
      <c r="I773" t="s">
        <v>26</v>
      </c>
      <c r="J773" t="s">
        <v>27</v>
      </c>
      <c r="K773" t="s">
        <v>22</v>
      </c>
      <c r="L773">
        <v>4</v>
      </c>
      <c r="M773" s="12">
        <v>27499</v>
      </c>
      <c r="N773" s="12">
        <v>23374.149999999998</v>
      </c>
      <c r="O773">
        <v>3</v>
      </c>
      <c r="P773" s="12">
        <v>106696.12</v>
      </c>
      <c r="Q773" s="12">
        <v>93496.599999999991</v>
      </c>
      <c r="R773" s="12">
        <v>13199.520000000004</v>
      </c>
      <c r="S773" t="s">
        <v>1246</v>
      </c>
      <c r="T773" t="s">
        <v>110</v>
      </c>
      <c r="U773" t="s">
        <v>1211</v>
      </c>
    </row>
    <row r="774" spans="1:21" x14ac:dyDescent="0.25">
      <c r="A774" t="s">
        <v>2525</v>
      </c>
      <c r="B774" s="8">
        <v>45718</v>
      </c>
      <c r="C774" t="s">
        <v>1251</v>
      </c>
      <c r="D774" t="s">
        <v>585</v>
      </c>
      <c r="E774" t="s">
        <v>218</v>
      </c>
      <c r="F774">
        <v>20</v>
      </c>
      <c r="G774" t="s">
        <v>2</v>
      </c>
      <c r="H774" t="s">
        <v>3</v>
      </c>
      <c r="I774" t="s">
        <v>38</v>
      </c>
      <c r="J774" t="s">
        <v>37</v>
      </c>
      <c r="K774" t="s">
        <v>22</v>
      </c>
      <c r="L774">
        <v>3</v>
      </c>
      <c r="M774" s="12">
        <v>1650</v>
      </c>
      <c r="N774" s="12">
        <v>990</v>
      </c>
      <c r="O774">
        <v>5</v>
      </c>
      <c r="P774" s="12">
        <v>4702.5</v>
      </c>
      <c r="Q774" s="12">
        <v>2970</v>
      </c>
      <c r="R774" s="12">
        <v>1732.5</v>
      </c>
      <c r="S774" t="s">
        <v>113</v>
      </c>
      <c r="T774" t="s">
        <v>109</v>
      </c>
      <c r="U774" t="s">
        <v>1203</v>
      </c>
    </row>
    <row r="775" spans="1:21" x14ac:dyDescent="0.25">
      <c r="A775" t="s">
        <v>2527</v>
      </c>
      <c r="B775" s="8">
        <v>45854</v>
      </c>
      <c r="C775" t="s">
        <v>1843</v>
      </c>
      <c r="D775" t="s">
        <v>985</v>
      </c>
      <c r="E775" t="s">
        <v>218</v>
      </c>
      <c r="F775">
        <v>21</v>
      </c>
      <c r="G775" t="s">
        <v>7</v>
      </c>
      <c r="H775" t="s">
        <v>8</v>
      </c>
      <c r="I775" t="s">
        <v>40</v>
      </c>
      <c r="J775" t="s">
        <v>39</v>
      </c>
      <c r="K775" t="s">
        <v>22</v>
      </c>
      <c r="L775">
        <v>4</v>
      </c>
      <c r="M775" s="12">
        <v>1100</v>
      </c>
      <c r="N775" s="12">
        <v>715</v>
      </c>
      <c r="O775">
        <v>5</v>
      </c>
      <c r="P775" s="12">
        <v>4180</v>
      </c>
      <c r="Q775" s="12">
        <v>2860</v>
      </c>
      <c r="R775" s="12">
        <v>1320</v>
      </c>
      <c r="S775" t="s">
        <v>113</v>
      </c>
      <c r="T775" t="s">
        <v>109</v>
      </c>
      <c r="U775" t="s">
        <v>1211</v>
      </c>
    </row>
    <row r="776" spans="1:21" x14ac:dyDescent="0.25">
      <c r="A776" t="s">
        <v>2529</v>
      </c>
      <c r="B776" s="8">
        <v>45740</v>
      </c>
      <c r="C776" t="s">
        <v>1881</v>
      </c>
      <c r="D776" t="s">
        <v>1189</v>
      </c>
      <c r="E776" t="s">
        <v>218</v>
      </c>
      <c r="F776">
        <v>21</v>
      </c>
      <c r="G776" t="s">
        <v>11</v>
      </c>
      <c r="H776" t="s">
        <v>12</v>
      </c>
      <c r="I776" t="s">
        <v>49</v>
      </c>
      <c r="J776" t="s">
        <v>56</v>
      </c>
      <c r="K776" t="s">
        <v>43</v>
      </c>
      <c r="L776">
        <v>1</v>
      </c>
      <c r="M776" s="12">
        <v>31999</v>
      </c>
      <c r="N776" s="12">
        <v>25599.200000000001</v>
      </c>
      <c r="O776">
        <v>6</v>
      </c>
      <c r="P776" s="12">
        <v>30079.059999999998</v>
      </c>
      <c r="Q776" s="12">
        <v>25599.200000000001</v>
      </c>
      <c r="R776" s="12">
        <v>4479.8599999999969</v>
      </c>
      <c r="S776" t="s">
        <v>1246</v>
      </c>
      <c r="T776" t="s">
        <v>110</v>
      </c>
      <c r="U776" t="s">
        <v>1201</v>
      </c>
    </row>
    <row r="777" spans="1:21" x14ac:dyDescent="0.25">
      <c r="A777" t="s">
        <v>2531</v>
      </c>
      <c r="B777" s="8">
        <v>45689</v>
      </c>
      <c r="C777" t="s">
        <v>1456</v>
      </c>
      <c r="D777" t="s">
        <v>1024</v>
      </c>
      <c r="E777" t="s">
        <v>198</v>
      </c>
      <c r="F777">
        <v>31</v>
      </c>
      <c r="G777" t="s">
        <v>10</v>
      </c>
      <c r="H777" t="s">
        <v>8</v>
      </c>
      <c r="I777" t="s">
        <v>59</v>
      </c>
      <c r="J777" t="s">
        <v>73</v>
      </c>
      <c r="K777" t="s">
        <v>64</v>
      </c>
      <c r="L777">
        <v>2</v>
      </c>
      <c r="M777" s="12">
        <v>120</v>
      </c>
      <c r="N777" s="12">
        <v>81.599999999999994</v>
      </c>
      <c r="O777">
        <v>0</v>
      </c>
      <c r="P777" s="12">
        <v>240</v>
      </c>
      <c r="Q777" s="12">
        <v>163.19999999999999</v>
      </c>
      <c r="R777" s="12">
        <v>76.800000000000011</v>
      </c>
      <c r="S777" t="s">
        <v>1246</v>
      </c>
      <c r="T777" t="s">
        <v>110</v>
      </c>
      <c r="U777" t="s">
        <v>1198</v>
      </c>
    </row>
    <row r="778" spans="1:21" x14ac:dyDescent="0.25">
      <c r="A778" t="s">
        <v>2533</v>
      </c>
      <c r="B778" s="8">
        <v>45805</v>
      </c>
      <c r="C778" t="s">
        <v>1517</v>
      </c>
      <c r="D778" t="s">
        <v>495</v>
      </c>
      <c r="E778" t="s">
        <v>198</v>
      </c>
      <c r="F778">
        <v>45</v>
      </c>
      <c r="G778" t="s">
        <v>4</v>
      </c>
      <c r="H778" t="s">
        <v>3</v>
      </c>
      <c r="I778" t="s">
        <v>24</v>
      </c>
      <c r="J778" t="s">
        <v>25</v>
      </c>
      <c r="K778" t="s">
        <v>22</v>
      </c>
      <c r="L778">
        <v>2</v>
      </c>
      <c r="M778" s="12">
        <v>35800</v>
      </c>
      <c r="N778" s="12">
        <v>28640</v>
      </c>
      <c r="O778">
        <v>7</v>
      </c>
      <c r="P778" s="12">
        <v>66588</v>
      </c>
      <c r="Q778" s="12">
        <v>57280</v>
      </c>
      <c r="R778" s="12">
        <v>9308</v>
      </c>
      <c r="S778" t="s">
        <v>113</v>
      </c>
      <c r="T778" t="s">
        <v>107</v>
      </c>
      <c r="U778" t="s">
        <v>1196</v>
      </c>
    </row>
    <row r="779" spans="1:21" x14ac:dyDescent="0.25">
      <c r="A779" t="s">
        <v>2534</v>
      </c>
      <c r="B779" s="8">
        <v>45959</v>
      </c>
      <c r="C779" t="s">
        <v>1837</v>
      </c>
      <c r="D779" t="s">
        <v>449</v>
      </c>
      <c r="E779" t="s">
        <v>198</v>
      </c>
      <c r="F779">
        <v>24</v>
      </c>
      <c r="G779" t="s">
        <v>14</v>
      </c>
      <c r="H779" t="s">
        <v>15</v>
      </c>
      <c r="I779" t="s">
        <v>61</v>
      </c>
      <c r="J779" t="s">
        <v>146</v>
      </c>
      <c r="K779" t="s">
        <v>64</v>
      </c>
      <c r="L779">
        <v>4</v>
      </c>
      <c r="M779" s="12">
        <v>250</v>
      </c>
      <c r="N779" s="12">
        <v>155</v>
      </c>
      <c r="O779">
        <v>1</v>
      </c>
      <c r="P779" s="12">
        <v>990</v>
      </c>
      <c r="Q779" s="12">
        <v>620</v>
      </c>
      <c r="R779" s="12">
        <v>370</v>
      </c>
      <c r="S779" t="s">
        <v>1249</v>
      </c>
      <c r="T779" t="s">
        <v>107</v>
      </c>
      <c r="U779" t="s">
        <v>1201</v>
      </c>
    </row>
    <row r="780" spans="1:21" x14ac:dyDescent="0.25">
      <c r="A780" t="s">
        <v>2535</v>
      </c>
      <c r="B780" s="8">
        <v>46005</v>
      </c>
      <c r="C780" t="s">
        <v>1565</v>
      </c>
      <c r="D780" t="s">
        <v>860</v>
      </c>
      <c r="E780" t="s">
        <v>218</v>
      </c>
      <c r="F780">
        <v>57</v>
      </c>
      <c r="G780" t="s">
        <v>9</v>
      </c>
      <c r="H780" t="s">
        <v>8</v>
      </c>
      <c r="I780" t="s">
        <v>45</v>
      </c>
      <c r="J780" t="s">
        <v>46</v>
      </c>
      <c r="K780" t="s">
        <v>43</v>
      </c>
      <c r="L780">
        <v>3</v>
      </c>
      <c r="M780" s="12">
        <v>11999</v>
      </c>
      <c r="N780" s="12">
        <v>8999.25</v>
      </c>
      <c r="O780">
        <v>15</v>
      </c>
      <c r="P780" s="12">
        <v>30597.45</v>
      </c>
      <c r="Q780" s="12">
        <v>26997.75</v>
      </c>
      <c r="R780" s="12">
        <v>3599.7000000000007</v>
      </c>
      <c r="S780" t="s">
        <v>1246</v>
      </c>
      <c r="T780" t="s">
        <v>109</v>
      </c>
      <c r="U780" t="s">
        <v>1203</v>
      </c>
    </row>
    <row r="781" spans="1:21" x14ac:dyDescent="0.25">
      <c r="A781" t="s">
        <v>2536</v>
      </c>
      <c r="B781" s="8">
        <v>45883</v>
      </c>
      <c r="C781" t="s">
        <v>1577</v>
      </c>
      <c r="D781" t="s">
        <v>474</v>
      </c>
      <c r="E781" t="s">
        <v>218</v>
      </c>
      <c r="F781">
        <v>57</v>
      </c>
      <c r="G781" t="s">
        <v>9</v>
      </c>
      <c r="H781" t="s">
        <v>8</v>
      </c>
      <c r="I781" t="s">
        <v>45</v>
      </c>
      <c r="J781" t="s">
        <v>46</v>
      </c>
      <c r="K781" t="s">
        <v>43</v>
      </c>
      <c r="L781">
        <v>2</v>
      </c>
      <c r="M781" s="12">
        <v>11999</v>
      </c>
      <c r="N781" s="12">
        <v>8999.25</v>
      </c>
      <c r="O781">
        <v>10</v>
      </c>
      <c r="P781" s="12">
        <v>21598.2</v>
      </c>
      <c r="Q781" s="12">
        <v>17998.5</v>
      </c>
      <c r="R781" s="12">
        <v>3599.7000000000007</v>
      </c>
      <c r="S781" t="s">
        <v>113</v>
      </c>
      <c r="T781" t="s">
        <v>107</v>
      </c>
      <c r="U781" t="s">
        <v>1194</v>
      </c>
    </row>
    <row r="782" spans="1:21" x14ac:dyDescent="0.25">
      <c r="A782" t="s">
        <v>2538</v>
      </c>
      <c r="B782" s="8">
        <v>45769</v>
      </c>
      <c r="C782" t="s">
        <v>4562</v>
      </c>
      <c r="D782" t="s">
        <v>1122</v>
      </c>
      <c r="E782" t="s">
        <v>198</v>
      </c>
      <c r="F782">
        <v>30</v>
      </c>
      <c r="G782" t="s">
        <v>4</v>
      </c>
      <c r="H782" t="s">
        <v>3</v>
      </c>
      <c r="I782" t="s">
        <v>42</v>
      </c>
      <c r="J782" t="s">
        <v>44</v>
      </c>
      <c r="K782" t="s">
        <v>43</v>
      </c>
      <c r="L782">
        <v>5</v>
      </c>
      <c r="M782" s="12">
        <v>8999</v>
      </c>
      <c r="N782" s="12">
        <v>6479.28</v>
      </c>
      <c r="O782">
        <v>9</v>
      </c>
      <c r="P782" s="12">
        <v>40945.450000000004</v>
      </c>
      <c r="Q782" s="12">
        <v>32396.399999999998</v>
      </c>
      <c r="R782" s="12">
        <v>8549.0500000000065</v>
      </c>
      <c r="S782" t="s">
        <v>1246</v>
      </c>
      <c r="T782" t="s">
        <v>107</v>
      </c>
      <c r="U782" t="s">
        <v>1207</v>
      </c>
    </row>
    <row r="783" spans="1:21" x14ac:dyDescent="0.25">
      <c r="A783" t="s">
        <v>2540</v>
      </c>
      <c r="B783" s="8">
        <v>45730</v>
      </c>
      <c r="C783" t="s">
        <v>2715</v>
      </c>
      <c r="D783" t="s">
        <v>841</v>
      </c>
      <c r="E783" t="s">
        <v>218</v>
      </c>
      <c r="F783">
        <v>61</v>
      </c>
      <c r="G783" t="s">
        <v>10</v>
      </c>
      <c r="H783" t="s">
        <v>8</v>
      </c>
      <c r="I783" t="s">
        <v>61</v>
      </c>
      <c r="J783" t="s">
        <v>146</v>
      </c>
      <c r="K783" t="s">
        <v>64</v>
      </c>
      <c r="L783">
        <v>3</v>
      </c>
      <c r="M783" s="12">
        <v>250</v>
      </c>
      <c r="N783" s="12">
        <v>155</v>
      </c>
      <c r="O783">
        <v>4</v>
      </c>
      <c r="P783" s="12">
        <v>720</v>
      </c>
      <c r="Q783" s="12">
        <v>465</v>
      </c>
      <c r="R783" s="12">
        <v>255</v>
      </c>
      <c r="S783" t="s">
        <v>1249</v>
      </c>
      <c r="T783" t="s">
        <v>110</v>
      </c>
      <c r="U783" t="s">
        <v>1209</v>
      </c>
    </row>
    <row r="784" spans="1:21" x14ac:dyDescent="0.25">
      <c r="A784" t="s">
        <v>2542</v>
      </c>
      <c r="B784" s="8">
        <v>45852</v>
      </c>
      <c r="C784" t="s">
        <v>1413</v>
      </c>
      <c r="D784" t="s">
        <v>1098</v>
      </c>
      <c r="E784" t="s">
        <v>198</v>
      </c>
      <c r="F784">
        <v>31</v>
      </c>
      <c r="G784" t="s">
        <v>10</v>
      </c>
      <c r="H784" t="s">
        <v>8</v>
      </c>
      <c r="I784" t="s">
        <v>53</v>
      </c>
      <c r="J784" t="s">
        <v>48</v>
      </c>
      <c r="K784" t="s">
        <v>43</v>
      </c>
      <c r="L784">
        <v>1</v>
      </c>
      <c r="M784" s="12">
        <v>6499</v>
      </c>
      <c r="N784" s="12">
        <v>4549.2999999999993</v>
      </c>
      <c r="O784">
        <v>10</v>
      </c>
      <c r="P784" s="12">
        <v>5849.1</v>
      </c>
      <c r="Q784" s="12">
        <v>4549.2999999999993</v>
      </c>
      <c r="R784" s="12">
        <v>1299.8000000000011</v>
      </c>
      <c r="S784" t="s">
        <v>1246</v>
      </c>
      <c r="T784" t="s">
        <v>110</v>
      </c>
      <c r="U784" t="s">
        <v>1199</v>
      </c>
    </row>
    <row r="785" spans="1:21" x14ac:dyDescent="0.25">
      <c r="A785" t="s">
        <v>2544</v>
      </c>
      <c r="B785" s="8">
        <v>45741</v>
      </c>
      <c r="C785" t="s">
        <v>2551</v>
      </c>
      <c r="D785" t="s">
        <v>541</v>
      </c>
      <c r="E785" t="s">
        <v>198</v>
      </c>
      <c r="F785">
        <v>22</v>
      </c>
      <c r="G785" t="s">
        <v>14</v>
      </c>
      <c r="H785" t="s">
        <v>15</v>
      </c>
      <c r="I785" t="s">
        <v>51</v>
      </c>
      <c r="J785" t="s">
        <v>54</v>
      </c>
      <c r="K785" t="s">
        <v>43</v>
      </c>
      <c r="L785">
        <v>4</v>
      </c>
      <c r="M785" s="12">
        <v>27499</v>
      </c>
      <c r="N785" s="12">
        <v>21724.210000000003</v>
      </c>
      <c r="O785">
        <v>6</v>
      </c>
      <c r="P785" s="12">
        <v>103396.23999999999</v>
      </c>
      <c r="Q785" s="12">
        <v>86896.840000000011</v>
      </c>
      <c r="R785" s="12">
        <v>16499.39999999998</v>
      </c>
      <c r="S785" t="s">
        <v>1246</v>
      </c>
      <c r="T785" t="s">
        <v>108</v>
      </c>
      <c r="U785" t="s">
        <v>1198</v>
      </c>
    </row>
    <row r="786" spans="1:21" x14ac:dyDescent="0.25">
      <c r="A786" t="s">
        <v>2546</v>
      </c>
      <c r="B786" s="8">
        <v>45740</v>
      </c>
      <c r="C786" t="s">
        <v>1696</v>
      </c>
      <c r="D786" t="s">
        <v>629</v>
      </c>
      <c r="E786" t="s">
        <v>218</v>
      </c>
      <c r="F786">
        <v>48</v>
      </c>
      <c r="G786" t="s">
        <v>16</v>
      </c>
      <c r="H786" t="s">
        <v>15</v>
      </c>
      <c r="I786" t="s">
        <v>53</v>
      </c>
      <c r="J786" t="s">
        <v>48</v>
      </c>
      <c r="K786" t="s">
        <v>43</v>
      </c>
      <c r="L786">
        <v>4</v>
      </c>
      <c r="M786" s="12">
        <v>6499</v>
      </c>
      <c r="N786" s="12">
        <v>4549.2999999999993</v>
      </c>
      <c r="O786">
        <v>9</v>
      </c>
      <c r="P786" s="12">
        <v>23656.36</v>
      </c>
      <c r="Q786" s="12">
        <v>18197.199999999997</v>
      </c>
      <c r="R786" s="12">
        <v>5459.1600000000035</v>
      </c>
      <c r="S786" t="s">
        <v>113</v>
      </c>
      <c r="T786" t="s">
        <v>108</v>
      </c>
      <c r="U786" t="s">
        <v>1199</v>
      </c>
    </row>
    <row r="787" spans="1:21" x14ac:dyDescent="0.25">
      <c r="A787" t="s">
        <v>2547</v>
      </c>
      <c r="B787" s="8">
        <v>45870</v>
      </c>
      <c r="C787" t="s">
        <v>1690</v>
      </c>
      <c r="D787" t="s">
        <v>1006</v>
      </c>
      <c r="E787" t="s">
        <v>218</v>
      </c>
      <c r="F787">
        <v>44</v>
      </c>
      <c r="G787" t="s">
        <v>7</v>
      </c>
      <c r="H787" t="s">
        <v>8</v>
      </c>
      <c r="I787" t="s">
        <v>38</v>
      </c>
      <c r="J787" t="s">
        <v>37</v>
      </c>
      <c r="K787" t="s">
        <v>22</v>
      </c>
      <c r="L787">
        <v>1</v>
      </c>
      <c r="M787" s="12">
        <v>1650</v>
      </c>
      <c r="N787" s="12">
        <v>990</v>
      </c>
      <c r="O787">
        <v>6</v>
      </c>
      <c r="P787" s="12">
        <v>1551</v>
      </c>
      <c r="Q787" s="12">
        <v>990</v>
      </c>
      <c r="R787" s="12">
        <v>561</v>
      </c>
      <c r="S787" t="s">
        <v>1246</v>
      </c>
      <c r="T787" t="s">
        <v>110</v>
      </c>
      <c r="U787" t="s">
        <v>1205</v>
      </c>
    </row>
    <row r="788" spans="1:21" x14ac:dyDescent="0.25">
      <c r="A788" t="s">
        <v>2549</v>
      </c>
      <c r="B788" s="8">
        <v>45688</v>
      </c>
      <c r="C788" t="s">
        <v>4273</v>
      </c>
      <c r="D788" t="s">
        <v>719</v>
      </c>
      <c r="E788" t="s">
        <v>198</v>
      </c>
      <c r="F788">
        <v>43</v>
      </c>
      <c r="G788" t="s">
        <v>290</v>
      </c>
      <c r="H788" t="s">
        <v>3</v>
      </c>
      <c r="I788" t="s">
        <v>21</v>
      </c>
      <c r="J788" t="s">
        <v>23</v>
      </c>
      <c r="K788" t="s">
        <v>22</v>
      </c>
      <c r="L788">
        <v>4</v>
      </c>
      <c r="M788" s="12">
        <v>54999</v>
      </c>
      <c r="N788" s="12">
        <v>45099.18</v>
      </c>
      <c r="O788">
        <v>5</v>
      </c>
      <c r="P788" s="12">
        <v>208996.19999999998</v>
      </c>
      <c r="Q788" s="12">
        <v>180396.72</v>
      </c>
      <c r="R788" s="12">
        <v>28599.479999999981</v>
      </c>
      <c r="S788" t="s">
        <v>113</v>
      </c>
      <c r="T788" t="s">
        <v>107</v>
      </c>
      <c r="U788" t="s">
        <v>1198</v>
      </c>
    </row>
    <row r="789" spans="1:21" x14ac:dyDescent="0.25">
      <c r="A789" t="s">
        <v>2550</v>
      </c>
      <c r="B789" s="8">
        <v>45733</v>
      </c>
      <c r="C789" t="s">
        <v>1884</v>
      </c>
      <c r="D789" t="s">
        <v>797</v>
      </c>
      <c r="E789" t="s">
        <v>218</v>
      </c>
      <c r="F789">
        <v>29</v>
      </c>
      <c r="G789" t="s">
        <v>10</v>
      </c>
      <c r="H789" t="s">
        <v>8</v>
      </c>
      <c r="I789" t="s">
        <v>45</v>
      </c>
      <c r="J789" t="s">
        <v>46</v>
      </c>
      <c r="K789" t="s">
        <v>43</v>
      </c>
      <c r="L789">
        <v>5</v>
      </c>
      <c r="M789" s="12">
        <v>11999</v>
      </c>
      <c r="N789" s="12">
        <v>8999.25</v>
      </c>
      <c r="O789">
        <v>7</v>
      </c>
      <c r="P789" s="12">
        <v>55795.35</v>
      </c>
      <c r="Q789" s="12">
        <v>44996.25</v>
      </c>
      <c r="R789" s="12">
        <v>10799.099999999999</v>
      </c>
      <c r="S789" t="s">
        <v>113</v>
      </c>
      <c r="T789" t="s">
        <v>109</v>
      </c>
      <c r="U789" t="s">
        <v>1203</v>
      </c>
    </row>
    <row r="790" spans="1:21" x14ac:dyDescent="0.25">
      <c r="A790" t="s">
        <v>2552</v>
      </c>
      <c r="B790" s="8">
        <v>45867</v>
      </c>
      <c r="C790" t="s">
        <v>3014</v>
      </c>
      <c r="D790" t="s">
        <v>902</v>
      </c>
      <c r="E790" t="s">
        <v>198</v>
      </c>
      <c r="F790">
        <v>63</v>
      </c>
      <c r="G790" t="s">
        <v>5</v>
      </c>
      <c r="H790" t="s">
        <v>3</v>
      </c>
      <c r="I790" t="s">
        <v>55</v>
      </c>
      <c r="J790" t="s">
        <v>65</v>
      </c>
      <c r="K790" t="s">
        <v>64</v>
      </c>
      <c r="L790">
        <v>4</v>
      </c>
      <c r="M790" s="12">
        <v>80</v>
      </c>
      <c r="N790" s="12">
        <v>56</v>
      </c>
      <c r="O790">
        <v>5</v>
      </c>
      <c r="P790" s="12">
        <v>304</v>
      </c>
      <c r="Q790" s="12">
        <v>224</v>
      </c>
      <c r="R790" s="12">
        <v>80</v>
      </c>
      <c r="S790" t="s">
        <v>113</v>
      </c>
      <c r="T790" t="s">
        <v>111</v>
      </c>
      <c r="U790" t="s">
        <v>1201</v>
      </c>
    </row>
    <row r="791" spans="1:21" x14ac:dyDescent="0.25">
      <c r="A791" t="s">
        <v>2553</v>
      </c>
      <c r="B791" s="8">
        <v>45727</v>
      </c>
      <c r="C791" t="s">
        <v>4531</v>
      </c>
      <c r="D791" t="s">
        <v>698</v>
      </c>
      <c r="E791" t="s">
        <v>198</v>
      </c>
      <c r="F791">
        <v>30</v>
      </c>
      <c r="G791" t="s">
        <v>5</v>
      </c>
      <c r="H791" t="s">
        <v>3</v>
      </c>
      <c r="I791" t="s">
        <v>57</v>
      </c>
      <c r="J791" t="s">
        <v>67</v>
      </c>
      <c r="K791" t="s">
        <v>64</v>
      </c>
      <c r="L791">
        <v>4</v>
      </c>
      <c r="M791" s="12">
        <v>150</v>
      </c>
      <c r="N791" s="12">
        <v>97.5</v>
      </c>
      <c r="O791">
        <v>3</v>
      </c>
      <c r="P791" s="12">
        <v>582</v>
      </c>
      <c r="Q791" s="12">
        <v>390</v>
      </c>
      <c r="R791" s="12">
        <v>192</v>
      </c>
      <c r="S791" t="s">
        <v>113</v>
      </c>
      <c r="T791" t="s">
        <v>110</v>
      </c>
      <c r="U791" t="s">
        <v>1199</v>
      </c>
    </row>
    <row r="792" spans="1:21" x14ac:dyDescent="0.25">
      <c r="A792" t="s">
        <v>2555</v>
      </c>
      <c r="B792" s="8">
        <v>45780</v>
      </c>
      <c r="C792" t="s">
        <v>1943</v>
      </c>
      <c r="D792" t="s">
        <v>946</v>
      </c>
      <c r="E792" t="s">
        <v>218</v>
      </c>
      <c r="F792">
        <v>38</v>
      </c>
      <c r="G792" t="s">
        <v>9</v>
      </c>
      <c r="H792" t="s">
        <v>8</v>
      </c>
      <c r="I792" t="s">
        <v>59</v>
      </c>
      <c r="J792" t="s">
        <v>73</v>
      </c>
      <c r="K792" t="s">
        <v>64</v>
      </c>
      <c r="L792">
        <v>1</v>
      </c>
      <c r="M792" s="12">
        <v>120</v>
      </c>
      <c r="N792" s="12">
        <v>81.599999999999994</v>
      </c>
      <c r="O792">
        <v>10</v>
      </c>
      <c r="P792" s="12">
        <v>108</v>
      </c>
      <c r="Q792" s="12">
        <v>81.599999999999994</v>
      </c>
      <c r="R792" s="12">
        <v>26.400000000000006</v>
      </c>
      <c r="S792" t="s">
        <v>1246</v>
      </c>
      <c r="T792" t="s">
        <v>107</v>
      </c>
      <c r="U792" t="s">
        <v>1209</v>
      </c>
    </row>
    <row r="793" spans="1:21" x14ac:dyDescent="0.25">
      <c r="A793" t="s">
        <v>2556</v>
      </c>
      <c r="B793" s="8">
        <v>46017</v>
      </c>
      <c r="C793" t="s">
        <v>4676</v>
      </c>
      <c r="D793" t="s">
        <v>609</v>
      </c>
      <c r="E793" t="s">
        <v>198</v>
      </c>
      <c r="F793">
        <v>33</v>
      </c>
      <c r="G793" t="s">
        <v>5</v>
      </c>
      <c r="H793" t="s">
        <v>3</v>
      </c>
      <c r="I793" t="s">
        <v>36</v>
      </c>
      <c r="J793" t="s">
        <v>136</v>
      </c>
      <c r="K793" t="s">
        <v>22</v>
      </c>
      <c r="L793">
        <v>1</v>
      </c>
      <c r="M793" s="12">
        <v>3590</v>
      </c>
      <c r="N793" s="12">
        <v>2333.5</v>
      </c>
      <c r="O793">
        <v>15</v>
      </c>
      <c r="P793" s="12">
        <v>3051.5</v>
      </c>
      <c r="Q793" s="12">
        <v>2333.5</v>
      </c>
      <c r="R793" s="12">
        <v>718</v>
      </c>
      <c r="S793" t="s">
        <v>1249</v>
      </c>
      <c r="T793" t="s">
        <v>109</v>
      </c>
      <c r="U793" t="s">
        <v>1207</v>
      </c>
    </row>
    <row r="794" spans="1:21" x14ac:dyDescent="0.25">
      <c r="A794" t="s">
        <v>2557</v>
      </c>
      <c r="B794" s="8">
        <v>45914</v>
      </c>
      <c r="C794" t="s">
        <v>1918</v>
      </c>
      <c r="D794" t="s">
        <v>522</v>
      </c>
      <c r="E794" t="s">
        <v>198</v>
      </c>
      <c r="F794">
        <v>55</v>
      </c>
      <c r="G794" t="s">
        <v>16</v>
      </c>
      <c r="H794" t="s">
        <v>15</v>
      </c>
      <c r="I794" t="s">
        <v>49</v>
      </c>
      <c r="J794" t="s">
        <v>56</v>
      </c>
      <c r="K794" t="s">
        <v>43</v>
      </c>
      <c r="L794">
        <v>3</v>
      </c>
      <c r="M794" s="12">
        <v>31999</v>
      </c>
      <c r="N794" s="12">
        <v>25599.200000000001</v>
      </c>
      <c r="O794">
        <v>9</v>
      </c>
      <c r="P794" s="12">
        <v>87357.27</v>
      </c>
      <c r="Q794" s="12">
        <v>76797.600000000006</v>
      </c>
      <c r="R794" s="12">
        <v>10559.669999999998</v>
      </c>
      <c r="S794" t="s">
        <v>1246</v>
      </c>
      <c r="T794" t="s">
        <v>109</v>
      </c>
      <c r="U794" t="s">
        <v>1201</v>
      </c>
    </row>
    <row r="795" spans="1:21" x14ac:dyDescent="0.25">
      <c r="A795" t="s">
        <v>2558</v>
      </c>
      <c r="B795" s="8">
        <v>45799</v>
      </c>
      <c r="C795" t="s">
        <v>2507</v>
      </c>
      <c r="D795" t="s">
        <v>720</v>
      </c>
      <c r="E795" t="s">
        <v>198</v>
      </c>
      <c r="F795">
        <v>39</v>
      </c>
      <c r="G795" t="s">
        <v>17</v>
      </c>
      <c r="H795" t="s">
        <v>15</v>
      </c>
      <c r="I795" t="s">
        <v>34</v>
      </c>
      <c r="J795" t="s">
        <v>137</v>
      </c>
      <c r="K795" t="s">
        <v>22</v>
      </c>
      <c r="L795">
        <v>3</v>
      </c>
      <c r="M795" s="12">
        <v>6900</v>
      </c>
      <c r="N795" s="12">
        <v>5727</v>
      </c>
      <c r="O795">
        <v>5</v>
      </c>
      <c r="P795" s="12">
        <v>19665</v>
      </c>
      <c r="Q795" s="12">
        <v>17181</v>
      </c>
      <c r="R795" s="12">
        <v>2484</v>
      </c>
      <c r="S795" t="s">
        <v>113</v>
      </c>
      <c r="T795" t="s">
        <v>110</v>
      </c>
      <c r="U795" t="s">
        <v>1209</v>
      </c>
    </row>
    <row r="796" spans="1:21" x14ac:dyDescent="0.25">
      <c r="A796" t="s">
        <v>2560</v>
      </c>
      <c r="B796" s="8">
        <v>45942</v>
      </c>
      <c r="C796" t="s">
        <v>2285</v>
      </c>
      <c r="D796" t="s">
        <v>578</v>
      </c>
      <c r="E796" t="s">
        <v>218</v>
      </c>
      <c r="F796">
        <v>50</v>
      </c>
      <c r="G796" t="s">
        <v>14</v>
      </c>
      <c r="H796" t="s">
        <v>15</v>
      </c>
      <c r="I796" t="s">
        <v>57</v>
      </c>
      <c r="J796" t="s">
        <v>67</v>
      </c>
      <c r="K796" t="s">
        <v>64</v>
      </c>
      <c r="L796">
        <v>2</v>
      </c>
      <c r="M796" s="12">
        <v>150</v>
      </c>
      <c r="N796" s="12">
        <v>97.5</v>
      </c>
      <c r="O796">
        <v>5</v>
      </c>
      <c r="P796" s="12">
        <v>285</v>
      </c>
      <c r="Q796" s="12">
        <v>195</v>
      </c>
      <c r="R796" s="12">
        <v>90</v>
      </c>
      <c r="S796" t="s">
        <v>1246</v>
      </c>
      <c r="T796" t="s">
        <v>107</v>
      </c>
      <c r="U796" t="s">
        <v>1205</v>
      </c>
    </row>
    <row r="797" spans="1:21" x14ac:dyDescent="0.25">
      <c r="A797" t="s">
        <v>2561</v>
      </c>
      <c r="B797" s="8">
        <v>45706</v>
      </c>
      <c r="C797" t="s">
        <v>3366</v>
      </c>
      <c r="D797" t="s">
        <v>385</v>
      </c>
      <c r="E797" t="s">
        <v>198</v>
      </c>
      <c r="F797">
        <v>64</v>
      </c>
      <c r="G797" t="s">
        <v>16</v>
      </c>
      <c r="H797" t="s">
        <v>15</v>
      </c>
      <c r="I797" t="s">
        <v>61</v>
      </c>
      <c r="J797" t="s">
        <v>146</v>
      </c>
      <c r="K797" t="s">
        <v>64</v>
      </c>
      <c r="L797">
        <v>4</v>
      </c>
      <c r="M797" s="12">
        <v>250</v>
      </c>
      <c r="N797" s="12">
        <v>155</v>
      </c>
      <c r="O797">
        <v>4</v>
      </c>
      <c r="P797" s="12">
        <v>960</v>
      </c>
      <c r="Q797" s="12">
        <v>620</v>
      </c>
      <c r="R797" s="12">
        <v>340</v>
      </c>
      <c r="S797" t="s">
        <v>113</v>
      </c>
      <c r="T797" t="s">
        <v>110</v>
      </c>
      <c r="U797" t="s">
        <v>1199</v>
      </c>
    </row>
    <row r="798" spans="1:21" x14ac:dyDescent="0.25">
      <c r="A798" t="s">
        <v>2562</v>
      </c>
      <c r="B798" s="8">
        <v>45973</v>
      </c>
      <c r="C798" t="s">
        <v>1640</v>
      </c>
      <c r="D798" t="s">
        <v>1107</v>
      </c>
      <c r="E798" t="s">
        <v>218</v>
      </c>
      <c r="F798">
        <v>31</v>
      </c>
      <c r="G798" t="s">
        <v>16</v>
      </c>
      <c r="H798" t="s">
        <v>15</v>
      </c>
      <c r="I798" t="s">
        <v>53</v>
      </c>
      <c r="J798" t="s">
        <v>48</v>
      </c>
      <c r="K798" t="s">
        <v>43</v>
      </c>
      <c r="L798">
        <v>1</v>
      </c>
      <c r="M798" s="12">
        <v>6499</v>
      </c>
      <c r="N798" s="12">
        <v>4549.2999999999993</v>
      </c>
      <c r="O798">
        <v>12</v>
      </c>
      <c r="P798" s="12">
        <v>5719.12</v>
      </c>
      <c r="Q798" s="12">
        <v>4549.2999999999993</v>
      </c>
      <c r="R798" s="12">
        <v>1169.8200000000006</v>
      </c>
      <c r="S798" t="s">
        <v>1246</v>
      </c>
      <c r="T798" t="s">
        <v>109</v>
      </c>
      <c r="U798" t="s">
        <v>1196</v>
      </c>
    </row>
    <row r="799" spans="1:21" x14ac:dyDescent="0.25">
      <c r="A799" t="s">
        <v>2564</v>
      </c>
      <c r="B799" s="8">
        <v>45830</v>
      </c>
      <c r="C799" t="s">
        <v>2587</v>
      </c>
      <c r="D799" t="s">
        <v>978</v>
      </c>
      <c r="E799" t="s">
        <v>198</v>
      </c>
      <c r="F799">
        <v>55</v>
      </c>
      <c r="G799" t="s">
        <v>9</v>
      </c>
      <c r="H799" t="s">
        <v>8</v>
      </c>
      <c r="I799" t="s">
        <v>21</v>
      </c>
      <c r="J799" t="s">
        <v>23</v>
      </c>
      <c r="K799" t="s">
        <v>22</v>
      </c>
      <c r="L799">
        <v>4</v>
      </c>
      <c r="M799" s="12">
        <v>54999</v>
      </c>
      <c r="N799" s="12">
        <v>45099.18</v>
      </c>
      <c r="O799">
        <v>6</v>
      </c>
      <c r="P799" s="12">
        <v>206796.24</v>
      </c>
      <c r="Q799" s="12">
        <v>180396.72</v>
      </c>
      <c r="R799" s="12">
        <v>26399.51999999999</v>
      </c>
      <c r="S799" t="s">
        <v>113</v>
      </c>
      <c r="T799" t="s">
        <v>108</v>
      </c>
      <c r="U799" t="s">
        <v>1203</v>
      </c>
    </row>
    <row r="800" spans="1:21" x14ac:dyDescent="0.25">
      <c r="A800" t="s">
        <v>2566</v>
      </c>
      <c r="B800" s="8">
        <v>45852</v>
      </c>
      <c r="C800" t="s">
        <v>1802</v>
      </c>
      <c r="D800" t="s">
        <v>932</v>
      </c>
      <c r="E800" t="s">
        <v>198</v>
      </c>
      <c r="F800">
        <v>42</v>
      </c>
      <c r="G800" t="s">
        <v>289</v>
      </c>
      <c r="H800" t="s">
        <v>3</v>
      </c>
      <c r="I800" t="s">
        <v>32</v>
      </c>
      <c r="J800" t="s">
        <v>29</v>
      </c>
      <c r="K800" t="s">
        <v>22</v>
      </c>
      <c r="L800">
        <v>5</v>
      </c>
      <c r="M800" s="12">
        <v>9500</v>
      </c>
      <c r="N800" s="12">
        <v>6650</v>
      </c>
      <c r="O800">
        <v>6</v>
      </c>
      <c r="P800" s="12">
        <v>44650</v>
      </c>
      <c r="Q800" s="12">
        <v>33250</v>
      </c>
      <c r="R800" s="12">
        <v>11400</v>
      </c>
      <c r="S800" t="s">
        <v>1246</v>
      </c>
      <c r="T800" t="s">
        <v>107</v>
      </c>
      <c r="U800" t="s">
        <v>1205</v>
      </c>
    </row>
    <row r="801" spans="1:21" x14ac:dyDescent="0.25">
      <c r="A801" t="s">
        <v>2568</v>
      </c>
      <c r="B801" s="8">
        <v>45893</v>
      </c>
      <c r="C801" t="s">
        <v>1862</v>
      </c>
      <c r="D801" t="s">
        <v>1157</v>
      </c>
      <c r="E801" t="s">
        <v>218</v>
      </c>
      <c r="F801">
        <v>47</v>
      </c>
      <c r="G801" t="s">
        <v>2</v>
      </c>
      <c r="H801" t="s">
        <v>3</v>
      </c>
      <c r="I801" t="s">
        <v>51</v>
      </c>
      <c r="J801" t="s">
        <v>54</v>
      </c>
      <c r="K801" t="s">
        <v>43</v>
      </c>
      <c r="L801">
        <v>4</v>
      </c>
      <c r="M801" s="12">
        <v>27499</v>
      </c>
      <c r="N801" s="12">
        <v>21724.210000000003</v>
      </c>
      <c r="O801">
        <v>6</v>
      </c>
      <c r="P801" s="12">
        <v>103396.23999999999</v>
      </c>
      <c r="Q801" s="12">
        <v>86896.840000000011</v>
      </c>
      <c r="R801" s="12">
        <v>16499.39999999998</v>
      </c>
      <c r="S801" t="s">
        <v>113</v>
      </c>
      <c r="T801" t="s">
        <v>107</v>
      </c>
      <c r="U801" t="s">
        <v>1198</v>
      </c>
    </row>
    <row r="802" spans="1:21" x14ac:dyDescent="0.25">
      <c r="A802" t="s">
        <v>2569</v>
      </c>
      <c r="B802" s="8">
        <v>45851</v>
      </c>
      <c r="C802" t="s">
        <v>1975</v>
      </c>
      <c r="D802" t="s">
        <v>431</v>
      </c>
      <c r="E802" t="s">
        <v>198</v>
      </c>
      <c r="F802">
        <v>34</v>
      </c>
      <c r="G802" t="s">
        <v>5</v>
      </c>
      <c r="H802" t="s">
        <v>3</v>
      </c>
      <c r="I802" t="s">
        <v>32</v>
      </c>
      <c r="J802" t="s">
        <v>29</v>
      </c>
      <c r="K802" t="s">
        <v>22</v>
      </c>
      <c r="L802">
        <v>5</v>
      </c>
      <c r="M802" s="12">
        <v>9500</v>
      </c>
      <c r="N802" s="12">
        <v>6650</v>
      </c>
      <c r="O802">
        <v>8</v>
      </c>
      <c r="P802" s="12">
        <v>43700</v>
      </c>
      <c r="Q802" s="12">
        <v>33250</v>
      </c>
      <c r="R802" s="12">
        <v>10450</v>
      </c>
      <c r="S802" t="s">
        <v>1246</v>
      </c>
      <c r="T802" t="s">
        <v>107</v>
      </c>
      <c r="U802" t="s">
        <v>1199</v>
      </c>
    </row>
    <row r="803" spans="1:21" x14ac:dyDescent="0.25">
      <c r="A803" t="s">
        <v>2570</v>
      </c>
      <c r="B803" s="8">
        <v>45915</v>
      </c>
      <c r="C803" t="s">
        <v>1494</v>
      </c>
      <c r="D803" t="s">
        <v>930</v>
      </c>
      <c r="E803" t="s">
        <v>198</v>
      </c>
      <c r="F803">
        <v>54</v>
      </c>
      <c r="G803" t="s">
        <v>289</v>
      </c>
      <c r="H803" t="s">
        <v>3</v>
      </c>
      <c r="I803" t="s">
        <v>49</v>
      </c>
      <c r="J803" t="s">
        <v>56</v>
      </c>
      <c r="K803" t="s">
        <v>43</v>
      </c>
      <c r="L803">
        <v>5</v>
      </c>
      <c r="M803" s="12">
        <v>31999</v>
      </c>
      <c r="N803" s="12">
        <v>25599.200000000001</v>
      </c>
      <c r="O803">
        <v>8</v>
      </c>
      <c r="P803" s="12">
        <v>147195.4</v>
      </c>
      <c r="Q803" s="12">
        <v>127996</v>
      </c>
      <c r="R803" s="12">
        <v>19199.399999999994</v>
      </c>
      <c r="S803" t="s">
        <v>1246</v>
      </c>
      <c r="T803" t="s">
        <v>107</v>
      </c>
      <c r="U803" t="s">
        <v>1199</v>
      </c>
    </row>
    <row r="804" spans="1:21" x14ac:dyDescent="0.25">
      <c r="A804" t="s">
        <v>2571</v>
      </c>
      <c r="B804" s="8">
        <v>45809</v>
      </c>
      <c r="C804" t="s">
        <v>1396</v>
      </c>
      <c r="D804" t="s">
        <v>1153</v>
      </c>
      <c r="E804" t="s">
        <v>218</v>
      </c>
      <c r="F804">
        <v>49</v>
      </c>
      <c r="G804" t="s">
        <v>10</v>
      </c>
      <c r="H804" t="s">
        <v>8</v>
      </c>
      <c r="I804" t="s">
        <v>55</v>
      </c>
      <c r="J804" t="s">
        <v>65</v>
      </c>
      <c r="K804" t="s">
        <v>64</v>
      </c>
      <c r="L804">
        <v>5</v>
      </c>
      <c r="M804" s="12">
        <v>80</v>
      </c>
      <c r="N804" s="12">
        <v>56</v>
      </c>
      <c r="O804">
        <v>14</v>
      </c>
      <c r="P804" s="12">
        <v>344</v>
      </c>
      <c r="Q804" s="12">
        <v>280</v>
      </c>
      <c r="R804" s="12">
        <v>64</v>
      </c>
      <c r="S804" t="s">
        <v>113</v>
      </c>
      <c r="T804" t="s">
        <v>109</v>
      </c>
      <c r="U804" t="s">
        <v>1207</v>
      </c>
    </row>
    <row r="805" spans="1:21" x14ac:dyDescent="0.25">
      <c r="A805" t="s">
        <v>2573</v>
      </c>
      <c r="B805" s="8">
        <v>46011</v>
      </c>
      <c r="C805" t="s">
        <v>2486</v>
      </c>
      <c r="D805" t="s">
        <v>970</v>
      </c>
      <c r="E805" t="s">
        <v>198</v>
      </c>
      <c r="F805">
        <v>43</v>
      </c>
      <c r="G805" t="s">
        <v>290</v>
      </c>
      <c r="H805" t="s">
        <v>3</v>
      </c>
      <c r="I805" t="s">
        <v>59</v>
      </c>
      <c r="J805" t="s">
        <v>73</v>
      </c>
      <c r="K805" t="s">
        <v>64</v>
      </c>
      <c r="L805">
        <v>5</v>
      </c>
      <c r="M805" s="12">
        <v>120</v>
      </c>
      <c r="N805" s="12">
        <v>81.599999999999994</v>
      </c>
      <c r="O805">
        <v>7</v>
      </c>
      <c r="P805" s="12">
        <v>558</v>
      </c>
      <c r="Q805" s="12">
        <v>408</v>
      </c>
      <c r="R805" s="12">
        <v>150</v>
      </c>
      <c r="S805" t="s">
        <v>1246</v>
      </c>
      <c r="T805" t="s">
        <v>107</v>
      </c>
      <c r="U805" t="s">
        <v>1198</v>
      </c>
    </row>
    <row r="806" spans="1:21" x14ac:dyDescent="0.25">
      <c r="A806" t="s">
        <v>2574</v>
      </c>
      <c r="B806" s="8">
        <v>45676</v>
      </c>
      <c r="C806" t="s">
        <v>1835</v>
      </c>
      <c r="D806" t="s">
        <v>576</v>
      </c>
      <c r="E806" t="s">
        <v>218</v>
      </c>
      <c r="F806">
        <v>38</v>
      </c>
      <c r="G806" t="s">
        <v>290</v>
      </c>
      <c r="H806" t="s">
        <v>3</v>
      </c>
      <c r="I806" t="s">
        <v>59</v>
      </c>
      <c r="J806" t="s">
        <v>73</v>
      </c>
      <c r="K806" t="s">
        <v>64</v>
      </c>
      <c r="L806">
        <v>1</v>
      </c>
      <c r="M806" s="12">
        <v>120</v>
      </c>
      <c r="N806" s="12">
        <v>81.599999999999994</v>
      </c>
      <c r="O806">
        <v>10</v>
      </c>
      <c r="P806" s="12">
        <v>108</v>
      </c>
      <c r="Q806" s="12">
        <v>81.599999999999994</v>
      </c>
      <c r="R806" s="12">
        <v>26.400000000000006</v>
      </c>
      <c r="S806" t="s">
        <v>113</v>
      </c>
      <c r="T806" t="s">
        <v>107</v>
      </c>
      <c r="U806" t="s">
        <v>1194</v>
      </c>
    </row>
    <row r="807" spans="1:21" x14ac:dyDescent="0.25">
      <c r="A807" t="s">
        <v>2575</v>
      </c>
      <c r="B807" s="8">
        <v>45837</v>
      </c>
      <c r="C807" t="s">
        <v>1747</v>
      </c>
      <c r="D807" t="s">
        <v>827</v>
      </c>
      <c r="E807" t="s">
        <v>198</v>
      </c>
      <c r="F807">
        <v>24</v>
      </c>
      <c r="G807" t="s">
        <v>289</v>
      </c>
      <c r="H807" t="s">
        <v>3</v>
      </c>
      <c r="I807" t="s">
        <v>55</v>
      </c>
      <c r="J807" t="s">
        <v>65</v>
      </c>
      <c r="K807" t="s">
        <v>64</v>
      </c>
      <c r="L807">
        <v>2</v>
      </c>
      <c r="M807" s="12">
        <v>80</v>
      </c>
      <c r="N807" s="12">
        <v>56</v>
      </c>
      <c r="O807">
        <v>15</v>
      </c>
      <c r="P807" s="12">
        <v>136</v>
      </c>
      <c r="Q807" s="12">
        <v>112</v>
      </c>
      <c r="R807" s="12">
        <v>24</v>
      </c>
      <c r="S807" t="s">
        <v>1246</v>
      </c>
      <c r="T807" t="s">
        <v>108</v>
      </c>
      <c r="U807" t="s">
        <v>1203</v>
      </c>
    </row>
    <row r="808" spans="1:21" x14ac:dyDescent="0.25">
      <c r="A808" t="s">
        <v>2577</v>
      </c>
      <c r="B808" s="8">
        <v>45997</v>
      </c>
      <c r="C808" t="s">
        <v>2417</v>
      </c>
      <c r="D808" t="s">
        <v>1087</v>
      </c>
      <c r="E808" t="s">
        <v>198</v>
      </c>
      <c r="F808">
        <v>56</v>
      </c>
      <c r="G808" t="s">
        <v>16</v>
      </c>
      <c r="H808" t="s">
        <v>15</v>
      </c>
      <c r="I808" t="s">
        <v>51</v>
      </c>
      <c r="J808" t="s">
        <v>54</v>
      </c>
      <c r="K808" t="s">
        <v>43</v>
      </c>
      <c r="L808">
        <v>2</v>
      </c>
      <c r="M808" s="12">
        <v>27499</v>
      </c>
      <c r="N808" s="12">
        <v>21724.210000000003</v>
      </c>
      <c r="O808">
        <v>19</v>
      </c>
      <c r="P808" s="12">
        <v>44548.380000000005</v>
      </c>
      <c r="Q808" s="12">
        <v>43448.420000000006</v>
      </c>
      <c r="R808" s="12">
        <v>1099.9599999999991</v>
      </c>
      <c r="S808" t="s">
        <v>1246</v>
      </c>
      <c r="T808" t="s">
        <v>109</v>
      </c>
      <c r="U808" t="s">
        <v>1203</v>
      </c>
    </row>
    <row r="809" spans="1:21" x14ac:dyDescent="0.25">
      <c r="A809" t="s">
        <v>2578</v>
      </c>
      <c r="B809" s="8">
        <v>45850</v>
      </c>
      <c r="C809" t="s">
        <v>1541</v>
      </c>
      <c r="D809" t="s">
        <v>994</v>
      </c>
      <c r="E809" t="s">
        <v>218</v>
      </c>
      <c r="F809">
        <v>23</v>
      </c>
      <c r="G809" t="s">
        <v>7</v>
      </c>
      <c r="H809" t="s">
        <v>8</v>
      </c>
      <c r="I809" t="s">
        <v>38</v>
      </c>
      <c r="J809" t="s">
        <v>37</v>
      </c>
      <c r="K809" t="s">
        <v>22</v>
      </c>
      <c r="L809">
        <v>2</v>
      </c>
      <c r="M809" s="12">
        <v>1650</v>
      </c>
      <c r="N809" s="12">
        <v>990</v>
      </c>
      <c r="O809">
        <v>3</v>
      </c>
      <c r="P809" s="12">
        <v>3201</v>
      </c>
      <c r="Q809" s="12">
        <v>1980</v>
      </c>
      <c r="R809" s="12">
        <v>1221</v>
      </c>
      <c r="S809" t="s">
        <v>1246</v>
      </c>
      <c r="T809" t="s">
        <v>107</v>
      </c>
      <c r="U809" t="s">
        <v>1211</v>
      </c>
    </row>
    <row r="810" spans="1:21" x14ac:dyDescent="0.25">
      <c r="A810" t="s">
        <v>2580</v>
      </c>
      <c r="B810" s="8">
        <v>45842</v>
      </c>
      <c r="C810" t="s">
        <v>2206</v>
      </c>
      <c r="D810" t="s">
        <v>846</v>
      </c>
      <c r="E810" t="s">
        <v>218</v>
      </c>
      <c r="F810">
        <v>52</v>
      </c>
      <c r="G810" t="s">
        <v>14</v>
      </c>
      <c r="H810" t="s">
        <v>15</v>
      </c>
      <c r="I810" t="s">
        <v>53</v>
      </c>
      <c r="J810" t="s">
        <v>48</v>
      </c>
      <c r="K810" t="s">
        <v>43</v>
      </c>
      <c r="L810">
        <v>3</v>
      </c>
      <c r="M810" s="12">
        <v>6499</v>
      </c>
      <c r="N810" s="12">
        <v>4549.2999999999993</v>
      </c>
      <c r="O810">
        <v>7</v>
      </c>
      <c r="P810" s="12">
        <v>18132.21</v>
      </c>
      <c r="Q810" s="12">
        <v>13647.899999999998</v>
      </c>
      <c r="R810" s="12">
        <v>4484.3100000000013</v>
      </c>
      <c r="S810" t="s">
        <v>1246</v>
      </c>
      <c r="T810" t="s">
        <v>111</v>
      </c>
      <c r="U810" t="s">
        <v>1196</v>
      </c>
    </row>
    <row r="811" spans="1:21" x14ac:dyDescent="0.25">
      <c r="A811" t="s">
        <v>2581</v>
      </c>
      <c r="B811" s="8">
        <v>45684</v>
      </c>
      <c r="C811" t="s">
        <v>1929</v>
      </c>
      <c r="D811" t="s">
        <v>911</v>
      </c>
      <c r="E811" t="s">
        <v>198</v>
      </c>
      <c r="F811">
        <v>64</v>
      </c>
      <c r="G811" t="s">
        <v>10</v>
      </c>
      <c r="H811" t="s">
        <v>8</v>
      </c>
      <c r="I811" t="s">
        <v>30</v>
      </c>
      <c r="J811" t="s">
        <v>41</v>
      </c>
      <c r="K811" t="s">
        <v>22</v>
      </c>
      <c r="L811">
        <v>5</v>
      </c>
      <c r="M811" s="12">
        <v>13749</v>
      </c>
      <c r="N811" s="12">
        <v>10999.2</v>
      </c>
      <c r="O811">
        <v>8</v>
      </c>
      <c r="P811" s="12">
        <v>63245.4</v>
      </c>
      <c r="Q811" s="12">
        <v>54996</v>
      </c>
      <c r="R811" s="12">
        <v>8249.4000000000015</v>
      </c>
      <c r="S811" t="s">
        <v>113</v>
      </c>
      <c r="T811" t="s">
        <v>107</v>
      </c>
      <c r="U811" t="s">
        <v>1196</v>
      </c>
    </row>
    <row r="812" spans="1:21" x14ac:dyDescent="0.25">
      <c r="A812" t="s">
        <v>2582</v>
      </c>
      <c r="B812" s="8">
        <v>45725</v>
      </c>
      <c r="C812" t="s">
        <v>3293</v>
      </c>
      <c r="D812" t="s">
        <v>662</v>
      </c>
      <c r="E812" t="s">
        <v>198</v>
      </c>
      <c r="F812">
        <v>57</v>
      </c>
      <c r="G812" t="s">
        <v>9</v>
      </c>
      <c r="H812" t="s">
        <v>8</v>
      </c>
      <c r="I812" t="s">
        <v>55</v>
      </c>
      <c r="J812" t="s">
        <v>65</v>
      </c>
      <c r="K812" t="s">
        <v>64</v>
      </c>
      <c r="L812">
        <v>2</v>
      </c>
      <c r="M812" s="12">
        <v>80</v>
      </c>
      <c r="N812" s="12">
        <v>56</v>
      </c>
      <c r="O812">
        <v>4</v>
      </c>
      <c r="P812" s="12">
        <v>153.6</v>
      </c>
      <c r="Q812" s="12">
        <v>112</v>
      </c>
      <c r="R812" s="12">
        <v>41.599999999999994</v>
      </c>
      <c r="S812" t="s">
        <v>1246</v>
      </c>
      <c r="T812" t="s">
        <v>108</v>
      </c>
      <c r="U812" t="s">
        <v>1196</v>
      </c>
    </row>
    <row r="813" spans="1:21" x14ac:dyDescent="0.25">
      <c r="A813" t="s">
        <v>2583</v>
      </c>
      <c r="B813" s="8">
        <v>45683</v>
      </c>
      <c r="C813" t="s">
        <v>2424</v>
      </c>
      <c r="D813" t="s">
        <v>536</v>
      </c>
      <c r="E813" t="s">
        <v>198</v>
      </c>
      <c r="F813">
        <v>59</v>
      </c>
      <c r="G813" t="s">
        <v>2</v>
      </c>
      <c r="H813" t="s">
        <v>3</v>
      </c>
      <c r="I813" t="s">
        <v>53</v>
      </c>
      <c r="J813" t="s">
        <v>48</v>
      </c>
      <c r="K813" t="s">
        <v>43</v>
      </c>
      <c r="L813">
        <v>4</v>
      </c>
      <c r="M813" s="12">
        <v>6499</v>
      </c>
      <c r="N813" s="12">
        <v>4549.2999999999993</v>
      </c>
      <c r="O813">
        <v>4</v>
      </c>
      <c r="P813" s="12">
        <v>24956.16</v>
      </c>
      <c r="Q813" s="12">
        <v>18197.199999999997</v>
      </c>
      <c r="R813" s="12">
        <v>6758.9600000000028</v>
      </c>
      <c r="S813" t="s">
        <v>113</v>
      </c>
      <c r="T813" t="s">
        <v>107</v>
      </c>
      <c r="U813" t="s">
        <v>1207</v>
      </c>
    </row>
    <row r="814" spans="1:21" x14ac:dyDescent="0.25">
      <c r="A814" t="s">
        <v>2585</v>
      </c>
      <c r="B814" s="8">
        <v>46018</v>
      </c>
      <c r="C814" t="s">
        <v>2116</v>
      </c>
      <c r="D814" t="s">
        <v>1025</v>
      </c>
      <c r="E814" t="s">
        <v>218</v>
      </c>
      <c r="F814">
        <v>27</v>
      </c>
      <c r="G814" t="s">
        <v>4</v>
      </c>
      <c r="H814" t="s">
        <v>3</v>
      </c>
      <c r="I814" t="s">
        <v>34</v>
      </c>
      <c r="J814" t="s">
        <v>137</v>
      </c>
      <c r="K814" t="s">
        <v>22</v>
      </c>
      <c r="L814">
        <v>2</v>
      </c>
      <c r="M814" s="12">
        <v>6900</v>
      </c>
      <c r="N814" s="12">
        <v>5727</v>
      </c>
      <c r="O814">
        <v>18</v>
      </c>
      <c r="P814" s="12">
        <v>11316</v>
      </c>
      <c r="Q814" s="12">
        <v>11454</v>
      </c>
      <c r="R814" s="12">
        <v>-138</v>
      </c>
      <c r="S814" t="s">
        <v>113</v>
      </c>
      <c r="T814" t="s">
        <v>107</v>
      </c>
      <c r="U814" t="s">
        <v>1201</v>
      </c>
    </row>
    <row r="815" spans="1:21" x14ac:dyDescent="0.25">
      <c r="A815" t="s">
        <v>2586</v>
      </c>
      <c r="B815" s="8">
        <v>45851</v>
      </c>
      <c r="C815" t="s">
        <v>1625</v>
      </c>
      <c r="D815" t="s">
        <v>615</v>
      </c>
      <c r="E815" t="s">
        <v>198</v>
      </c>
      <c r="F815">
        <v>44</v>
      </c>
      <c r="G815" t="s">
        <v>290</v>
      </c>
      <c r="H815" t="s">
        <v>3</v>
      </c>
      <c r="I815" t="s">
        <v>57</v>
      </c>
      <c r="J815" t="s">
        <v>67</v>
      </c>
      <c r="K815" t="s">
        <v>64</v>
      </c>
      <c r="L815">
        <v>5</v>
      </c>
      <c r="M815" s="12">
        <v>150</v>
      </c>
      <c r="N815" s="12">
        <v>97.5</v>
      </c>
      <c r="O815">
        <v>1</v>
      </c>
      <c r="P815" s="12">
        <v>742.5</v>
      </c>
      <c r="Q815" s="12">
        <v>487.5</v>
      </c>
      <c r="R815" s="12">
        <v>255</v>
      </c>
      <c r="S815" t="s">
        <v>1246</v>
      </c>
      <c r="T815" t="s">
        <v>107</v>
      </c>
      <c r="U815" t="s">
        <v>1201</v>
      </c>
    </row>
    <row r="816" spans="1:21" x14ac:dyDescent="0.25">
      <c r="A816" t="s">
        <v>2588</v>
      </c>
      <c r="B816" s="8">
        <v>45863</v>
      </c>
      <c r="C816" t="s">
        <v>1462</v>
      </c>
      <c r="D816" t="s">
        <v>520</v>
      </c>
      <c r="E816" t="s">
        <v>198</v>
      </c>
      <c r="F816">
        <v>43</v>
      </c>
      <c r="G816" t="s">
        <v>2</v>
      </c>
      <c r="H816" t="s">
        <v>3</v>
      </c>
      <c r="I816" t="s">
        <v>24</v>
      </c>
      <c r="J816" t="s">
        <v>25</v>
      </c>
      <c r="K816" t="s">
        <v>22</v>
      </c>
      <c r="L816">
        <v>1</v>
      </c>
      <c r="M816" s="12">
        <v>35800</v>
      </c>
      <c r="N816" s="12">
        <v>28640</v>
      </c>
      <c r="O816">
        <v>5</v>
      </c>
      <c r="P816" s="12">
        <v>34010</v>
      </c>
      <c r="Q816" s="12">
        <v>28640</v>
      </c>
      <c r="R816" s="12">
        <v>5370</v>
      </c>
      <c r="S816" t="s">
        <v>113</v>
      </c>
      <c r="T816" t="s">
        <v>108</v>
      </c>
      <c r="U816" t="s">
        <v>1203</v>
      </c>
    </row>
    <row r="817" spans="1:21" x14ac:dyDescent="0.25">
      <c r="A817" t="s">
        <v>2589</v>
      </c>
      <c r="B817" s="8">
        <v>45963</v>
      </c>
      <c r="C817" t="s">
        <v>2424</v>
      </c>
      <c r="D817" t="s">
        <v>536</v>
      </c>
      <c r="E817" t="s">
        <v>198</v>
      </c>
      <c r="F817">
        <v>59</v>
      </c>
      <c r="G817" t="s">
        <v>2</v>
      </c>
      <c r="H817" t="s">
        <v>3</v>
      </c>
      <c r="I817" t="s">
        <v>61</v>
      </c>
      <c r="J817" t="s">
        <v>146</v>
      </c>
      <c r="K817" t="s">
        <v>64</v>
      </c>
      <c r="L817">
        <v>4</v>
      </c>
      <c r="M817" s="12">
        <v>250</v>
      </c>
      <c r="N817" s="12">
        <v>155</v>
      </c>
      <c r="O817">
        <v>7</v>
      </c>
      <c r="P817" s="12">
        <v>929.99999999999989</v>
      </c>
      <c r="Q817" s="12">
        <v>620</v>
      </c>
      <c r="R817" s="12">
        <v>309.99999999999989</v>
      </c>
      <c r="S817" t="s">
        <v>1246</v>
      </c>
      <c r="T817" t="s">
        <v>108</v>
      </c>
      <c r="U817" t="s">
        <v>1201</v>
      </c>
    </row>
    <row r="818" spans="1:21" x14ac:dyDescent="0.25">
      <c r="A818" t="s">
        <v>2590</v>
      </c>
      <c r="B818" s="8">
        <v>45795</v>
      </c>
      <c r="C818" t="s">
        <v>5082</v>
      </c>
      <c r="D818" t="s">
        <v>628</v>
      </c>
      <c r="E818" t="s">
        <v>198</v>
      </c>
      <c r="F818">
        <v>42</v>
      </c>
      <c r="G818" t="s">
        <v>16</v>
      </c>
      <c r="H818" t="s">
        <v>15</v>
      </c>
      <c r="I818" t="s">
        <v>34</v>
      </c>
      <c r="J818" t="s">
        <v>137</v>
      </c>
      <c r="K818" t="s">
        <v>22</v>
      </c>
      <c r="L818">
        <v>4</v>
      </c>
      <c r="M818" s="12">
        <v>6900</v>
      </c>
      <c r="N818" s="12">
        <v>5727</v>
      </c>
      <c r="O818">
        <v>6</v>
      </c>
      <c r="P818" s="12">
        <v>25944</v>
      </c>
      <c r="Q818" s="12">
        <v>22908</v>
      </c>
      <c r="R818" s="12">
        <v>3036</v>
      </c>
      <c r="S818" t="s">
        <v>113</v>
      </c>
      <c r="T818" t="s">
        <v>108</v>
      </c>
      <c r="U818" t="s">
        <v>1203</v>
      </c>
    </row>
    <row r="819" spans="1:21" x14ac:dyDescent="0.25">
      <c r="A819" t="s">
        <v>2591</v>
      </c>
      <c r="B819" s="8">
        <v>45774</v>
      </c>
      <c r="C819" t="s">
        <v>3606</v>
      </c>
      <c r="D819" t="s">
        <v>1138</v>
      </c>
      <c r="E819" t="s">
        <v>198</v>
      </c>
      <c r="F819">
        <v>20</v>
      </c>
      <c r="G819" t="s">
        <v>14</v>
      </c>
      <c r="H819" t="s">
        <v>15</v>
      </c>
      <c r="I819" t="s">
        <v>45</v>
      </c>
      <c r="J819" t="s">
        <v>46</v>
      </c>
      <c r="K819" t="s">
        <v>43</v>
      </c>
      <c r="L819">
        <v>1</v>
      </c>
      <c r="M819" s="12">
        <v>11999</v>
      </c>
      <c r="N819" s="12">
        <v>8999.25</v>
      </c>
      <c r="O819">
        <v>10</v>
      </c>
      <c r="P819" s="12">
        <v>10799.1</v>
      </c>
      <c r="Q819" s="12">
        <v>8999.25</v>
      </c>
      <c r="R819" s="12">
        <v>1799.8500000000004</v>
      </c>
      <c r="S819" t="s">
        <v>1246</v>
      </c>
      <c r="T819" t="s">
        <v>107</v>
      </c>
      <c r="U819" t="s">
        <v>1209</v>
      </c>
    </row>
    <row r="820" spans="1:21" x14ac:dyDescent="0.25">
      <c r="A820" t="s">
        <v>2592</v>
      </c>
      <c r="B820" s="8">
        <v>45765</v>
      </c>
      <c r="C820" t="s">
        <v>3929</v>
      </c>
      <c r="D820" t="s">
        <v>953</v>
      </c>
      <c r="E820" t="s">
        <v>198</v>
      </c>
      <c r="F820">
        <v>51</v>
      </c>
      <c r="G820" t="s">
        <v>289</v>
      </c>
      <c r="H820" t="s">
        <v>3</v>
      </c>
      <c r="I820" t="s">
        <v>30</v>
      </c>
      <c r="J820" t="s">
        <v>41</v>
      </c>
      <c r="K820" t="s">
        <v>22</v>
      </c>
      <c r="L820">
        <v>5</v>
      </c>
      <c r="M820" s="12">
        <v>13749</v>
      </c>
      <c r="N820" s="12">
        <v>10999.2</v>
      </c>
      <c r="O820">
        <v>6</v>
      </c>
      <c r="P820" s="12">
        <v>64620.299999999996</v>
      </c>
      <c r="Q820" s="12">
        <v>54996</v>
      </c>
      <c r="R820" s="12">
        <v>9624.2999999999956</v>
      </c>
      <c r="S820" t="s">
        <v>1246</v>
      </c>
      <c r="T820" t="s">
        <v>111</v>
      </c>
      <c r="U820" t="s">
        <v>1211</v>
      </c>
    </row>
    <row r="821" spans="1:21" x14ac:dyDescent="0.25">
      <c r="A821" t="s">
        <v>2593</v>
      </c>
      <c r="B821" s="8">
        <v>45972</v>
      </c>
      <c r="C821" t="s">
        <v>1557</v>
      </c>
      <c r="D821" t="s">
        <v>889</v>
      </c>
      <c r="E821" t="s">
        <v>218</v>
      </c>
      <c r="F821">
        <v>31</v>
      </c>
      <c r="G821" t="s">
        <v>9</v>
      </c>
      <c r="H821" t="s">
        <v>8</v>
      </c>
      <c r="I821" t="s">
        <v>61</v>
      </c>
      <c r="J821" t="s">
        <v>146</v>
      </c>
      <c r="K821" t="s">
        <v>64</v>
      </c>
      <c r="L821">
        <v>1</v>
      </c>
      <c r="M821" s="12">
        <v>250</v>
      </c>
      <c r="N821" s="12">
        <v>155</v>
      </c>
      <c r="O821">
        <v>8</v>
      </c>
      <c r="P821" s="12">
        <v>230</v>
      </c>
      <c r="Q821" s="12">
        <v>155</v>
      </c>
      <c r="R821" s="12">
        <v>75</v>
      </c>
      <c r="S821" t="s">
        <v>1246</v>
      </c>
      <c r="T821" t="s">
        <v>107</v>
      </c>
      <c r="U821" t="s">
        <v>1198</v>
      </c>
    </row>
    <row r="822" spans="1:21" x14ac:dyDescent="0.25">
      <c r="A822" t="s">
        <v>2594</v>
      </c>
      <c r="B822" s="8">
        <v>46013</v>
      </c>
      <c r="C822" t="s">
        <v>2415</v>
      </c>
      <c r="D822" t="s">
        <v>427</v>
      </c>
      <c r="E822" t="s">
        <v>218</v>
      </c>
      <c r="F822">
        <v>26</v>
      </c>
      <c r="G822" t="s">
        <v>17</v>
      </c>
      <c r="H822" t="s">
        <v>15</v>
      </c>
      <c r="I822" t="s">
        <v>63</v>
      </c>
      <c r="J822" t="s">
        <v>77</v>
      </c>
      <c r="K822" t="s">
        <v>64</v>
      </c>
      <c r="L822">
        <v>2</v>
      </c>
      <c r="M822" s="12">
        <v>650</v>
      </c>
      <c r="N822" s="12">
        <v>468</v>
      </c>
      <c r="O822">
        <v>4</v>
      </c>
      <c r="P822" s="12">
        <v>1248</v>
      </c>
      <c r="Q822" s="12">
        <v>936</v>
      </c>
      <c r="R822" s="12">
        <v>312</v>
      </c>
      <c r="S822" t="s">
        <v>1246</v>
      </c>
      <c r="T822" t="s">
        <v>110</v>
      </c>
      <c r="U822" t="s">
        <v>1207</v>
      </c>
    </row>
    <row r="823" spans="1:21" x14ac:dyDescent="0.25">
      <c r="A823" t="s">
        <v>2596</v>
      </c>
      <c r="B823" s="8">
        <v>45666</v>
      </c>
      <c r="C823" t="s">
        <v>2383</v>
      </c>
      <c r="D823" t="s">
        <v>1162</v>
      </c>
      <c r="E823" t="s">
        <v>218</v>
      </c>
      <c r="F823">
        <v>50</v>
      </c>
      <c r="G823" t="s">
        <v>4</v>
      </c>
      <c r="H823" t="s">
        <v>3</v>
      </c>
      <c r="I823" t="s">
        <v>36</v>
      </c>
      <c r="J823" t="s">
        <v>136</v>
      </c>
      <c r="K823" t="s">
        <v>22</v>
      </c>
      <c r="L823">
        <v>3</v>
      </c>
      <c r="M823" s="12">
        <v>3590</v>
      </c>
      <c r="N823" s="12">
        <v>2333.5</v>
      </c>
      <c r="O823">
        <v>9</v>
      </c>
      <c r="P823" s="12">
        <v>9800.7000000000007</v>
      </c>
      <c r="Q823" s="12">
        <v>7000.5</v>
      </c>
      <c r="R823" s="12">
        <v>2800.2000000000007</v>
      </c>
      <c r="S823" t="s">
        <v>113</v>
      </c>
      <c r="T823" t="s">
        <v>108</v>
      </c>
      <c r="U823" t="s">
        <v>1194</v>
      </c>
    </row>
    <row r="824" spans="1:21" x14ac:dyDescent="0.25">
      <c r="A824" t="s">
        <v>2598</v>
      </c>
      <c r="B824" s="8">
        <v>45667</v>
      </c>
      <c r="C824" t="s">
        <v>1677</v>
      </c>
      <c r="D824" t="s">
        <v>988</v>
      </c>
      <c r="E824" t="s">
        <v>218</v>
      </c>
      <c r="F824">
        <v>49</v>
      </c>
      <c r="G824" t="s">
        <v>7</v>
      </c>
      <c r="H824" t="s">
        <v>8</v>
      </c>
      <c r="I824" t="s">
        <v>24</v>
      </c>
      <c r="J824" t="s">
        <v>25</v>
      </c>
      <c r="K824" t="s">
        <v>22</v>
      </c>
      <c r="L824">
        <v>3</v>
      </c>
      <c r="M824" s="12">
        <v>35800</v>
      </c>
      <c r="N824" s="12">
        <v>28640</v>
      </c>
      <c r="O824">
        <v>5</v>
      </c>
      <c r="P824" s="12">
        <v>102030</v>
      </c>
      <c r="Q824" s="12">
        <v>85920</v>
      </c>
      <c r="R824" s="12">
        <v>16110</v>
      </c>
      <c r="S824" t="s">
        <v>113</v>
      </c>
      <c r="T824" t="s">
        <v>108</v>
      </c>
      <c r="U824" t="s">
        <v>1211</v>
      </c>
    </row>
    <row r="825" spans="1:21" x14ac:dyDescent="0.25">
      <c r="A825" t="s">
        <v>2599</v>
      </c>
      <c r="B825" s="8">
        <v>45679</v>
      </c>
      <c r="C825" t="s">
        <v>2804</v>
      </c>
      <c r="D825" t="s">
        <v>1070</v>
      </c>
      <c r="E825" t="s">
        <v>198</v>
      </c>
      <c r="F825">
        <v>34</v>
      </c>
      <c r="G825" t="s">
        <v>5</v>
      </c>
      <c r="H825" t="s">
        <v>3</v>
      </c>
      <c r="I825" t="s">
        <v>38</v>
      </c>
      <c r="J825" t="s">
        <v>37</v>
      </c>
      <c r="K825" t="s">
        <v>22</v>
      </c>
      <c r="L825">
        <v>5</v>
      </c>
      <c r="M825" s="12">
        <v>1650</v>
      </c>
      <c r="N825" s="12">
        <v>990</v>
      </c>
      <c r="O825">
        <v>8</v>
      </c>
      <c r="P825" s="12">
        <v>7590</v>
      </c>
      <c r="Q825" s="12">
        <v>4950</v>
      </c>
      <c r="R825" s="12">
        <v>2640</v>
      </c>
      <c r="S825" t="s">
        <v>1246</v>
      </c>
      <c r="T825" t="s">
        <v>110</v>
      </c>
      <c r="U825" t="s">
        <v>1211</v>
      </c>
    </row>
    <row r="826" spans="1:21" x14ac:dyDescent="0.25">
      <c r="A826" t="s">
        <v>2601</v>
      </c>
      <c r="B826" s="8">
        <v>45673</v>
      </c>
      <c r="C826" t="s">
        <v>2265</v>
      </c>
      <c r="D826" t="s">
        <v>878</v>
      </c>
      <c r="E826" t="s">
        <v>218</v>
      </c>
      <c r="F826">
        <v>34</v>
      </c>
      <c r="G826" t="s">
        <v>17</v>
      </c>
      <c r="H826" t="s">
        <v>15</v>
      </c>
      <c r="I826" t="s">
        <v>49</v>
      </c>
      <c r="J826" t="s">
        <v>56</v>
      </c>
      <c r="K826" t="s">
        <v>43</v>
      </c>
      <c r="L826">
        <v>3</v>
      </c>
      <c r="M826" s="12">
        <v>31999</v>
      </c>
      <c r="N826" s="12">
        <v>25599.200000000001</v>
      </c>
      <c r="O826">
        <v>4</v>
      </c>
      <c r="P826" s="12">
        <v>92157.119999999995</v>
      </c>
      <c r="Q826" s="12">
        <v>76797.600000000006</v>
      </c>
      <c r="R826" s="12">
        <v>15359.51999999999</v>
      </c>
      <c r="S826" t="s">
        <v>1246</v>
      </c>
      <c r="T826" t="s">
        <v>108</v>
      </c>
      <c r="U826" t="s">
        <v>1196</v>
      </c>
    </row>
    <row r="827" spans="1:21" x14ac:dyDescent="0.25">
      <c r="A827" t="s">
        <v>2602</v>
      </c>
      <c r="B827" s="8">
        <v>45723</v>
      </c>
      <c r="C827" t="s">
        <v>1690</v>
      </c>
      <c r="D827" t="s">
        <v>1006</v>
      </c>
      <c r="E827" t="s">
        <v>218</v>
      </c>
      <c r="F827">
        <v>44</v>
      </c>
      <c r="G827" t="s">
        <v>7</v>
      </c>
      <c r="H827" t="s">
        <v>8</v>
      </c>
      <c r="I827" t="s">
        <v>34</v>
      </c>
      <c r="J827" t="s">
        <v>137</v>
      </c>
      <c r="K827" t="s">
        <v>22</v>
      </c>
      <c r="L827">
        <v>4</v>
      </c>
      <c r="M827" s="12">
        <v>6900</v>
      </c>
      <c r="N827" s="12">
        <v>5727</v>
      </c>
      <c r="O827">
        <v>6</v>
      </c>
      <c r="P827" s="12">
        <v>25944</v>
      </c>
      <c r="Q827" s="12">
        <v>22908</v>
      </c>
      <c r="R827" s="12">
        <v>3036</v>
      </c>
      <c r="S827" t="s">
        <v>1246</v>
      </c>
      <c r="T827" t="s">
        <v>108</v>
      </c>
      <c r="U827" t="s">
        <v>1201</v>
      </c>
    </row>
    <row r="828" spans="1:21" x14ac:dyDescent="0.25">
      <c r="A828" t="s">
        <v>2603</v>
      </c>
      <c r="B828" s="8">
        <v>45927</v>
      </c>
      <c r="C828" t="s">
        <v>2611</v>
      </c>
      <c r="D828" t="s">
        <v>674</v>
      </c>
      <c r="E828" t="s">
        <v>218</v>
      </c>
      <c r="F828">
        <v>50</v>
      </c>
      <c r="G828" t="s">
        <v>11</v>
      </c>
      <c r="H828" t="s">
        <v>12</v>
      </c>
      <c r="I828" t="s">
        <v>61</v>
      </c>
      <c r="J828" t="s">
        <v>146</v>
      </c>
      <c r="K828" t="s">
        <v>64</v>
      </c>
      <c r="L828">
        <v>4</v>
      </c>
      <c r="M828" s="12">
        <v>250</v>
      </c>
      <c r="N828" s="12">
        <v>155</v>
      </c>
      <c r="O828">
        <v>0</v>
      </c>
      <c r="P828" s="12">
        <v>1000</v>
      </c>
      <c r="Q828" s="12">
        <v>620</v>
      </c>
      <c r="R828" s="12">
        <v>380</v>
      </c>
      <c r="S828" t="s">
        <v>1246</v>
      </c>
      <c r="T828" t="s">
        <v>108</v>
      </c>
      <c r="U828" t="s">
        <v>1196</v>
      </c>
    </row>
    <row r="829" spans="1:21" x14ac:dyDescent="0.25">
      <c r="A829" t="s">
        <v>2604</v>
      </c>
      <c r="B829" s="8">
        <v>45882</v>
      </c>
      <c r="C829" t="s">
        <v>1899</v>
      </c>
      <c r="D829" t="s">
        <v>587</v>
      </c>
      <c r="E829" t="s">
        <v>218</v>
      </c>
      <c r="F829">
        <v>39</v>
      </c>
      <c r="G829" t="s">
        <v>11</v>
      </c>
      <c r="H829" t="s">
        <v>12</v>
      </c>
      <c r="I829" t="s">
        <v>26</v>
      </c>
      <c r="J829" t="s">
        <v>27</v>
      </c>
      <c r="K829" t="s">
        <v>22</v>
      </c>
      <c r="L829">
        <v>2</v>
      </c>
      <c r="M829" s="12">
        <v>27499</v>
      </c>
      <c r="N829" s="12">
        <v>23374.149999999998</v>
      </c>
      <c r="O829">
        <v>5</v>
      </c>
      <c r="P829" s="12">
        <v>52248.1</v>
      </c>
      <c r="Q829" s="12">
        <v>46748.299999999996</v>
      </c>
      <c r="R829" s="12">
        <v>5499.8000000000029</v>
      </c>
      <c r="S829" t="s">
        <v>113</v>
      </c>
      <c r="T829" t="s">
        <v>108</v>
      </c>
      <c r="U829" t="s">
        <v>1205</v>
      </c>
    </row>
    <row r="830" spans="1:21" x14ac:dyDescent="0.25">
      <c r="A830" t="s">
        <v>2605</v>
      </c>
      <c r="B830" s="8">
        <v>45893</v>
      </c>
      <c r="C830" t="s">
        <v>2433</v>
      </c>
      <c r="D830" t="s">
        <v>779</v>
      </c>
      <c r="E830" t="s">
        <v>218</v>
      </c>
      <c r="F830">
        <v>42</v>
      </c>
      <c r="G830" t="s">
        <v>11</v>
      </c>
      <c r="H830" t="s">
        <v>12</v>
      </c>
      <c r="I830" t="s">
        <v>28</v>
      </c>
      <c r="J830" t="s">
        <v>35</v>
      </c>
      <c r="K830" t="s">
        <v>22</v>
      </c>
      <c r="L830">
        <v>2</v>
      </c>
      <c r="M830" s="12">
        <v>16499</v>
      </c>
      <c r="N830" s="12">
        <v>14519.12</v>
      </c>
      <c r="O830">
        <v>4</v>
      </c>
      <c r="P830" s="12">
        <v>31678.079999999998</v>
      </c>
      <c r="Q830" s="12">
        <v>29038.240000000002</v>
      </c>
      <c r="R830" s="12">
        <v>2639.8399999999965</v>
      </c>
      <c r="S830" t="s">
        <v>1246</v>
      </c>
      <c r="T830" t="s">
        <v>107</v>
      </c>
      <c r="U830" t="s">
        <v>1201</v>
      </c>
    </row>
    <row r="831" spans="1:21" x14ac:dyDescent="0.25">
      <c r="A831" t="s">
        <v>2606</v>
      </c>
      <c r="B831" s="8">
        <v>45803</v>
      </c>
      <c r="C831" t="s">
        <v>4601</v>
      </c>
      <c r="D831" t="s">
        <v>1147</v>
      </c>
      <c r="E831" t="s">
        <v>218</v>
      </c>
      <c r="F831">
        <v>39</v>
      </c>
      <c r="G831" t="s">
        <v>9</v>
      </c>
      <c r="H831" t="s">
        <v>8</v>
      </c>
      <c r="I831" t="s">
        <v>61</v>
      </c>
      <c r="J831" t="s">
        <v>146</v>
      </c>
      <c r="K831" t="s">
        <v>64</v>
      </c>
      <c r="L831">
        <v>1</v>
      </c>
      <c r="M831" s="12">
        <v>250</v>
      </c>
      <c r="N831" s="12">
        <v>155</v>
      </c>
      <c r="O831">
        <v>13</v>
      </c>
      <c r="P831" s="12">
        <v>217.5</v>
      </c>
      <c r="Q831" s="12">
        <v>155</v>
      </c>
      <c r="R831" s="12">
        <v>62.5</v>
      </c>
      <c r="S831" t="s">
        <v>113</v>
      </c>
      <c r="T831" t="s">
        <v>108</v>
      </c>
      <c r="U831" t="s">
        <v>1205</v>
      </c>
    </row>
    <row r="832" spans="1:21" x14ac:dyDescent="0.25">
      <c r="A832" t="s">
        <v>2608</v>
      </c>
      <c r="B832" s="8">
        <v>45853</v>
      </c>
      <c r="C832" t="s">
        <v>2419</v>
      </c>
      <c r="D832" t="s">
        <v>491</v>
      </c>
      <c r="E832" t="s">
        <v>198</v>
      </c>
      <c r="F832">
        <v>60</v>
      </c>
      <c r="G832" t="s">
        <v>289</v>
      </c>
      <c r="H832" t="s">
        <v>3</v>
      </c>
      <c r="I832" t="s">
        <v>21</v>
      </c>
      <c r="J832" t="s">
        <v>23</v>
      </c>
      <c r="K832" t="s">
        <v>22</v>
      </c>
      <c r="L832">
        <v>5</v>
      </c>
      <c r="M832" s="12">
        <v>54999</v>
      </c>
      <c r="N832" s="12">
        <v>45099.18</v>
      </c>
      <c r="O832">
        <v>5</v>
      </c>
      <c r="P832" s="12">
        <v>261245.25</v>
      </c>
      <c r="Q832" s="12">
        <v>225495.9</v>
      </c>
      <c r="R832" s="12">
        <v>35749.350000000006</v>
      </c>
      <c r="S832" t="s">
        <v>1246</v>
      </c>
      <c r="T832" t="s">
        <v>107</v>
      </c>
      <c r="U832" t="s">
        <v>1194</v>
      </c>
    </row>
    <row r="833" spans="1:21" x14ac:dyDescent="0.25">
      <c r="A833" t="s">
        <v>2610</v>
      </c>
      <c r="B833" s="8">
        <v>45957</v>
      </c>
      <c r="C833" t="s">
        <v>1285</v>
      </c>
      <c r="D833" t="s">
        <v>694</v>
      </c>
      <c r="E833" t="s">
        <v>218</v>
      </c>
      <c r="F833">
        <v>28</v>
      </c>
      <c r="G833" t="s">
        <v>7</v>
      </c>
      <c r="H833" t="s">
        <v>8</v>
      </c>
      <c r="I833" t="s">
        <v>61</v>
      </c>
      <c r="J833" t="s">
        <v>146</v>
      </c>
      <c r="K833" t="s">
        <v>64</v>
      </c>
      <c r="L833">
        <v>3</v>
      </c>
      <c r="M833" s="12">
        <v>250</v>
      </c>
      <c r="N833" s="12">
        <v>155</v>
      </c>
      <c r="O833">
        <v>2</v>
      </c>
      <c r="P833" s="12">
        <v>735</v>
      </c>
      <c r="Q833" s="12">
        <v>465</v>
      </c>
      <c r="R833" s="12">
        <v>270</v>
      </c>
      <c r="S833" t="s">
        <v>1246</v>
      </c>
      <c r="T833" t="s">
        <v>109</v>
      </c>
      <c r="U833" t="s">
        <v>1194</v>
      </c>
    </row>
    <row r="834" spans="1:21" x14ac:dyDescent="0.25">
      <c r="A834" t="s">
        <v>2612</v>
      </c>
      <c r="B834" s="8">
        <v>45938</v>
      </c>
      <c r="C834" t="s">
        <v>1474</v>
      </c>
      <c r="D834" t="s">
        <v>364</v>
      </c>
      <c r="E834" t="s">
        <v>198</v>
      </c>
      <c r="F834">
        <v>61</v>
      </c>
      <c r="G834" t="s">
        <v>2</v>
      </c>
      <c r="H834" t="s">
        <v>3</v>
      </c>
      <c r="I834" t="s">
        <v>51</v>
      </c>
      <c r="J834" t="s">
        <v>54</v>
      </c>
      <c r="K834" t="s">
        <v>43</v>
      </c>
      <c r="L834">
        <v>5</v>
      </c>
      <c r="M834" s="12">
        <v>27499</v>
      </c>
      <c r="N834" s="12">
        <v>21724.210000000003</v>
      </c>
      <c r="O834">
        <v>10</v>
      </c>
      <c r="P834" s="12">
        <v>123745.5</v>
      </c>
      <c r="Q834" s="12">
        <v>108621.05000000002</v>
      </c>
      <c r="R834" s="12">
        <v>15124.449999999983</v>
      </c>
      <c r="S834" t="s">
        <v>113</v>
      </c>
      <c r="T834" t="s">
        <v>108</v>
      </c>
      <c r="U834" t="s">
        <v>1201</v>
      </c>
    </row>
    <row r="835" spans="1:21" x14ac:dyDescent="0.25">
      <c r="A835" t="s">
        <v>2613</v>
      </c>
      <c r="B835" s="8">
        <v>45894</v>
      </c>
      <c r="C835" t="s">
        <v>3398</v>
      </c>
      <c r="D835" t="s">
        <v>641</v>
      </c>
      <c r="E835" t="s">
        <v>198</v>
      </c>
      <c r="F835">
        <v>45</v>
      </c>
      <c r="G835" t="s">
        <v>17</v>
      </c>
      <c r="H835" t="s">
        <v>15</v>
      </c>
      <c r="I835" t="s">
        <v>36</v>
      </c>
      <c r="J835" t="s">
        <v>136</v>
      </c>
      <c r="K835" t="s">
        <v>22</v>
      </c>
      <c r="L835">
        <v>2</v>
      </c>
      <c r="M835" s="12">
        <v>3590</v>
      </c>
      <c r="N835" s="12">
        <v>2333.5</v>
      </c>
      <c r="O835">
        <v>5</v>
      </c>
      <c r="P835" s="12">
        <v>6821</v>
      </c>
      <c r="Q835" s="12">
        <v>4667</v>
      </c>
      <c r="R835" s="12">
        <v>2154</v>
      </c>
      <c r="S835" t="s">
        <v>113</v>
      </c>
      <c r="T835" t="s">
        <v>108</v>
      </c>
      <c r="U835" t="s">
        <v>1196</v>
      </c>
    </row>
    <row r="836" spans="1:21" x14ac:dyDescent="0.25">
      <c r="A836" t="s">
        <v>2614</v>
      </c>
      <c r="B836" s="8">
        <v>45668</v>
      </c>
      <c r="C836" t="s">
        <v>2171</v>
      </c>
      <c r="D836" t="s">
        <v>1053</v>
      </c>
      <c r="E836" t="s">
        <v>198</v>
      </c>
      <c r="F836">
        <v>29</v>
      </c>
      <c r="G836" t="s">
        <v>2</v>
      </c>
      <c r="H836" t="s">
        <v>3</v>
      </c>
      <c r="I836" t="s">
        <v>40</v>
      </c>
      <c r="J836" t="s">
        <v>39</v>
      </c>
      <c r="K836" t="s">
        <v>22</v>
      </c>
      <c r="L836">
        <v>2</v>
      </c>
      <c r="M836" s="12">
        <v>1100</v>
      </c>
      <c r="N836" s="12">
        <v>715</v>
      </c>
      <c r="O836">
        <v>9</v>
      </c>
      <c r="P836" s="12">
        <v>2002</v>
      </c>
      <c r="Q836" s="12">
        <v>1430</v>
      </c>
      <c r="R836" s="12">
        <v>572</v>
      </c>
      <c r="S836" t="s">
        <v>1246</v>
      </c>
      <c r="T836" t="s">
        <v>110</v>
      </c>
      <c r="U836" t="s">
        <v>1194</v>
      </c>
    </row>
    <row r="837" spans="1:21" x14ac:dyDescent="0.25">
      <c r="A837" t="s">
        <v>2616</v>
      </c>
      <c r="B837" s="8">
        <v>45882</v>
      </c>
      <c r="C837" t="s">
        <v>2154</v>
      </c>
      <c r="D837" t="s">
        <v>828</v>
      </c>
      <c r="E837" t="s">
        <v>218</v>
      </c>
      <c r="F837">
        <v>63</v>
      </c>
      <c r="G837" t="s">
        <v>11</v>
      </c>
      <c r="H837" t="s">
        <v>12</v>
      </c>
      <c r="I837" t="s">
        <v>21</v>
      </c>
      <c r="J837" t="s">
        <v>23</v>
      </c>
      <c r="K837" t="s">
        <v>22</v>
      </c>
      <c r="L837">
        <v>4</v>
      </c>
      <c r="M837" s="12">
        <v>54999</v>
      </c>
      <c r="N837" s="12">
        <v>45099.18</v>
      </c>
      <c r="O837">
        <v>3</v>
      </c>
      <c r="P837" s="12">
        <v>213396.12</v>
      </c>
      <c r="Q837" s="12">
        <v>180396.72</v>
      </c>
      <c r="R837" s="12">
        <v>32999.399999999994</v>
      </c>
      <c r="S837" t="s">
        <v>1249</v>
      </c>
      <c r="T837" t="s">
        <v>107</v>
      </c>
      <c r="U837" t="s">
        <v>1205</v>
      </c>
    </row>
    <row r="838" spans="1:21" x14ac:dyDescent="0.25">
      <c r="A838" t="s">
        <v>2618</v>
      </c>
      <c r="B838" s="8">
        <v>45745</v>
      </c>
      <c r="C838" t="s">
        <v>1429</v>
      </c>
      <c r="D838" t="s">
        <v>552</v>
      </c>
      <c r="E838" t="s">
        <v>218</v>
      </c>
      <c r="F838">
        <v>41</v>
      </c>
      <c r="G838" t="s">
        <v>2</v>
      </c>
      <c r="H838" t="s">
        <v>3</v>
      </c>
      <c r="I838" t="s">
        <v>38</v>
      </c>
      <c r="J838" t="s">
        <v>37</v>
      </c>
      <c r="K838" t="s">
        <v>22</v>
      </c>
      <c r="L838">
        <v>2</v>
      </c>
      <c r="M838" s="12">
        <v>1650</v>
      </c>
      <c r="N838" s="12">
        <v>990</v>
      </c>
      <c r="O838">
        <v>3</v>
      </c>
      <c r="P838" s="12">
        <v>3201</v>
      </c>
      <c r="Q838" s="12">
        <v>1980</v>
      </c>
      <c r="R838" s="12">
        <v>1221</v>
      </c>
      <c r="S838" t="s">
        <v>113</v>
      </c>
      <c r="T838" t="s">
        <v>107</v>
      </c>
      <c r="U838" t="s">
        <v>1203</v>
      </c>
    </row>
    <row r="839" spans="1:21" x14ac:dyDescent="0.25">
      <c r="A839" t="s">
        <v>2619</v>
      </c>
      <c r="B839" s="8">
        <v>45680</v>
      </c>
      <c r="C839" t="s">
        <v>2019</v>
      </c>
      <c r="D839" t="s">
        <v>639</v>
      </c>
      <c r="E839" t="s">
        <v>218</v>
      </c>
      <c r="F839">
        <v>52</v>
      </c>
      <c r="G839" t="s">
        <v>17</v>
      </c>
      <c r="H839" t="s">
        <v>15</v>
      </c>
      <c r="I839" t="s">
        <v>36</v>
      </c>
      <c r="J839" t="s">
        <v>136</v>
      </c>
      <c r="K839" t="s">
        <v>22</v>
      </c>
      <c r="L839">
        <v>5</v>
      </c>
      <c r="M839" s="12">
        <v>3590</v>
      </c>
      <c r="N839" s="12">
        <v>2333.5</v>
      </c>
      <c r="O839">
        <v>8</v>
      </c>
      <c r="P839" s="12">
        <v>16514</v>
      </c>
      <c r="Q839" s="12">
        <v>11667.5</v>
      </c>
      <c r="R839" s="12">
        <v>4846.5</v>
      </c>
      <c r="S839" t="s">
        <v>1246</v>
      </c>
      <c r="T839" t="s">
        <v>111</v>
      </c>
      <c r="U839" t="s">
        <v>1209</v>
      </c>
    </row>
    <row r="840" spans="1:21" x14ac:dyDescent="0.25">
      <c r="A840" t="s">
        <v>2621</v>
      </c>
      <c r="B840" s="8">
        <v>45998</v>
      </c>
      <c r="C840" t="s">
        <v>5091</v>
      </c>
      <c r="D840" t="s">
        <v>717</v>
      </c>
      <c r="E840" t="s">
        <v>198</v>
      </c>
      <c r="F840">
        <v>47</v>
      </c>
      <c r="G840" t="s">
        <v>14</v>
      </c>
      <c r="H840" t="s">
        <v>15</v>
      </c>
      <c r="I840" t="s">
        <v>36</v>
      </c>
      <c r="J840" t="s">
        <v>136</v>
      </c>
      <c r="K840" t="s">
        <v>22</v>
      </c>
      <c r="L840">
        <v>1</v>
      </c>
      <c r="M840" s="12">
        <v>3590</v>
      </c>
      <c r="N840" s="12">
        <v>2333.5</v>
      </c>
      <c r="O840">
        <v>12</v>
      </c>
      <c r="P840" s="12">
        <v>3159.2</v>
      </c>
      <c r="Q840" s="12">
        <v>2333.5</v>
      </c>
      <c r="R840" s="12">
        <v>825.69999999999982</v>
      </c>
      <c r="S840" t="s">
        <v>113</v>
      </c>
      <c r="T840" t="s">
        <v>107</v>
      </c>
      <c r="U840" t="s">
        <v>1198</v>
      </c>
    </row>
    <row r="841" spans="1:21" x14ac:dyDescent="0.25">
      <c r="A841" t="s">
        <v>2623</v>
      </c>
      <c r="B841" s="8">
        <v>45977</v>
      </c>
      <c r="C841" t="s">
        <v>2842</v>
      </c>
      <c r="D841" t="s">
        <v>397</v>
      </c>
      <c r="E841" t="s">
        <v>198</v>
      </c>
      <c r="F841">
        <v>31</v>
      </c>
      <c r="G841" t="s">
        <v>10</v>
      </c>
      <c r="H841" t="s">
        <v>8</v>
      </c>
      <c r="I841" t="s">
        <v>24</v>
      </c>
      <c r="J841" t="s">
        <v>25</v>
      </c>
      <c r="K841" t="s">
        <v>22</v>
      </c>
      <c r="L841">
        <v>4</v>
      </c>
      <c r="M841" s="12">
        <v>35800</v>
      </c>
      <c r="N841" s="12">
        <v>28640</v>
      </c>
      <c r="O841">
        <v>15</v>
      </c>
      <c r="P841" s="12">
        <v>121720</v>
      </c>
      <c r="Q841" s="12">
        <v>114560</v>
      </c>
      <c r="R841" s="12">
        <v>7160</v>
      </c>
      <c r="S841" t="s">
        <v>1246</v>
      </c>
      <c r="T841" t="s">
        <v>107</v>
      </c>
      <c r="U841" t="s">
        <v>1203</v>
      </c>
    </row>
    <row r="842" spans="1:21" x14ac:dyDescent="0.25">
      <c r="A842" t="s">
        <v>2624</v>
      </c>
      <c r="B842" s="8">
        <v>46002</v>
      </c>
      <c r="C842" t="s">
        <v>1582</v>
      </c>
      <c r="D842" t="s">
        <v>824</v>
      </c>
      <c r="E842" t="s">
        <v>198</v>
      </c>
      <c r="F842">
        <v>39</v>
      </c>
      <c r="G842" t="s">
        <v>2</v>
      </c>
      <c r="H842" t="s">
        <v>3</v>
      </c>
      <c r="I842" t="s">
        <v>57</v>
      </c>
      <c r="J842" t="s">
        <v>67</v>
      </c>
      <c r="K842" t="s">
        <v>64</v>
      </c>
      <c r="L842">
        <v>1</v>
      </c>
      <c r="M842" s="12">
        <v>150</v>
      </c>
      <c r="N842" s="12">
        <v>97.5</v>
      </c>
      <c r="O842">
        <v>7</v>
      </c>
      <c r="P842" s="12">
        <v>139.5</v>
      </c>
      <c r="Q842" s="12">
        <v>97.5</v>
      </c>
      <c r="R842" s="12">
        <v>42</v>
      </c>
      <c r="S842" t="s">
        <v>1246</v>
      </c>
      <c r="T842" t="s">
        <v>108</v>
      </c>
      <c r="U842" t="s">
        <v>1196</v>
      </c>
    </row>
    <row r="843" spans="1:21" x14ac:dyDescent="0.25">
      <c r="A843" t="s">
        <v>2626</v>
      </c>
      <c r="B843" s="8">
        <v>45987</v>
      </c>
      <c r="C843" t="s">
        <v>2595</v>
      </c>
      <c r="D843" t="s">
        <v>613</v>
      </c>
      <c r="E843" t="s">
        <v>198</v>
      </c>
      <c r="F843">
        <v>36</v>
      </c>
      <c r="G843" t="s">
        <v>7</v>
      </c>
      <c r="H843" t="s">
        <v>8</v>
      </c>
      <c r="I843" t="s">
        <v>38</v>
      </c>
      <c r="J843" t="s">
        <v>37</v>
      </c>
      <c r="K843" t="s">
        <v>22</v>
      </c>
      <c r="L843">
        <v>4</v>
      </c>
      <c r="M843" s="12">
        <v>1650</v>
      </c>
      <c r="N843" s="12">
        <v>990</v>
      </c>
      <c r="O843">
        <v>12</v>
      </c>
      <c r="P843" s="12">
        <v>5808</v>
      </c>
      <c r="Q843" s="12">
        <v>3960</v>
      </c>
      <c r="R843" s="12">
        <v>1848</v>
      </c>
      <c r="S843" t="s">
        <v>1246</v>
      </c>
      <c r="T843" t="s">
        <v>107</v>
      </c>
      <c r="U843" t="s">
        <v>1207</v>
      </c>
    </row>
    <row r="844" spans="1:21" x14ac:dyDescent="0.25">
      <c r="A844" t="s">
        <v>2628</v>
      </c>
      <c r="B844" s="8">
        <v>45896</v>
      </c>
      <c r="C844" t="s">
        <v>5093</v>
      </c>
      <c r="D844" t="s">
        <v>638</v>
      </c>
      <c r="E844" t="s">
        <v>218</v>
      </c>
      <c r="F844">
        <v>46</v>
      </c>
      <c r="G844" t="s">
        <v>289</v>
      </c>
      <c r="H844" t="s">
        <v>3</v>
      </c>
      <c r="I844" t="s">
        <v>40</v>
      </c>
      <c r="J844" t="s">
        <v>39</v>
      </c>
      <c r="K844" t="s">
        <v>22</v>
      </c>
      <c r="L844">
        <v>4</v>
      </c>
      <c r="M844" s="12">
        <v>1100</v>
      </c>
      <c r="N844" s="12">
        <v>715</v>
      </c>
      <c r="O844">
        <v>8</v>
      </c>
      <c r="P844" s="12">
        <v>4048</v>
      </c>
      <c r="Q844" s="12">
        <v>2860</v>
      </c>
      <c r="R844" s="12">
        <v>1188</v>
      </c>
      <c r="S844" t="s">
        <v>1246</v>
      </c>
      <c r="T844" t="s">
        <v>108</v>
      </c>
      <c r="U844" t="s">
        <v>1194</v>
      </c>
    </row>
    <row r="845" spans="1:21" x14ac:dyDescent="0.25">
      <c r="A845" t="s">
        <v>2629</v>
      </c>
      <c r="B845" s="8">
        <v>45804</v>
      </c>
      <c r="C845" t="s">
        <v>3412</v>
      </c>
      <c r="D845" t="s">
        <v>868</v>
      </c>
      <c r="E845" t="s">
        <v>218</v>
      </c>
      <c r="F845">
        <v>63</v>
      </c>
      <c r="G845" t="s">
        <v>11</v>
      </c>
      <c r="H845" t="s">
        <v>12</v>
      </c>
      <c r="I845" t="s">
        <v>55</v>
      </c>
      <c r="J845" t="s">
        <v>65</v>
      </c>
      <c r="K845" t="s">
        <v>64</v>
      </c>
      <c r="L845">
        <v>1</v>
      </c>
      <c r="M845" s="12">
        <v>80</v>
      </c>
      <c r="N845" s="12">
        <v>56</v>
      </c>
      <c r="O845">
        <v>9</v>
      </c>
      <c r="P845" s="12">
        <v>72.8</v>
      </c>
      <c r="Q845" s="12">
        <v>56</v>
      </c>
      <c r="R845" s="12">
        <v>16.799999999999997</v>
      </c>
      <c r="S845" t="s">
        <v>1246</v>
      </c>
      <c r="T845" t="s">
        <v>109</v>
      </c>
      <c r="U845" t="s">
        <v>1209</v>
      </c>
    </row>
    <row r="846" spans="1:21" x14ac:dyDescent="0.25">
      <c r="A846" t="s">
        <v>2631</v>
      </c>
      <c r="B846" s="8">
        <v>45834</v>
      </c>
      <c r="C846" t="s">
        <v>5092</v>
      </c>
      <c r="D846" t="s">
        <v>496</v>
      </c>
      <c r="E846" t="s">
        <v>198</v>
      </c>
      <c r="F846">
        <v>64</v>
      </c>
      <c r="G846" t="s">
        <v>289</v>
      </c>
      <c r="H846" t="s">
        <v>3</v>
      </c>
      <c r="I846" t="s">
        <v>55</v>
      </c>
      <c r="J846" t="s">
        <v>65</v>
      </c>
      <c r="K846" t="s">
        <v>64</v>
      </c>
      <c r="L846">
        <v>3</v>
      </c>
      <c r="M846" s="12">
        <v>80</v>
      </c>
      <c r="N846" s="12">
        <v>56</v>
      </c>
      <c r="O846">
        <v>11</v>
      </c>
      <c r="P846" s="12">
        <v>213.6</v>
      </c>
      <c r="Q846" s="12">
        <v>168</v>
      </c>
      <c r="R846" s="12">
        <v>45.599999999999994</v>
      </c>
      <c r="S846" t="s">
        <v>1246</v>
      </c>
      <c r="T846" t="s">
        <v>107</v>
      </c>
      <c r="U846" t="s">
        <v>1209</v>
      </c>
    </row>
    <row r="847" spans="1:21" x14ac:dyDescent="0.25">
      <c r="A847" t="s">
        <v>2632</v>
      </c>
      <c r="B847" s="8">
        <v>45738</v>
      </c>
      <c r="C847" t="s">
        <v>4635</v>
      </c>
      <c r="D847" t="s">
        <v>588</v>
      </c>
      <c r="E847" t="s">
        <v>198</v>
      </c>
      <c r="F847">
        <v>55</v>
      </c>
      <c r="G847" t="s">
        <v>289</v>
      </c>
      <c r="H847" t="s">
        <v>3</v>
      </c>
      <c r="I847" t="s">
        <v>63</v>
      </c>
      <c r="J847" t="s">
        <v>77</v>
      </c>
      <c r="K847" t="s">
        <v>64</v>
      </c>
      <c r="L847">
        <v>4</v>
      </c>
      <c r="M847" s="12">
        <v>650</v>
      </c>
      <c r="N847" s="12">
        <v>468</v>
      </c>
      <c r="O847">
        <v>1</v>
      </c>
      <c r="P847" s="12">
        <v>2574</v>
      </c>
      <c r="Q847" s="12">
        <v>1872</v>
      </c>
      <c r="R847" s="12">
        <v>702</v>
      </c>
      <c r="S847" t="s">
        <v>113</v>
      </c>
      <c r="T847" t="s">
        <v>108</v>
      </c>
      <c r="U847" t="s">
        <v>1199</v>
      </c>
    </row>
    <row r="848" spans="1:21" x14ac:dyDescent="0.25">
      <c r="A848" t="s">
        <v>2633</v>
      </c>
      <c r="B848" s="8">
        <v>45986</v>
      </c>
      <c r="C848" t="s">
        <v>3193</v>
      </c>
      <c r="D848" t="s">
        <v>462</v>
      </c>
      <c r="E848" t="s">
        <v>198</v>
      </c>
      <c r="F848">
        <v>38</v>
      </c>
      <c r="G848" t="s">
        <v>9</v>
      </c>
      <c r="H848" t="s">
        <v>8</v>
      </c>
      <c r="I848" t="s">
        <v>32</v>
      </c>
      <c r="J848" t="s">
        <v>29</v>
      </c>
      <c r="K848" t="s">
        <v>22</v>
      </c>
      <c r="L848">
        <v>2</v>
      </c>
      <c r="M848" s="12">
        <v>9500</v>
      </c>
      <c r="N848" s="12">
        <v>6650</v>
      </c>
      <c r="O848">
        <v>13</v>
      </c>
      <c r="P848" s="12">
        <v>16530</v>
      </c>
      <c r="Q848" s="12">
        <v>13300</v>
      </c>
      <c r="R848" s="12">
        <v>3230</v>
      </c>
      <c r="S848" t="s">
        <v>1246</v>
      </c>
      <c r="T848" t="s">
        <v>107</v>
      </c>
      <c r="U848" t="s">
        <v>1209</v>
      </c>
    </row>
    <row r="849" spans="1:21" x14ac:dyDescent="0.25">
      <c r="A849" t="s">
        <v>2635</v>
      </c>
      <c r="B849" s="8">
        <v>45895</v>
      </c>
      <c r="C849" t="s">
        <v>2415</v>
      </c>
      <c r="D849" t="s">
        <v>427</v>
      </c>
      <c r="E849" t="s">
        <v>218</v>
      </c>
      <c r="F849">
        <v>26</v>
      </c>
      <c r="G849" t="s">
        <v>17</v>
      </c>
      <c r="H849" t="s">
        <v>15</v>
      </c>
      <c r="I849" t="s">
        <v>47</v>
      </c>
      <c r="J849" t="s">
        <v>52</v>
      </c>
      <c r="K849" t="s">
        <v>43</v>
      </c>
      <c r="L849">
        <v>4</v>
      </c>
      <c r="M849" s="12">
        <v>42999</v>
      </c>
      <c r="N849" s="12">
        <v>33539.22</v>
      </c>
      <c r="O849">
        <v>8</v>
      </c>
      <c r="P849" s="12">
        <v>158236.32</v>
      </c>
      <c r="Q849" s="12">
        <v>134156.88</v>
      </c>
      <c r="R849" s="12">
        <v>24079.440000000002</v>
      </c>
      <c r="S849" t="s">
        <v>113</v>
      </c>
      <c r="T849" t="s">
        <v>109</v>
      </c>
      <c r="U849" t="s">
        <v>1203</v>
      </c>
    </row>
    <row r="850" spans="1:21" x14ac:dyDescent="0.25">
      <c r="A850" t="s">
        <v>2636</v>
      </c>
      <c r="B850" s="8">
        <v>45992</v>
      </c>
      <c r="C850" t="s">
        <v>1745</v>
      </c>
      <c r="D850" t="s">
        <v>1046</v>
      </c>
      <c r="E850" t="s">
        <v>198</v>
      </c>
      <c r="F850">
        <v>53</v>
      </c>
      <c r="G850" t="s">
        <v>9</v>
      </c>
      <c r="H850" t="s">
        <v>8</v>
      </c>
      <c r="I850" t="s">
        <v>61</v>
      </c>
      <c r="J850" t="s">
        <v>146</v>
      </c>
      <c r="K850" t="s">
        <v>64</v>
      </c>
      <c r="L850">
        <v>2</v>
      </c>
      <c r="M850" s="12">
        <v>250</v>
      </c>
      <c r="N850" s="12">
        <v>155</v>
      </c>
      <c r="O850">
        <v>6</v>
      </c>
      <c r="P850" s="12">
        <v>470</v>
      </c>
      <c r="Q850" s="12">
        <v>310</v>
      </c>
      <c r="R850" s="12">
        <v>160</v>
      </c>
      <c r="S850" t="s">
        <v>1246</v>
      </c>
      <c r="T850" t="s">
        <v>109</v>
      </c>
      <c r="U850" t="s">
        <v>1199</v>
      </c>
    </row>
    <row r="851" spans="1:21" x14ac:dyDescent="0.25">
      <c r="A851" t="s">
        <v>2638</v>
      </c>
      <c r="B851" s="8">
        <v>45969</v>
      </c>
      <c r="C851" t="s">
        <v>1703</v>
      </c>
      <c r="D851" t="s">
        <v>1091</v>
      </c>
      <c r="E851" t="s">
        <v>218</v>
      </c>
      <c r="F851">
        <v>58</v>
      </c>
      <c r="G851" t="s">
        <v>11</v>
      </c>
      <c r="H851" t="s">
        <v>12</v>
      </c>
      <c r="I851" t="s">
        <v>45</v>
      </c>
      <c r="J851" t="s">
        <v>46</v>
      </c>
      <c r="K851" t="s">
        <v>43</v>
      </c>
      <c r="L851">
        <v>1</v>
      </c>
      <c r="M851" s="12">
        <v>11999</v>
      </c>
      <c r="N851" s="12">
        <v>8999.25</v>
      </c>
      <c r="O851">
        <v>14</v>
      </c>
      <c r="P851" s="12">
        <v>10319.14</v>
      </c>
      <c r="Q851" s="12">
        <v>8999.25</v>
      </c>
      <c r="R851" s="12">
        <v>1319.8899999999994</v>
      </c>
      <c r="S851" t="s">
        <v>1246</v>
      </c>
      <c r="T851" t="s">
        <v>108</v>
      </c>
      <c r="U851" t="s">
        <v>1194</v>
      </c>
    </row>
    <row r="852" spans="1:21" x14ac:dyDescent="0.25">
      <c r="A852" t="s">
        <v>2639</v>
      </c>
      <c r="B852" s="8">
        <v>45764</v>
      </c>
      <c r="C852" t="s">
        <v>2743</v>
      </c>
      <c r="D852" t="s">
        <v>616</v>
      </c>
      <c r="E852" t="s">
        <v>218</v>
      </c>
      <c r="F852">
        <v>24</v>
      </c>
      <c r="G852" t="s">
        <v>7</v>
      </c>
      <c r="H852" t="s">
        <v>8</v>
      </c>
      <c r="I852" t="s">
        <v>34</v>
      </c>
      <c r="J852" t="s">
        <v>137</v>
      </c>
      <c r="K852" t="s">
        <v>22</v>
      </c>
      <c r="L852">
        <v>1</v>
      </c>
      <c r="M852" s="12">
        <v>6900</v>
      </c>
      <c r="N852" s="12">
        <v>5727</v>
      </c>
      <c r="O852">
        <v>5</v>
      </c>
      <c r="P852" s="12">
        <v>6555</v>
      </c>
      <c r="Q852" s="12">
        <v>5727</v>
      </c>
      <c r="R852" s="12">
        <v>828</v>
      </c>
      <c r="S852" t="s">
        <v>113</v>
      </c>
      <c r="T852" t="s">
        <v>107</v>
      </c>
      <c r="U852" t="s">
        <v>1203</v>
      </c>
    </row>
    <row r="853" spans="1:21" x14ac:dyDescent="0.25">
      <c r="A853" t="s">
        <v>2640</v>
      </c>
      <c r="B853" s="8">
        <v>46021</v>
      </c>
      <c r="C853" t="s">
        <v>2715</v>
      </c>
      <c r="D853" t="s">
        <v>841</v>
      </c>
      <c r="E853" t="s">
        <v>218</v>
      </c>
      <c r="F853">
        <v>61</v>
      </c>
      <c r="G853" t="s">
        <v>10</v>
      </c>
      <c r="H853" t="s">
        <v>8</v>
      </c>
      <c r="I853" t="s">
        <v>30</v>
      </c>
      <c r="J853" t="s">
        <v>41</v>
      </c>
      <c r="K853" t="s">
        <v>22</v>
      </c>
      <c r="L853">
        <v>2</v>
      </c>
      <c r="M853" s="12">
        <v>13749</v>
      </c>
      <c r="N853" s="12">
        <v>10999.2</v>
      </c>
      <c r="O853">
        <v>18</v>
      </c>
      <c r="P853" s="12">
        <v>22548.36</v>
      </c>
      <c r="Q853" s="12">
        <v>21998.400000000001</v>
      </c>
      <c r="R853" s="12">
        <v>549.95999999999913</v>
      </c>
      <c r="S853" t="s">
        <v>113</v>
      </c>
      <c r="T853" t="s">
        <v>109</v>
      </c>
      <c r="U853" t="s">
        <v>1199</v>
      </c>
    </row>
    <row r="854" spans="1:21" x14ac:dyDescent="0.25">
      <c r="A854" t="s">
        <v>2642</v>
      </c>
      <c r="B854" s="8">
        <v>45705</v>
      </c>
      <c r="C854" t="s">
        <v>1800</v>
      </c>
      <c r="D854" t="s">
        <v>863</v>
      </c>
      <c r="E854" t="s">
        <v>218</v>
      </c>
      <c r="F854">
        <v>24</v>
      </c>
      <c r="G854" t="s">
        <v>11</v>
      </c>
      <c r="H854" t="s">
        <v>12</v>
      </c>
      <c r="I854" t="s">
        <v>49</v>
      </c>
      <c r="J854" t="s">
        <v>56</v>
      </c>
      <c r="K854" t="s">
        <v>43</v>
      </c>
      <c r="L854">
        <v>1</v>
      </c>
      <c r="M854" s="12">
        <v>31999</v>
      </c>
      <c r="N854" s="12">
        <v>25599.200000000001</v>
      </c>
      <c r="O854">
        <v>6</v>
      </c>
      <c r="P854" s="12">
        <v>30079.059999999998</v>
      </c>
      <c r="Q854" s="12">
        <v>25599.200000000001</v>
      </c>
      <c r="R854" s="12">
        <v>4479.8599999999969</v>
      </c>
      <c r="S854" t="s">
        <v>1246</v>
      </c>
      <c r="T854" t="s">
        <v>110</v>
      </c>
      <c r="U854" t="s">
        <v>1211</v>
      </c>
    </row>
    <row r="855" spans="1:21" x14ac:dyDescent="0.25">
      <c r="A855" t="s">
        <v>2643</v>
      </c>
      <c r="B855" s="8">
        <v>45796</v>
      </c>
      <c r="C855" t="s">
        <v>1932</v>
      </c>
      <c r="D855" t="s">
        <v>794</v>
      </c>
      <c r="E855" t="s">
        <v>218</v>
      </c>
      <c r="F855">
        <v>64</v>
      </c>
      <c r="G855" t="s">
        <v>14</v>
      </c>
      <c r="H855" t="s">
        <v>15</v>
      </c>
      <c r="I855" t="s">
        <v>30</v>
      </c>
      <c r="J855" t="s">
        <v>41</v>
      </c>
      <c r="K855" t="s">
        <v>22</v>
      </c>
      <c r="L855">
        <v>4</v>
      </c>
      <c r="M855" s="12">
        <v>13749</v>
      </c>
      <c r="N855" s="12">
        <v>10999.2</v>
      </c>
      <c r="O855">
        <v>5</v>
      </c>
      <c r="P855" s="12">
        <v>52246.2</v>
      </c>
      <c r="Q855" s="12">
        <v>43996.800000000003</v>
      </c>
      <c r="R855" s="12">
        <v>8249.3999999999942</v>
      </c>
      <c r="S855" t="s">
        <v>1246</v>
      </c>
      <c r="T855" t="s">
        <v>108</v>
      </c>
      <c r="U855" t="s">
        <v>1205</v>
      </c>
    </row>
    <row r="856" spans="1:21" x14ac:dyDescent="0.25">
      <c r="A856" t="s">
        <v>2644</v>
      </c>
      <c r="B856" s="8">
        <v>45692</v>
      </c>
      <c r="C856" t="s">
        <v>3733</v>
      </c>
      <c r="D856" t="s">
        <v>434</v>
      </c>
      <c r="E856" t="s">
        <v>198</v>
      </c>
      <c r="F856">
        <v>62</v>
      </c>
      <c r="G856" t="s">
        <v>10</v>
      </c>
      <c r="H856" t="s">
        <v>8</v>
      </c>
      <c r="I856" t="s">
        <v>28</v>
      </c>
      <c r="J856" t="s">
        <v>35</v>
      </c>
      <c r="K856" t="s">
        <v>22</v>
      </c>
      <c r="L856">
        <v>3</v>
      </c>
      <c r="M856" s="12">
        <v>16499</v>
      </c>
      <c r="N856" s="12">
        <v>14519.12</v>
      </c>
      <c r="O856">
        <v>4</v>
      </c>
      <c r="P856" s="12">
        <v>47517.119999999995</v>
      </c>
      <c r="Q856" s="12">
        <v>43557.36</v>
      </c>
      <c r="R856" s="12">
        <v>3959.7599999999948</v>
      </c>
      <c r="S856" t="s">
        <v>1246</v>
      </c>
      <c r="T856" t="s">
        <v>108</v>
      </c>
      <c r="U856" t="s">
        <v>1211</v>
      </c>
    </row>
    <row r="857" spans="1:21" x14ac:dyDescent="0.25">
      <c r="A857" t="s">
        <v>2645</v>
      </c>
      <c r="B857" s="8">
        <v>45744</v>
      </c>
      <c r="C857" t="s">
        <v>3704</v>
      </c>
      <c r="D857" t="s">
        <v>609</v>
      </c>
      <c r="E857" t="s">
        <v>198</v>
      </c>
      <c r="F857">
        <v>52</v>
      </c>
      <c r="G857" t="s">
        <v>5</v>
      </c>
      <c r="H857" t="s">
        <v>3</v>
      </c>
      <c r="I857" t="s">
        <v>30</v>
      </c>
      <c r="J857" t="s">
        <v>41</v>
      </c>
      <c r="K857" t="s">
        <v>22</v>
      </c>
      <c r="L857">
        <v>1</v>
      </c>
      <c r="M857" s="12">
        <v>13749</v>
      </c>
      <c r="N857" s="12">
        <v>10999.2</v>
      </c>
      <c r="O857">
        <v>3</v>
      </c>
      <c r="P857" s="12">
        <v>13336.529999999999</v>
      </c>
      <c r="Q857" s="12">
        <v>10999.2</v>
      </c>
      <c r="R857" s="12">
        <v>2337.3299999999981</v>
      </c>
      <c r="S857" t="s">
        <v>113</v>
      </c>
      <c r="T857" t="s">
        <v>107</v>
      </c>
      <c r="U857" t="s">
        <v>1194</v>
      </c>
    </row>
    <row r="858" spans="1:21" x14ac:dyDescent="0.25">
      <c r="A858" t="s">
        <v>2646</v>
      </c>
      <c r="B858" s="8">
        <v>45666</v>
      </c>
      <c r="C858" t="s">
        <v>2086</v>
      </c>
      <c r="D858" t="s">
        <v>624</v>
      </c>
      <c r="E858" t="s">
        <v>198</v>
      </c>
      <c r="F858">
        <v>56</v>
      </c>
      <c r="G858" t="s">
        <v>290</v>
      </c>
      <c r="H858" t="s">
        <v>3</v>
      </c>
      <c r="I858" t="s">
        <v>59</v>
      </c>
      <c r="J858" t="s">
        <v>73</v>
      </c>
      <c r="K858" t="s">
        <v>64</v>
      </c>
      <c r="L858">
        <v>1</v>
      </c>
      <c r="M858" s="12">
        <v>120</v>
      </c>
      <c r="N858" s="12">
        <v>81.599999999999994</v>
      </c>
      <c r="O858">
        <v>11</v>
      </c>
      <c r="P858" s="12">
        <v>106.8</v>
      </c>
      <c r="Q858" s="12">
        <v>81.599999999999994</v>
      </c>
      <c r="R858" s="12">
        <v>25.200000000000003</v>
      </c>
      <c r="S858" t="s">
        <v>1246</v>
      </c>
      <c r="T858" t="s">
        <v>108</v>
      </c>
      <c r="U858" t="s">
        <v>1211</v>
      </c>
    </row>
    <row r="859" spans="1:21" x14ac:dyDescent="0.25">
      <c r="A859" t="s">
        <v>2647</v>
      </c>
      <c r="B859" s="8">
        <v>45831</v>
      </c>
      <c r="C859" t="s">
        <v>2524</v>
      </c>
      <c r="D859" t="s">
        <v>543</v>
      </c>
      <c r="E859" t="s">
        <v>198</v>
      </c>
      <c r="F859">
        <v>51</v>
      </c>
      <c r="G859" t="s">
        <v>7</v>
      </c>
      <c r="H859" t="s">
        <v>8</v>
      </c>
      <c r="I859" t="s">
        <v>21</v>
      </c>
      <c r="J859" t="s">
        <v>23</v>
      </c>
      <c r="K859" t="s">
        <v>22</v>
      </c>
      <c r="L859">
        <v>4</v>
      </c>
      <c r="M859" s="12">
        <v>54999</v>
      </c>
      <c r="N859" s="12">
        <v>45099.18</v>
      </c>
      <c r="O859">
        <v>5</v>
      </c>
      <c r="P859" s="12">
        <v>208996.19999999998</v>
      </c>
      <c r="Q859" s="12">
        <v>180396.72</v>
      </c>
      <c r="R859" s="12">
        <v>28599.479999999981</v>
      </c>
      <c r="S859" t="s">
        <v>1246</v>
      </c>
      <c r="T859" t="s">
        <v>108</v>
      </c>
      <c r="U859" t="s">
        <v>1194</v>
      </c>
    </row>
    <row r="860" spans="1:21" x14ac:dyDescent="0.25">
      <c r="A860" t="s">
        <v>2648</v>
      </c>
      <c r="B860" s="8">
        <v>45745</v>
      </c>
      <c r="C860" t="s">
        <v>1273</v>
      </c>
      <c r="D860" t="s">
        <v>882</v>
      </c>
      <c r="E860" t="s">
        <v>198</v>
      </c>
      <c r="F860">
        <v>46</v>
      </c>
      <c r="G860" t="s">
        <v>4</v>
      </c>
      <c r="H860" t="s">
        <v>3</v>
      </c>
      <c r="I860" t="s">
        <v>53</v>
      </c>
      <c r="J860" t="s">
        <v>48</v>
      </c>
      <c r="K860" t="s">
        <v>43</v>
      </c>
      <c r="L860">
        <v>1</v>
      </c>
      <c r="M860" s="12">
        <v>6499</v>
      </c>
      <c r="N860" s="12">
        <v>4549.2999999999993</v>
      </c>
      <c r="O860">
        <v>8</v>
      </c>
      <c r="P860" s="12">
        <v>5979.08</v>
      </c>
      <c r="Q860" s="12">
        <v>4549.2999999999993</v>
      </c>
      <c r="R860" s="12">
        <v>1429.7800000000007</v>
      </c>
      <c r="S860" t="s">
        <v>113</v>
      </c>
      <c r="T860" t="s">
        <v>110</v>
      </c>
      <c r="U860" t="s">
        <v>1198</v>
      </c>
    </row>
    <row r="861" spans="1:21" x14ac:dyDescent="0.25">
      <c r="A861" t="s">
        <v>2649</v>
      </c>
      <c r="B861" s="8">
        <v>45980</v>
      </c>
      <c r="C861" t="s">
        <v>3660</v>
      </c>
      <c r="D861" t="s">
        <v>951</v>
      </c>
      <c r="E861" t="s">
        <v>198</v>
      </c>
      <c r="F861">
        <v>21</v>
      </c>
      <c r="G861" t="s">
        <v>17</v>
      </c>
      <c r="H861" t="s">
        <v>15</v>
      </c>
      <c r="I861" t="s">
        <v>24</v>
      </c>
      <c r="J861" t="s">
        <v>25</v>
      </c>
      <c r="K861" t="s">
        <v>22</v>
      </c>
      <c r="L861">
        <v>4</v>
      </c>
      <c r="M861" s="12">
        <v>35800</v>
      </c>
      <c r="N861" s="12">
        <v>28640</v>
      </c>
      <c r="O861">
        <v>11</v>
      </c>
      <c r="P861" s="12">
        <v>127448</v>
      </c>
      <c r="Q861" s="12">
        <v>114560</v>
      </c>
      <c r="R861" s="12">
        <v>12888</v>
      </c>
      <c r="S861" t="s">
        <v>1246</v>
      </c>
      <c r="T861" t="s">
        <v>110</v>
      </c>
      <c r="U861" t="s">
        <v>1198</v>
      </c>
    </row>
    <row r="862" spans="1:21" x14ac:dyDescent="0.25">
      <c r="A862" t="s">
        <v>2651</v>
      </c>
      <c r="B862" s="8">
        <v>45791</v>
      </c>
      <c r="C862" t="s">
        <v>2038</v>
      </c>
      <c r="D862" t="s">
        <v>1176</v>
      </c>
      <c r="E862" t="s">
        <v>198</v>
      </c>
      <c r="F862">
        <v>38</v>
      </c>
      <c r="G862" t="s">
        <v>290</v>
      </c>
      <c r="H862" t="s">
        <v>3</v>
      </c>
      <c r="I862" t="s">
        <v>28</v>
      </c>
      <c r="J862" t="s">
        <v>35</v>
      </c>
      <c r="K862" t="s">
        <v>22</v>
      </c>
      <c r="L862">
        <v>5</v>
      </c>
      <c r="M862" s="12">
        <v>16499</v>
      </c>
      <c r="N862" s="12">
        <v>14519.12</v>
      </c>
      <c r="O862">
        <v>5</v>
      </c>
      <c r="P862" s="12">
        <v>78370.25</v>
      </c>
      <c r="Q862" s="12">
        <v>72595.600000000006</v>
      </c>
      <c r="R862" s="12">
        <v>5774.6499999999942</v>
      </c>
      <c r="S862" t="s">
        <v>113</v>
      </c>
      <c r="T862" t="s">
        <v>108</v>
      </c>
      <c r="U862" t="s">
        <v>1199</v>
      </c>
    </row>
    <row r="863" spans="1:21" x14ac:dyDescent="0.25">
      <c r="A863" t="s">
        <v>2652</v>
      </c>
      <c r="B863" s="8">
        <v>45971</v>
      </c>
      <c r="C863" t="s">
        <v>1328</v>
      </c>
      <c r="D863" t="s">
        <v>567</v>
      </c>
      <c r="E863" t="s">
        <v>218</v>
      </c>
      <c r="F863">
        <v>31</v>
      </c>
      <c r="G863" t="s">
        <v>7</v>
      </c>
      <c r="H863" t="s">
        <v>8</v>
      </c>
      <c r="I863" t="s">
        <v>47</v>
      </c>
      <c r="J863" t="s">
        <v>52</v>
      </c>
      <c r="K863" t="s">
        <v>43</v>
      </c>
      <c r="L863">
        <v>2</v>
      </c>
      <c r="M863" s="12">
        <v>42999</v>
      </c>
      <c r="N863" s="12">
        <v>33539.22</v>
      </c>
      <c r="O863">
        <v>19</v>
      </c>
      <c r="P863" s="12">
        <v>69658.38</v>
      </c>
      <c r="Q863" s="12">
        <v>67078.44</v>
      </c>
      <c r="R863" s="12">
        <v>2579.9400000000023</v>
      </c>
      <c r="S863" t="s">
        <v>1246</v>
      </c>
      <c r="T863" t="s">
        <v>107</v>
      </c>
      <c r="U863" t="s">
        <v>1194</v>
      </c>
    </row>
    <row r="864" spans="1:21" x14ac:dyDescent="0.25">
      <c r="A864" t="s">
        <v>2653</v>
      </c>
      <c r="B864" s="8">
        <v>45949</v>
      </c>
      <c r="C864" t="s">
        <v>4132</v>
      </c>
      <c r="D864" t="s">
        <v>875</v>
      </c>
      <c r="E864" t="s">
        <v>198</v>
      </c>
      <c r="F864">
        <v>40</v>
      </c>
      <c r="G864" t="s">
        <v>2</v>
      </c>
      <c r="H864" t="s">
        <v>3</v>
      </c>
      <c r="I864" t="s">
        <v>21</v>
      </c>
      <c r="J864" t="s">
        <v>23</v>
      </c>
      <c r="K864" t="s">
        <v>22</v>
      </c>
      <c r="L864">
        <v>2</v>
      </c>
      <c r="M864" s="12">
        <v>54999</v>
      </c>
      <c r="N864" s="12">
        <v>45099.18</v>
      </c>
      <c r="O864">
        <v>3</v>
      </c>
      <c r="P864" s="12">
        <v>106698.06</v>
      </c>
      <c r="Q864" s="12">
        <v>90198.36</v>
      </c>
      <c r="R864" s="12">
        <v>16499.699999999997</v>
      </c>
      <c r="S864" t="s">
        <v>1246</v>
      </c>
      <c r="T864" t="s">
        <v>109</v>
      </c>
      <c r="U864" t="s">
        <v>1209</v>
      </c>
    </row>
    <row r="865" spans="1:21" x14ac:dyDescent="0.25">
      <c r="A865" t="s">
        <v>2654</v>
      </c>
      <c r="B865" s="8">
        <v>45888</v>
      </c>
      <c r="C865" t="s">
        <v>2802</v>
      </c>
      <c r="D865" t="s">
        <v>494</v>
      </c>
      <c r="E865" t="s">
        <v>218</v>
      </c>
      <c r="F865">
        <v>32</v>
      </c>
      <c r="G865" t="s">
        <v>10</v>
      </c>
      <c r="H865" t="s">
        <v>8</v>
      </c>
      <c r="I865" t="s">
        <v>47</v>
      </c>
      <c r="J865" t="s">
        <v>52</v>
      </c>
      <c r="K865" t="s">
        <v>43</v>
      </c>
      <c r="L865">
        <v>1</v>
      </c>
      <c r="M865" s="12">
        <v>42999</v>
      </c>
      <c r="N865" s="12">
        <v>33539.22</v>
      </c>
      <c r="O865">
        <v>5</v>
      </c>
      <c r="P865" s="12">
        <v>40849.049999999996</v>
      </c>
      <c r="Q865" s="12">
        <v>33539.22</v>
      </c>
      <c r="R865" s="12">
        <v>7309.8299999999945</v>
      </c>
      <c r="S865" t="s">
        <v>113</v>
      </c>
      <c r="T865" t="s">
        <v>108</v>
      </c>
      <c r="U865" t="s">
        <v>1194</v>
      </c>
    </row>
    <row r="866" spans="1:21" x14ac:dyDescent="0.25">
      <c r="A866" t="s">
        <v>2655</v>
      </c>
      <c r="B866" s="8">
        <v>45763</v>
      </c>
      <c r="C866" t="s">
        <v>1837</v>
      </c>
      <c r="D866" t="s">
        <v>449</v>
      </c>
      <c r="E866" t="s">
        <v>198</v>
      </c>
      <c r="F866">
        <v>24</v>
      </c>
      <c r="G866" t="s">
        <v>14</v>
      </c>
      <c r="H866" t="s">
        <v>15</v>
      </c>
      <c r="I866" t="s">
        <v>49</v>
      </c>
      <c r="J866" t="s">
        <v>56</v>
      </c>
      <c r="K866" t="s">
        <v>43</v>
      </c>
      <c r="L866">
        <v>1</v>
      </c>
      <c r="M866" s="12">
        <v>31999</v>
      </c>
      <c r="N866" s="12">
        <v>25599.200000000001</v>
      </c>
      <c r="O866">
        <v>6</v>
      </c>
      <c r="P866" s="12">
        <v>30079.059999999998</v>
      </c>
      <c r="Q866" s="12">
        <v>25599.200000000001</v>
      </c>
      <c r="R866" s="12">
        <v>4479.8599999999969</v>
      </c>
      <c r="S866" t="s">
        <v>1246</v>
      </c>
      <c r="T866" t="s">
        <v>108</v>
      </c>
      <c r="U866" t="s">
        <v>1196</v>
      </c>
    </row>
    <row r="867" spans="1:21" x14ac:dyDescent="0.25">
      <c r="A867" t="s">
        <v>2657</v>
      </c>
      <c r="B867" s="8">
        <v>45681</v>
      </c>
      <c r="C867" t="s">
        <v>1253</v>
      </c>
      <c r="D867" t="s">
        <v>1055</v>
      </c>
      <c r="E867" t="s">
        <v>218</v>
      </c>
      <c r="F867">
        <v>63</v>
      </c>
      <c r="G867" t="s">
        <v>7</v>
      </c>
      <c r="H867" t="s">
        <v>8</v>
      </c>
      <c r="I867" t="s">
        <v>45</v>
      </c>
      <c r="J867" t="s">
        <v>46</v>
      </c>
      <c r="K867" t="s">
        <v>43</v>
      </c>
      <c r="L867">
        <v>4</v>
      </c>
      <c r="M867" s="12">
        <v>11999</v>
      </c>
      <c r="N867" s="12">
        <v>8999.25</v>
      </c>
      <c r="O867">
        <v>2</v>
      </c>
      <c r="P867" s="12">
        <v>47036.08</v>
      </c>
      <c r="Q867" s="12">
        <v>35997</v>
      </c>
      <c r="R867" s="12">
        <v>11039.080000000002</v>
      </c>
      <c r="S867" t="s">
        <v>1246</v>
      </c>
      <c r="T867" t="s">
        <v>109</v>
      </c>
      <c r="U867" t="s">
        <v>1203</v>
      </c>
    </row>
    <row r="868" spans="1:21" x14ac:dyDescent="0.25">
      <c r="A868" t="s">
        <v>2659</v>
      </c>
      <c r="B868" s="8">
        <v>45794</v>
      </c>
      <c r="C868" t="s">
        <v>1318</v>
      </c>
      <c r="D868" t="s">
        <v>653</v>
      </c>
      <c r="E868" t="s">
        <v>218</v>
      </c>
      <c r="F868">
        <v>41</v>
      </c>
      <c r="G868" t="s">
        <v>10</v>
      </c>
      <c r="H868" t="s">
        <v>8</v>
      </c>
      <c r="I868" t="s">
        <v>30</v>
      </c>
      <c r="J868" t="s">
        <v>41</v>
      </c>
      <c r="K868" t="s">
        <v>22</v>
      </c>
      <c r="L868">
        <v>3</v>
      </c>
      <c r="M868" s="12">
        <v>13749</v>
      </c>
      <c r="N868" s="12">
        <v>10999.2</v>
      </c>
      <c r="O868">
        <v>5</v>
      </c>
      <c r="P868" s="12">
        <v>39184.65</v>
      </c>
      <c r="Q868" s="12">
        <v>32997.600000000006</v>
      </c>
      <c r="R868" s="12">
        <v>6187.0499999999956</v>
      </c>
      <c r="S868" t="s">
        <v>1246</v>
      </c>
      <c r="T868" t="s">
        <v>109</v>
      </c>
      <c r="U868" t="s">
        <v>1211</v>
      </c>
    </row>
    <row r="869" spans="1:21" x14ac:dyDescent="0.25">
      <c r="A869" t="s">
        <v>2661</v>
      </c>
      <c r="B869" s="8">
        <v>46012</v>
      </c>
      <c r="C869" t="s">
        <v>2615</v>
      </c>
      <c r="D869" t="s">
        <v>766</v>
      </c>
      <c r="E869" t="s">
        <v>218</v>
      </c>
      <c r="F869">
        <v>18</v>
      </c>
      <c r="G869" t="s">
        <v>5</v>
      </c>
      <c r="H869" t="s">
        <v>3</v>
      </c>
      <c r="I869" t="s">
        <v>30</v>
      </c>
      <c r="J869" t="s">
        <v>41</v>
      </c>
      <c r="K869" t="s">
        <v>22</v>
      </c>
      <c r="L869">
        <v>3</v>
      </c>
      <c r="M869" s="12">
        <v>13749</v>
      </c>
      <c r="N869" s="12">
        <v>10999.2</v>
      </c>
      <c r="O869">
        <v>13</v>
      </c>
      <c r="P869" s="12">
        <v>35884.89</v>
      </c>
      <c r="Q869" s="12">
        <v>32997.600000000006</v>
      </c>
      <c r="R869" s="12">
        <v>2887.2899999999936</v>
      </c>
      <c r="S869" t="s">
        <v>1246</v>
      </c>
      <c r="T869" t="s">
        <v>109</v>
      </c>
      <c r="U869" t="s">
        <v>1196</v>
      </c>
    </row>
    <row r="870" spans="1:21" x14ac:dyDescent="0.25">
      <c r="A870" t="s">
        <v>2662</v>
      </c>
      <c r="B870" s="8">
        <v>45883</v>
      </c>
      <c r="C870" t="s">
        <v>1630</v>
      </c>
      <c r="D870" t="s">
        <v>1044</v>
      </c>
      <c r="E870" t="s">
        <v>198</v>
      </c>
      <c r="F870">
        <v>20</v>
      </c>
      <c r="G870" t="s">
        <v>5</v>
      </c>
      <c r="H870" t="s">
        <v>3</v>
      </c>
      <c r="I870" t="s">
        <v>55</v>
      </c>
      <c r="J870" t="s">
        <v>65</v>
      </c>
      <c r="K870" t="s">
        <v>64</v>
      </c>
      <c r="L870">
        <v>5</v>
      </c>
      <c r="M870" s="12">
        <v>80</v>
      </c>
      <c r="N870" s="12">
        <v>56</v>
      </c>
      <c r="O870">
        <v>4</v>
      </c>
      <c r="P870" s="12">
        <v>384</v>
      </c>
      <c r="Q870" s="12">
        <v>280</v>
      </c>
      <c r="R870" s="12">
        <v>104</v>
      </c>
      <c r="S870" t="s">
        <v>1246</v>
      </c>
      <c r="T870" t="s">
        <v>109</v>
      </c>
      <c r="U870" t="s">
        <v>1194</v>
      </c>
    </row>
    <row r="871" spans="1:21" x14ac:dyDescent="0.25">
      <c r="A871" t="s">
        <v>2664</v>
      </c>
      <c r="B871" s="8">
        <v>45733</v>
      </c>
      <c r="C871" t="s">
        <v>3907</v>
      </c>
      <c r="D871" t="s">
        <v>1066</v>
      </c>
      <c r="E871" t="s">
        <v>198</v>
      </c>
      <c r="F871">
        <v>43</v>
      </c>
      <c r="G871" t="s">
        <v>4</v>
      </c>
      <c r="H871" t="s">
        <v>3</v>
      </c>
      <c r="I871" t="s">
        <v>28</v>
      </c>
      <c r="J871" t="s">
        <v>35</v>
      </c>
      <c r="K871" t="s">
        <v>22</v>
      </c>
      <c r="L871">
        <v>4</v>
      </c>
      <c r="M871" s="12">
        <v>16499</v>
      </c>
      <c r="N871" s="12">
        <v>14519.12</v>
      </c>
      <c r="O871">
        <v>3</v>
      </c>
      <c r="P871" s="12">
        <v>64016.119999999995</v>
      </c>
      <c r="Q871" s="12">
        <v>58076.480000000003</v>
      </c>
      <c r="R871" s="12">
        <v>5939.6399999999921</v>
      </c>
      <c r="S871" t="s">
        <v>113</v>
      </c>
      <c r="T871" t="s">
        <v>109</v>
      </c>
      <c r="U871" t="s">
        <v>1194</v>
      </c>
    </row>
    <row r="872" spans="1:21" x14ac:dyDescent="0.25">
      <c r="A872" t="s">
        <v>2665</v>
      </c>
      <c r="B872" s="8">
        <v>45833</v>
      </c>
      <c r="C872" t="s">
        <v>2031</v>
      </c>
      <c r="D872" t="s">
        <v>363</v>
      </c>
      <c r="E872" t="s">
        <v>218</v>
      </c>
      <c r="F872">
        <v>33</v>
      </c>
      <c r="G872" t="s">
        <v>5</v>
      </c>
      <c r="H872" t="s">
        <v>3</v>
      </c>
      <c r="I872" t="s">
        <v>40</v>
      </c>
      <c r="J872" t="s">
        <v>39</v>
      </c>
      <c r="K872" t="s">
        <v>22</v>
      </c>
      <c r="L872">
        <v>4</v>
      </c>
      <c r="M872" s="12">
        <v>1100</v>
      </c>
      <c r="N872" s="12">
        <v>715</v>
      </c>
      <c r="O872">
        <v>9</v>
      </c>
      <c r="P872" s="12">
        <v>4004</v>
      </c>
      <c r="Q872" s="12">
        <v>2860</v>
      </c>
      <c r="R872" s="12">
        <v>1144</v>
      </c>
      <c r="S872" t="s">
        <v>1246</v>
      </c>
      <c r="T872" t="s">
        <v>108</v>
      </c>
      <c r="U872" t="s">
        <v>1205</v>
      </c>
    </row>
    <row r="873" spans="1:21" x14ac:dyDescent="0.25">
      <c r="A873" t="s">
        <v>2666</v>
      </c>
      <c r="B873" s="8">
        <v>45811</v>
      </c>
      <c r="C873" t="s">
        <v>2294</v>
      </c>
      <c r="D873" t="s">
        <v>1165</v>
      </c>
      <c r="E873" t="s">
        <v>198</v>
      </c>
      <c r="F873">
        <v>26</v>
      </c>
      <c r="G873" t="s">
        <v>9</v>
      </c>
      <c r="H873" t="s">
        <v>8</v>
      </c>
      <c r="I873" t="s">
        <v>28</v>
      </c>
      <c r="J873" t="s">
        <v>35</v>
      </c>
      <c r="K873" t="s">
        <v>22</v>
      </c>
      <c r="L873">
        <v>5</v>
      </c>
      <c r="M873" s="12">
        <v>16499</v>
      </c>
      <c r="N873" s="12">
        <v>14519.12</v>
      </c>
      <c r="O873">
        <v>6</v>
      </c>
      <c r="P873" s="12">
        <v>77545.299999999988</v>
      </c>
      <c r="Q873" s="12">
        <v>72595.600000000006</v>
      </c>
      <c r="R873" s="12">
        <v>4949.6999999999825</v>
      </c>
      <c r="S873" t="s">
        <v>1246</v>
      </c>
      <c r="T873" t="s">
        <v>107</v>
      </c>
      <c r="U873" t="s">
        <v>1201</v>
      </c>
    </row>
    <row r="874" spans="1:21" x14ac:dyDescent="0.25">
      <c r="A874" t="s">
        <v>2668</v>
      </c>
      <c r="B874" s="8">
        <v>45725</v>
      </c>
      <c r="C874" t="s">
        <v>1665</v>
      </c>
      <c r="D874" t="s">
        <v>921</v>
      </c>
      <c r="E874" t="s">
        <v>218</v>
      </c>
      <c r="F874">
        <v>53</v>
      </c>
      <c r="G874" t="s">
        <v>16</v>
      </c>
      <c r="H874" t="s">
        <v>15</v>
      </c>
      <c r="I874" t="s">
        <v>45</v>
      </c>
      <c r="J874" t="s">
        <v>46</v>
      </c>
      <c r="K874" t="s">
        <v>43</v>
      </c>
      <c r="L874">
        <v>2</v>
      </c>
      <c r="M874" s="12">
        <v>11999</v>
      </c>
      <c r="N874" s="12">
        <v>8999.25</v>
      </c>
      <c r="O874">
        <v>6</v>
      </c>
      <c r="P874" s="12">
        <v>22558.12</v>
      </c>
      <c r="Q874" s="12">
        <v>17998.5</v>
      </c>
      <c r="R874" s="12">
        <v>4559.619999999999</v>
      </c>
      <c r="S874" t="s">
        <v>113</v>
      </c>
      <c r="T874" t="s">
        <v>110</v>
      </c>
      <c r="U874" t="s">
        <v>1196</v>
      </c>
    </row>
    <row r="875" spans="1:21" x14ac:dyDescent="0.25">
      <c r="A875" t="s">
        <v>2670</v>
      </c>
      <c r="B875" s="8">
        <v>45670</v>
      </c>
      <c r="C875" t="s">
        <v>1908</v>
      </c>
      <c r="D875" t="s">
        <v>799</v>
      </c>
      <c r="E875" t="s">
        <v>218</v>
      </c>
      <c r="F875">
        <v>54</v>
      </c>
      <c r="G875" t="s">
        <v>7</v>
      </c>
      <c r="H875" t="s">
        <v>8</v>
      </c>
      <c r="I875" t="s">
        <v>34</v>
      </c>
      <c r="J875" t="s">
        <v>137</v>
      </c>
      <c r="K875" t="s">
        <v>22</v>
      </c>
      <c r="L875">
        <v>1</v>
      </c>
      <c r="M875" s="12">
        <v>6900</v>
      </c>
      <c r="N875" s="12">
        <v>5727</v>
      </c>
      <c r="O875">
        <v>7</v>
      </c>
      <c r="P875" s="12">
        <v>6417</v>
      </c>
      <c r="Q875" s="12">
        <v>5727</v>
      </c>
      <c r="R875" s="12">
        <v>690</v>
      </c>
      <c r="S875" t="s">
        <v>1246</v>
      </c>
      <c r="T875" t="s">
        <v>108</v>
      </c>
      <c r="U875" t="s">
        <v>1201</v>
      </c>
    </row>
    <row r="876" spans="1:21" x14ac:dyDescent="0.25">
      <c r="A876" t="s">
        <v>2671</v>
      </c>
      <c r="B876" s="8">
        <v>45981</v>
      </c>
      <c r="C876" t="s">
        <v>1963</v>
      </c>
      <c r="D876" t="s">
        <v>927</v>
      </c>
      <c r="E876" t="s">
        <v>218</v>
      </c>
      <c r="F876">
        <v>47</v>
      </c>
      <c r="G876" t="s">
        <v>4</v>
      </c>
      <c r="H876" t="s">
        <v>3</v>
      </c>
      <c r="I876" t="s">
        <v>59</v>
      </c>
      <c r="J876" t="s">
        <v>73</v>
      </c>
      <c r="K876" t="s">
        <v>64</v>
      </c>
      <c r="L876">
        <v>2</v>
      </c>
      <c r="M876" s="12">
        <v>120</v>
      </c>
      <c r="N876" s="12">
        <v>81.599999999999994</v>
      </c>
      <c r="O876">
        <v>7</v>
      </c>
      <c r="P876" s="12">
        <v>223.2</v>
      </c>
      <c r="Q876" s="12">
        <v>163.19999999999999</v>
      </c>
      <c r="R876" s="12">
        <v>60</v>
      </c>
      <c r="S876" t="s">
        <v>1246</v>
      </c>
      <c r="T876" t="s">
        <v>107</v>
      </c>
      <c r="U876" t="s">
        <v>1203</v>
      </c>
    </row>
    <row r="877" spans="1:21" x14ac:dyDescent="0.25">
      <c r="A877" t="s">
        <v>2672</v>
      </c>
      <c r="B877" s="8">
        <v>45830</v>
      </c>
      <c r="C877" t="s">
        <v>3224</v>
      </c>
      <c r="D877" t="s">
        <v>1190</v>
      </c>
      <c r="E877" t="s">
        <v>218</v>
      </c>
      <c r="F877">
        <v>64</v>
      </c>
      <c r="G877" t="s">
        <v>290</v>
      </c>
      <c r="H877" t="s">
        <v>3</v>
      </c>
      <c r="I877" t="s">
        <v>40</v>
      </c>
      <c r="J877" t="s">
        <v>39</v>
      </c>
      <c r="K877" t="s">
        <v>22</v>
      </c>
      <c r="L877">
        <v>2</v>
      </c>
      <c r="M877" s="12">
        <v>1100</v>
      </c>
      <c r="N877" s="12">
        <v>715</v>
      </c>
      <c r="O877">
        <v>8</v>
      </c>
      <c r="P877" s="12">
        <v>2024</v>
      </c>
      <c r="Q877" s="12">
        <v>1430</v>
      </c>
      <c r="R877" s="12">
        <v>594</v>
      </c>
      <c r="S877" t="s">
        <v>1246</v>
      </c>
      <c r="T877" t="s">
        <v>107</v>
      </c>
      <c r="U877" t="s">
        <v>1207</v>
      </c>
    </row>
    <row r="878" spans="1:21" x14ac:dyDescent="0.25">
      <c r="A878" t="s">
        <v>2673</v>
      </c>
      <c r="B878" s="8">
        <v>46015</v>
      </c>
      <c r="C878" t="s">
        <v>2498</v>
      </c>
      <c r="D878" t="s">
        <v>738</v>
      </c>
      <c r="E878" t="s">
        <v>198</v>
      </c>
      <c r="F878">
        <v>32</v>
      </c>
      <c r="G878" t="s">
        <v>11</v>
      </c>
      <c r="H878" t="s">
        <v>12</v>
      </c>
      <c r="I878" t="s">
        <v>34</v>
      </c>
      <c r="J878" t="s">
        <v>137</v>
      </c>
      <c r="K878" t="s">
        <v>22</v>
      </c>
      <c r="L878">
        <v>5</v>
      </c>
      <c r="M878" s="12">
        <v>6900</v>
      </c>
      <c r="N878" s="12">
        <v>5727</v>
      </c>
      <c r="O878">
        <v>10</v>
      </c>
      <c r="P878" s="12">
        <v>31050</v>
      </c>
      <c r="Q878" s="12">
        <v>28635</v>
      </c>
      <c r="R878" s="12">
        <v>2415</v>
      </c>
      <c r="S878" t="s">
        <v>1246</v>
      </c>
      <c r="T878" t="s">
        <v>108</v>
      </c>
      <c r="U878" t="s">
        <v>1201</v>
      </c>
    </row>
    <row r="879" spans="1:21" x14ac:dyDescent="0.25">
      <c r="A879" t="s">
        <v>2674</v>
      </c>
      <c r="B879" s="8">
        <v>45661</v>
      </c>
      <c r="C879" t="s">
        <v>1522</v>
      </c>
      <c r="D879" t="s">
        <v>964</v>
      </c>
      <c r="E879" t="s">
        <v>198</v>
      </c>
      <c r="F879">
        <v>40</v>
      </c>
      <c r="G879" t="s">
        <v>11</v>
      </c>
      <c r="H879" t="s">
        <v>12</v>
      </c>
      <c r="I879" t="s">
        <v>28</v>
      </c>
      <c r="J879" t="s">
        <v>35</v>
      </c>
      <c r="K879" t="s">
        <v>22</v>
      </c>
      <c r="L879">
        <v>1</v>
      </c>
      <c r="M879" s="12">
        <v>16499</v>
      </c>
      <c r="N879" s="12">
        <v>14519.12</v>
      </c>
      <c r="O879">
        <v>6</v>
      </c>
      <c r="P879" s="12">
        <v>15509.06</v>
      </c>
      <c r="Q879" s="12">
        <v>14519.12</v>
      </c>
      <c r="R879" s="12">
        <v>989.93999999999869</v>
      </c>
      <c r="S879" t="s">
        <v>1246</v>
      </c>
      <c r="T879" t="s">
        <v>109</v>
      </c>
      <c r="U879" t="s">
        <v>1201</v>
      </c>
    </row>
    <row r="880" spans="1:21" x14ac:dyDescent="0.25">
      <c r="A880" t="s">
        <v>2675</v>
      </c>
      <c r="B880" s="8">
        <v>45945</v>
      </c>
      <c r="C880" t="s">
        <v>2169</v>
      </c>
      <c r="D880" t="s">
        <v>575</v>
      </c>
      <c r="E880" t="s">
        <v>198</v>
      </c>
      <c r="F880">
        <v>46</v>
      </c>
      <c r="G880" t="s">
        <v>17</v>
      </c>
      <c r="H880" t="s">
        <v>15</v>
      </c>
      <c r="I880" t="s">
        <v>51</v>
      </c>
      <c r="J880" t="s">
        <v>54</v>
      </c>
      <c r="K880" t="s">
        <v>43</v>
      </c>
      <c r="L880">
        <v>4</v>
      </c>
      <c r="M880" s="12">
        <v>27499</v>
      </c>
      <c r="N880" s="12">
        <v>21724.210000000003</v>
      </c>
      <c r="O880">
        <v>7</v>
      </c>
      <c r="P880" s="12">
        <v>102296.28</v>
      </c>
      <c r="Q880" s="12">
        <v>86896.840000000011</v>
      </c>
      <c r="R880" s="12">
        <v>15399.439999999988</v>
      </c>
      <c r="S880" t="s">
        <v>113</v>
      </c>
      <c r="T880" t="s">
        <v>107</v>
      </c>
      <c r="U880" t="s">
        <v>1203</v>
      </c>
    </row>
    <row r="881" spans="1:21" x14ac:dyDescent="0.25">
      <c r="A881" t="s">
        <v>2676</v>
      </c>
      <c r="B881" s="8">
        <v>46020</v>
      </c>
      <c r="C881" t="s">
        <v>2435</v>
      </c>
      <c r="D881" t="s">
        <v>707</v>
      </c>
      <c r="E881" t="s">
        <v>198</v>
      </c>
      <c r="F881">
        <v>38</v>
      </c>
      <c r="G881" t="s">
        <v>14</v>
      </c>
      <c r="H881" t="s">
        <v>15</v>
      </c>
      <c r="I881" t="s">
        <v>28</v>
      </c>
      <c r="J881" t="s">
        <v>35</v>
      </c>
      <c r="K881" t="s">
        <v>22</v>
      </c>
      <c r="L881">
        <v>3</v>
      </c>
      <c r="M881" s="12">
        <v>16499</v>
      </c>
      <c r="N881" s="12">
        <v>14519.12</v>
      </c>
      <c r="O881">
        <v>18</v>
      </c>
      <c r="P881" s="12">
        <v>40587.54</v>
      </c>
      <c r="Q881" s="12">
        <v>43557.36</v>
      </c>
      <c r="R881" s="12">
        <v>-2969.8199999999997</v>
      </c>
      <c r="S881" t="s">
        <v>113</v>
      </c>
      <c r="T881" t="s">
        <v>107</v>
      </c>
      <c r="U881" t="s">
        <v>1201</v>
      </c>
    </row>
    <row r="882" spans="1:21" x14ac:dyDescent="0.25">
      <c r="A882" t="s">
        <v>2677</v>
      </c>
      <c r="B882" s="8">
        <v>45724</v>
      </c>
      <c r="C882" t="s">
        <v>2863</v>
      </c>
      <c r="D882" t="s">
        <v>890</v>
      </c>
      <c r="E882" t="s">
        <v>218</v>
      </c>
      <c r="F882">
        <v>25</v>
      </c>
      <c r="G882" t="s">
        <v>17</v>
      </c>
      <c r="H882" t="s">
        <v>15</v>
      </c>
      <c r="I882" t="s">
        <v>30</v>
      </c>
      <c r="J882" t="s">
        <v>41</v>
      </c>
      <c r="K882" t="s">
        <v>22</v>
      </c>
      <c r="L882">
        <v>5</v>
      </c>
      <c r="M882" s="12">
        <v>13749</v>
      </c>
      <c r="N882" s="12">
        <v>10999.2</v>
      </c>
      <c r="O882">
        <v>7</v>
      </c>
      <c r="P882" s="12">
        <v>63932.85</v>
      </c>
      <c r="Q882" s="12">
        <v>54996</v>
      </c>
      <c r="R882" s="12">
        <v>8936.8499999999985</v>
      </c>
      <c r="S882" t="s">
        <v>113</v>
      </c>
      <c r="T882" t="s">
        <v>108</v>
      </c>
      <c r="U882" t="s">
        <v>1198</v>
      </c>
    </row>
    <row r="883" spans="1:21" x14ac:dyDescent="0.25">
      <c r="A883" t="s">
        <v>2679</v>
      </c>
      <c r="B883" s="8">
        <v>45853</v>
      </c>
      <c r="C883" t="s">
        <v>2530</v>
      </c>
      <c r="D883" t="s">
        <v>899</v>
      </c>
      <c r="E883" t="s">
        <v>198</v>
      </c>
      <c r="F883">
        <v>57</v>
      </c>
      <c r="G883" t="s">
        <v>2</v>
      </c>
      <c r="H883" t="s">
        <v>3</v>
      </c>
      <c r="I883" t="s">
        <v>28</v>
      </c>
      <c r="J883" t="s">
        <v>35</v>
      </c>
      <c r="K883" t="s">
        <v>22</v>
      </c>
      <c r="L883">
        <v>5</v>
      </c>
      <c r="M883" s="12">
        <v>16499</v>
      </c>
      <c r="N883" s="12">
        <v>14519.12</v>
      </c>
      <c r="O883">
        <v>3</v>
      </c>
      <c r="P883" s="12">
        <v>80020.149999999994</v>
      </c>
      <c r="Q883" s="12">
        <v>72595.600000000006</v>
      </c>
      <c r="R883" s="12">
        <v>7424.5499999999884</v>
      </c>
      <c r="S883" t="s">
        <v>113</v>
      </c>
      <c r="T883" t="s">
        <v>109</v>
      </c>
      <c r="U883" t="s">
        <v>1205</v>
      </c>
    </row>
    <row r="884" spans="1:21" x14ac:dyDescent="0.25">
      <c r="A884" t="s">
        <v>2680</v>
      </c>
      <c r="B884" s="8">
        <v>45928</v>
      </c>
      <c r="C884" t="s">
        <v>1745</v>
      </c>
      <c r="D884" t="s">
        <v>1046</v>
      </c>
      <c r="E884" t="s">
        <v>198</v>
      </c>
      <c r="F884">
        <v>53</v>
      </c>
      <c r="G884" t="s">
        <v>9</v>
      </c>
      <c r="H884" t="s">
        <v>8</v>
      </c>
      <c r="I884" t="s">
        <v>40</v>
      </c>
      <c r="J884" t="s">
        <v>39</v>
      </c>
      <c r="K884" t="s">
        <v>22</v>
      </c>
      <c r="L884">
        <v>2</v>
      </c>
      <c r="M884" s="12">
        <v>1100</v>
      </c>
      <c r="N884" s="12">
        <v>715</v>
      </c>
      <c r="O884">
        <v>3</v>
      </c>
      <c r="P884" s="12">
        <v>2134</v>
      </c>
      <c r="Q884" s="12">
        <v>1430</v>
      </c>
      <c r="R884" s="12">
        <v>704</v>
      </c>
      <c r="S884" t="s">
        <v>1246</v>
      </c>
      <c r="T884" t="s">
        <v>107</v>
      </c>
      <c r="U884" t="s">
        <v>1198</v>
      </c>
    </row>
    <row r="885" spans="1:21" x14ac:dyDescent="0.25">
      <c r="A885" t="s">
        <v>2681</v>
      </c>
      <c r="B885" s="8">
        <v>45726</v>
      </c>
      <c r="C885" t="s">
        <v>2206</v>
      </c>
      <c r="D885" t="s">
        <v>846</v>
      </c>
      <c r="E885" t="s">
        <v>218</v>
      </c>
      <c r="F885">
        <v>52</v>
      </c>
      <c r="G885" t="s">
        <v>14</v>
      </c>
      <c r="H885" t="s">
        <v>15</v>
      </c>
      <c r="I885" t="s">
        <v>32</v>
      </c>
      <c r="J885" t="s">
        <v>29</v>
      </c>
      <c r="K885" t="s">
        <v>22</v>
      </c>
      <c r="L885">
        <v>1</v>
      </c>
      <c r="M885" s="12">
        <v>9500</v>
      </c>
      <c r="N885" s="12">
        <v>6650</v>
      </c>
      <c r="O885">
        <v>7</v>
      </c>
      <c r="P885" s="12">
        <v>8835</v>
      </c>
      <c r="Q885" s="12">
        <v>6650</v>
      </c>
      <c r="R885" s="12">
        <v>2185</v>
      </c>
      <c r="S885" t="s">
        <v>113</v>
      </c>
      <c r="T885" t="s">
        <v>108</v>
      </c>
      <c r="U885" t="s">
        <v>1211</v>
      </c>
    </row>
    <row r="886" spans="1:21" x14ac:dyDescent="0.25">
      <c r="A886" t="s">
        <v>2683</v>
      </c>
      <c r="B886" s="8">
        <v>46002</v>
      </c>
      <c r="C886" t="s">
        <v>1675</v>
      </c>
      <c r="D886" t="s">
        <v>1029</v>
      </c>
      <c r="E886" t="s">
        <v>198</v>
      </c>
      <c r="F886">
        <v>48</v>
      </c>
      <c r="G886" t="s">
        <v>10</v>
      </c>
      <c r="H886" t="s">
        <v>8</v>
      </c>
      <c r="I886" t="s">
        <v>32</v>
      </c>
      <c r="J886" t="s">
        <v>29</v>
      </c>
      <c r="K886" t="s">
        <v>22</v>
      </c>
      <c r="L886">
        <v>5</v>
      </c>
      <c r="M886" s="12">
        <v>9500</v>
      </c>
      <c r="N886" s="12">
        <v>6650</v>
      </c>
      <c r="O886">
        <v>13</v>
      </c>
      <c r="P886" s="12">
        <v>41325</v>
      </c>
      <c r="Q886" s="12">
        <v>33250</v>
      </c>
      <c r="R886" s="12">
        <v>8075</v>
      </c>
      <c r="S886" t="s">
        <v>113</v>
      </c>
      <c r="T886" t="s">
        <v>107</v>
      </c>
      <c r="U886" t="s">
        <v>1211</v>
      </c>
    </row>
    <row r="887" spans="1:21" x14ac:dyDescent="0.25">
      <c r="A887" t="s">
        <v>2684</v>
      </c>
      <c r="B887" s="8">
        <v>45768</v>
      </c>
      <c r="C887" t="s">
        <v>1716</v>
      </c>
      <c r="D887" t="s">
        <v>652</v>
      </c>
      <c r="E887" t="s">
        <v>218</v>
      </c>
      <c r="F887">
        <v>49</v>
      </c>
      <c r="G887" t="s">
        <v>10</v>
      </c>
      <c r="H887" t="s">
        <v>8</v>
      </c>
      <c r="I887" t="s">
        <v>24</v>
      </c>
      <c r="J887" t="s">
        <v>25</v>
      </c>
      <c r="K887" t="s">
        <v>22</v>
      </c>
      <c r="L887">
        <v>3</v>
      </c>
      <c r="M887" s="12">
        <v>35800</v>
      </c>
      <c r="N887" s="12">
        <v>28640</v>
      </c>
      <c r="O887">
        <v>5</v>
      </c>
      <c r="P887" s="12">
        <v>102030</v>
      </c>
      <c r="Q887" s="12">
        <v>85920</v>
      </c>
      <c r="R887" s="12">
        <v>16110</v>
      </c>
      <c r="S887" t="s">
        <v>113</v>
      </c>
      <c r="T887" t="s">
        <v>108</v>
      </c>
      <c r="U887" t="s">
        <v>1196</v>
      </c>
    </row>
    <row r="888" spans="1:21" x14ac:dyDescent="0.25">
      <c r="A888" t="s">
        <v>2685</v>
      </c>
      <c r="B888" s="8">
        <v>45761</v>
      </c>
      <c r="C888" t="s">
        <v>1355</v>
      </c>
      <c r="D888" t="s">
        <v>887</v>
      </c>
      <c r="E888" t="s">
        <v>198</v>
      </c>
      <c r="F888">
        <v>26</v>
      </c>
      <c r="G888" t="s">
        <v>290</v>
      </c>
      <c r="H888" t="s">
        <v>3</v>
      </c>
      <c r="I888" t="s">
        <v>30</v>
      </c>
      <c r="J888" t="s">
        <v>41</v>
      </c>
      <c r="K888" t="s">
        <v>22</v>
      </c>
      <c r="L888">
        <v>1</v>
      </c>
      <c r="M888" s="12">
        <v>13749</v>
      </c>
      <c r="N888" s="12">
        <v>10999.2</v>
      </c>
      <c r="O888">
        <v>3</v>
      </c>
      <c r="P888" s="12">
        <v>13336.529999999999</v>
      </c>
      <c r="Q888" s="12">
        <v>10999.2</v>
      </c>
      <c r="R888" s="12">
        <v>2337.3299999999981</v>
      </c>
      <c r="S888" t="s">
        <v>1246</v>
      </c>
      <c r="T888" t="s">
        <v>108</v>
      </c>
      <c r="U888" t="s">
        <v>1198</v>
      </c>
    </row>
    <row r="889" spans="1:21" x14ac:dyDescent="0.25">
      <c r="A889" t="s">
        <v>2686</v>
      </c>
      <c r="B889" s="8">
        <v>46011</v>
      </c>
      <c r="C889" t="s">
        <v>3429</v>
      </c>
      <c r="D889" t="s">
        <v>530</v>
      </c>
      <c r="E889" t="s">
        <v>218</v>
      </c>
      <c r="F889">
        <v>52</v>
      </c>
      <c r="G889" t="s">
        <v>11</v>
      </c>
      <c r="H889" t="s">
        <v>12</v>
      </c>
      <c r="I889" t="s">
        <v>26</v>
      </c>
      <c r="J889" t="s">
        <v>27</v>
      </c>
      <c r="K889" t="s">
        <v>22</v>
      </c>
      <c r="L889">
        <v>5</v>
      </c>
      <c r="M889" s="12">
        <v>27499</v>
      </c>
      <c r="N889" s="12">
        <v>23374.149999999998</v>
      </c>
      <c r="O889">
        <v>11</v>
      </c>
      <c r="P889" s="12">
        <v>122370.55</v>
      </c>
      <c r="Q889" s="12">
        <v>116870.74999999999</v>
      </c>
      <c r="R889" s="12">
        <v>5499.8000000000175</v>
      </c>
      <c r="S889" t="s">
        <v>113</v>
      </c>
      <c r="T889" t="s">
        <v>107</v>
      </c>
      <c r="U889" t="s">
        <v>1196</v>
      </c>
    </row>
    <row r="890" spans="1:21" x14ac:dyDescent="0.25">
      <c r="A890" t="s">
        <v>2687</v>
      </c>
      <c r="B890" s="8">
        <v>45683</v>
      </c>
      <c r="C890" t="s">
        <v>1935</v>
      </c>
      <c r="D890" t="s">
        <v>785</v>
      </c>
      <c r="E890" t="s">
        <v>198</v>
      </c>
      <c r="F890">
        <v>44</v>
      </c>
      <c r="G890" t="s">
        <v>9</v>
      </c>
      <c r="H890" t="s">
        <v>8</v>
      </c>
      <c r="I890" t="s">
        <v>47</v>
      </c>
      <c r="J890" t="s">
        <v>52</v>
      </c>
      <c r="K890" t="s">
        <v>43</v>
      </c>
      <c r="L890">
        <v>1</v>
      </c>
      <c r="M890" s="12">
        <v>42999</v>
      </c>
      <c r="N890" s="12">
        <v>33539.22</v>
      </c>
      <c r="O890">
        <v>2</v>
      </c>
      <c r="P890" s="12">
        <v>42139.02</v>
      </c>
      <c r="Q890" s="12">
        <v>33539.22</v>
      </c>
      <c r="R890" s="12">
        <v>8599.7999999999956</v>
      </c>
      <c r="S890" t="s">
        <v>1246</v>
      </c>
      <c r="T890" t="s">
        <v>109</v>
      </c>
      <c r="U890" t="s">
        <v>1201</v>
      </c>
    </row>
    <row r="891" spans="1:21" x14ac:dyDescent="0.25">
      <c r="A891" t="s">
        <v>2688</v>
      </c>
      <c r="B891" s="8">
        <v>45938</v>
      </c>
      <c r="C891" t="s">
        <v>3331</v>
      </c>
      <c r="D891" t="s">
        <v>440</v>
      </c>
      <c r="E891" t="s">
        <v>218</v>
      </c>
      <c r="F891">
        <v>27</v>
      </c>
      <c r="G891" t="s">
        <v>289</v>
      </c>
      <c r="H891" t="s">
        <v>3</v>
      </c>
      <c r="I891" t="s">
        <v>26</v>
      </c>
      <c r="J891" t="s">
        <v>27</v>
      </c>
      <c r="K891" t="s">
        <v>22</v>
      </c>
      <c r="L891">
        <v>4</v>
      </c>
      <c r="M891" s="12">
        <v>27499</v>
      </c>
      <c r="N891" s="12">
        <v>23374.149999999998</v>
      </c>
      <c r="O891">
        <v>8</v>
      </c>
      <c r="P891" s="12">
        <v>101196.32</v>
      </c>
      <c r="Q891" s="12">
        <v>93496.599999999991</v>
      </c>
      <c r="R891" s="12">
        <v>7699.7200000000157</v>
      </c>
      <c r="S891" t="s">
        <v>1246</v>
      </c>
      <c r="T891" t="s">
        <v>107</v>
      </c>
      <c r="U891" t="s">
        <v>1205</v>
      </c>
    </row>
    <row r="892" spans="1:21" x14ac:dyDescent="0.25">
      <c r="A892" t="s">
        <v>2689</v>
      </c>
      <c r="B892" s="8">
        <v>45922</v>
      </c>
      <c r="C892" t="s">
        <v>1450</v>
      </c>
      <c r="D892" t="s">
        <v>627</v>
      </c>
      <c r="E892" t="s">
        <v>218</v>
      </c>
      <c r="F892">
        <v>34</v>
      </c>
      <c r="G892" t="s">
        <v>4</v>
      </c>
      <c r="H892" t="s">
        <v>3</v>
      </c>
      <c r="I892" t="s">
        <v>42</v>
      </c>
      <c r="J892" t="s">
        <v>44</v>
      </c>
      <c r="K892" t="s">
        <v>43</v>
      </c>
      <c r="L892">
        <v>4</v>
      </c>
      <c r="M892" s="12">
        <v>8999</v>
      </c>
      <c r="N892" s="12">
        <v>6479.28</v>
      </c>
      <c r="O892">
        <v>6</v>
      </c>
      <c r="P892" s="12">
        <v>33836.239999999998</v>
      </c>
      <c r="Q892" s="12">
        <v>25917.119999999999</v>
      </c>
      <c r="R892" s="12">
        <v>7919.119999999999</v>
      </c>
      <c r="S892" t="s">
        <v>113</v>
      </c>
      <c r="T892" t="s">
        <v>107</v>
      </c>
      <c r="U892" t="s">
        <v>1203</v>
      </c>
    </row>
    <row r="893" spans="1:21" x14ac:dyDescent="0.25">
      <c r="A893" t="s">
        <v>2691</v>
      </c>
      <c r="B893" s="8">
        <v>45780</v>
      </c>
      <c r="C893" t="s">
        <v>1787</v>
      </c>
      <c r="D893" t="s">
        <v>833</v>
      </c>
      <c r="E893" t="s">
        <v>218</v>
      </c>
      <c r="F893">
        <v>21</v>
      </c>
      <c r="G893" t="s">
        <v>10</v>
      </c>
      <c r="H893" t="s">
        <v>8</v>
      </c>
      <c r="I893" t="s">
        <v>51</v>
      </c>
      <c r="J893" t="s">
        <v>54</v>
      </c>
      <c r="K893" t="s">
        <v>43</v>
      </c>
      <c r="L893">
        <v>2</v>
      </c>
      <c r="M893" s="12">
        <v>27499</v>
      </c>
      <c r="N893" s="12">
        <v>21724.210000000003</v>
      </c>
      <c r="O893">
        <v>5</v>
      </c>
      <c r="P893" s="12">
        <v>52248.1</v>
      </c>
      <c r="Q893" s="12">
        <v>43448.420000000006</v>
      </c>
      <c r="R893" s="12">
        <v>8799.679999999993</v>
      </c>
      <c r="S893" t="s">
        <v>113</v>
      </c>
      <c r="T893" t="s">
        <v>107</v>
      </c>
      <c r="U893" t="s">
        <v>1211</v>
      </c>
    </row>
    <row r="894" spans="1:21" x14ac:dyDescent="0.25">
      <c r="A894" t="s">
        <v>2693</v>
      </c>
      <c r="B894" s="8">
        <v>45817</v>
      </c>
      <c r="C894" t="s">
        <v>3427</v>
      </c>
      <c r="D894" t="s">
        <v>840</v>
      </c>
      <c r="E894" t="s">
        <v>218</v>
      </c>
      <c r="F894">
        <v>34</v>
      </c>
      <c r="G894" t="s">
        <v>10</v>
      </c>
      <c r="H894" t="s">
        <v>8</v>
      </c>
      <c r="I894" t="s">
        <v>30</v>
      </c>
      <c r="J894" t="s">
        <v>41</v>
      </c>
      <c r="K894" t="s">
        <v>22</v>
      </c>
      <c r="L894">
        <v>4</v>
      </c>
      <c r="M894" s="12">
        <v>13749</v>
      </c>
      <c r="N894" s="12">
        <v>10999.2</v>
      </c>
      <c r="O894">
        <v>10</v>
      </c>
      <c r="P894" s="12">
        <v>49496.4</v>
      </c>
      <c r="Q894" s="12">
        <v>43996.800000000003</v>
      </c>
      <c r="R894" s="12">
        <v>5499.5999999999985</v>
      </c>
      <c r="S894" t="s">
        <v>1246</v>
      </c>
      <c r="T894" t="s">
        <v>109</v>
      </c>
      <c r="U894" t="s">
        <v>1211</v>
      </c>
    </row>
    <row r="895" spans="1:21" x14ac:dyDescent="0.25">
      <c r="A895" t="s">
        <v>2694</v>
      </c>
      <c r="B895" s="8">
        <v>45853</v>
      </c>
      <c r="C895" t="s">
        <v>2385</v>
      </c>
      <c r="D895" t="s">
        <v>481</v>
      </c>
      <c r="E895" t="s">
        <v>198</v>
      </c>
      <c r="F895">
        <v>30</v>
      </c>
      <c r="G895" t="s">
        <v>11</v>
      </c>
      <c r="H895" t="s">
        <v>12</v>
      </c>
      <c r="I895" t="s">
        <v>30</v>
      </c>
      <c r="J895" t="s">
        <v>41</v>
      </c>
      <c r="K895" t="s">
        <v>22</v>
      </c>
      <c r="L895">
        <v>4</v>
      </c>
      <c r="M895" s="12">
        <v>13749</v>
      </c>
      <c r="N895" s="12">
        <v>10999.2</v>
      </c>
      <c r="O895">
        <v>5</v>
      </c>
      <c r="P895" s="12">
        <v>52246.2</v>
      </c>
      <c r="Q895" s="12">
        <v>43996.800000000003</v>
      </c>
      <c r="R895" s="12">
        <v>8249.3999999999942</v>
      </c>
      <c r="S895" t="s">
        <v>113</v>
      </c>
      <c r="T895" t="s">
        <v>107</v>
      </c>
      <c r="U895" t="s">
        <v>1209</v>
      </c>
    </row>
    <row r="896" spans="1:21" x14ac:dyDescent="0.25">
      <c r="A896" t="s">
        <v>2696</v>
      </c>
      <c r="B896" s="8">
        <v>45888</v>
      </c>
      <c r="C896" t="s">
        <v>5087</v>
      </c>
      <c r="D896" t="s">
        <v>913</v>
      </c>
      <c r="E896" t="s">
        <v>218</v>
      </c>
      <c r="F896">
        <v>46</v>
      </c>
      <c r="G896" t="s">
        <v>4</v>
      </c>
      <c r="H896" t="s">
        <v>3</v>
      </c>
      <c r="I896" t="s">
        <v>55</v>
      </c>
      <c r="J896" t="s">
        <v>65</v>
      </c>
      <c r="K896" t="s">
        <v>64</v>
      </c>
      <c r="L896">
        <v>4</v>
      </c>
      <c r="M896" s="12">
        <v>80</v>
      </c>
      <c r="N896" s="12">
        <v>56</v>
      </c>
      <c r="O896">
        <v>4</v>
      </c>
      <c r="P896" s="12">
        <v>307.2</v>
      </c>
      <c r="Q896" s="12">
        <v>224</v>
      </c>
      <c r="R896" s="12">
        <v>83.199999999999989</v>
      </c>
      <c r="S896" t="s">
        <v>1246</v>
      </c>
      <c r="T896" t="s">
        <v>109</v>
      </c>
      <c r="U896" t="s">
        <v>1199</v>
      </c>
    </row>
    <row r="897" spans="1:21" x14ac:dyDescent="0.25">
      <c r="A897" t="s">
        <v>2697</v>
      </c>
      <c r="B897" s="8">
        <v>45672</v>
      </c>
      <c r="C897" t="s">
        <v>2034</v>
      </c>
      <c r="D897" t="s">
        <v>446</v>
      </c>
      <c r="E897" t="s">
        <v>218</v>
      </c>
      <c r="F897">
        <v>32</v>
      </c>
      <c r="G897" t="s">
        <v>14</v>
      </c>
      <c r="H897" t="s">
        <v>15</v>
      </c>
      <c r="I897" t="s">
        <v>53</v>
      </c>
      <c r="J897" t="s">
        <v>48</v>
      </c>
      <c r="K897" t="s">
        <v>43</v>
      </c>
      <c r="L897">
        <v>4</v>
      </c>
      <c r="M897" s="12">
        <v>6499</v>
      </c>
      <c r="N897" s="12">
        <v>4549.2999999999993</v>
      </c>
      <c r="O897">
        <v>2</v>
      </c>
      <c r="P897" s="12">
        <v>25476.079999999998</v>
      </c>
      <c r="Q897" s="12">
        <v>18197.199999999997</v>
      </c>
      <c r="R897" s="12">
        <v>7278.880000000001</v>
      </c>
      <c r="S897" t="s">
        <v>1246</v>
      </c>
      <c r="T897" t="s">
        <v>108</v>
      </c>
      <c r="U897" t="s">
        <v>1196</v>
      </c>
    </row>
    <row r="898" spans="1:21" x14ac:dyDescent="0.25">
      <c r="A898" t="s">
        <v>2698</v>
      </c>
      <c r="B898" s="8">
        <v>45980</v>
      </c>
      <c r="C898" t="s">
        <v>3483</v>
      </c>
      <c r="D898" t="s">
        <v>997</v>
      </c>
      <c r="E898" t="s">
        <v>198</v>
      </c>
      <c r="F898">
        <v>33</v>
      </c>
      <c r="G898" t="s">
        <v>17</v>
      </c>
      <c r="H898" t="s">
        <v>15</v>
      </c>
      <c r="I898" t="s">
        <v>55</v>
      </c>
      <c r="J898" t="s">
        <v>65</v>
      </c>
      <c r="K898" t="s">
        <v>64</v>
      </c>
      <c r="L898">
        <v>2</v>
      </c>
      <c r="M898" s="12">
        <v>80</v>
      </c>
      <c r="N898" s="12">
        <v>56</v>
      </c>
      <c r="O898">
        <v>8</v>
      </c>
      <c r="P898" s="12">
        <v>147.20000000000002</v>
      </c>
      <c r="Q898" s="12">
        <v>112</v>
      </c>
      <c r="R898" s="12">
        <v>35.200000000000017</v>
      </c>
      <c r="S898" t="s">
        <v>1246</v>
      </c>
      <c r="T898" t="s">
        <v>108</v>
      </c>
      <c r="U898" t="s">
        <v>1203</v>
      </c>
    </row>
    <row r="899" spans="1:21" x14ac:dyDescent="0.25">
      <c r="A899" t="s">
        <v>2700</v>
      </c>
      <c r="B899" s="8">
        <v>45835</v>
      </c>
      <c r="C899" t="s">
        <v>2539</v>
      </c>
      <c r="D899" t="s">
        <v>417</v>
      </c>
      <c r="E899" t="s">
        <v>198</v>
      </c>
      <c r="F899">
        <v>20</v>
      </c>
      <c r="G899" t="s">
        <v>290</v>
      </c>
      <c r="H899" t="s">
        <v>3</v>
      </c>
      <c r="I899" t="s">
        <v>63</v>
      </c>
      <c r="J899" t="s">
        <v>77</v>
      </c>
      <c r="K899" t="s">
        <v>64</v>
      </c>
      <c r="L899">
        <v>4</v>
      </c>
      <c r="M899" s="12">
        <v>650</v>
      </c>
      <c r="N899" s="12">
        <v>468</v>
      </c>
      <c r="O899">
        <v>13</v>
      </c>
      <c r="P899" s="12">
        <v>2262</v>
      </c>
      <c r="Q899" s="12">
        <v>1872</v>
      </c>
      <c r="R899" s="12">
        <v>390</v>
      </c>
      <c r="S899" t="s">
        <v>1246</v>
      </c>
      <c r="T899" t="s">
        <v>108</v>
      </c>
      <c r="U899" t="s">
        <v>1211</v>
      </c>
    </row>
    <row r="900" spans="1:21" x14ac:dyDescent="0.25">
      <c r="A900" t="s">
        <v>2701</v>
      </c>
      <c r="B900" s="8">
        <v>45888</v>
      </c>
      <c r="C900" t="s">
        <v>3596</v>
      </c>
      <c r="D900" t="s">
        <v>1000</v>
      </c>
      <c r="E900" t="s">
        <v>198</v>
      </c>
      <c r="F900">
        <v>48</v>
      </c>
      <c r="G900" t="s">
        <v>290</v>
      </c>
      <c r="H900" t="s">
        <v>3</v>
      </c>
      <c r="I900" t="s">
        <v>21</v>
      </c>
      <c r="J900" t="s">
        <v>23</v>
      </c>
      <c r="K900" t="s">
        <v>22</v>
      </c>
      <c r="L900">
        <v>5</v>
      </c>
      <c r="M900" s="12">
        <v>54999</v>
      </c>
      <c r="N900" s="12">
        <v>45099.18</v>
      </c>
      <c r="O900">
        <v>5</v>
      </c>
      <c r="P900" s="12">
        <v>261245.25</v>
      </c>
      <c r="Q900" s="12">
        <v>225495.9</v>
      </c>
      <c r="R900" s="12">
        <v>35749.350000000006</v>
      </c>
      <c r="S900" t="s">
        <v>113</v>
      </c>
      <c r="T900" t="s">
        <v>108</v>
      </c>
      <c r="U900" t="s">
        <v>1205</v>
      </c>
    </row>
    <row r="901" spans="1:21" x14ac:dyDescent="0.25">
      <c r="A901" t="s">
        <v>2702</v>
      </c>
      <c r="B901" s="8">
        <v>45914</v>
      </c>
      <c r="C901" t="s">
        <v>3205</v>
      </c>
      <c r="D901" t="s">
        <v>1185</v>
      </c>
      <c r="E901" t="s">
        <v>218</v>
      </c>
      <c r="F901">
        <v>30</v>
      </c>
      <c r="G901" t="s">
        <v>14</v>
      </c>
      <c r="H901" t="s">
        <v>15</v>
      </c>
      <c r="I901" t="s">
        <v>63</v>
      </c>
      <c r="J901" t="s">
        <v>77</v>
      </c>
      <c r="K901" t="s">
        <v>64</v>
      </c>
      <c r="L901">
        <v>2</v>
      </c>
      <c r="M901" s="12">
        <v>650</v>
      </c>
      <c r="N901" s="12">
        <v>468</v>
      </c>
      <c r="O901">
        <v>5</v>
      </c>
      <c r="P901" s="12">
        <v>1235</v>
      </c>
      <c r="Q901" s="12">
        <v>936</v>
      </c>
      <c r="R901" s="12">
        <v>299</v>
      </c>
      <c r="S901" t="s">
        <v>113</v>
      </c>
      <c r="T901" t="s">
        <v>107</v>
      </c>
      <c r="U901" t="s">
        <v>1207</v>
      </c>
    </row>
    <row r="902" spans="1:21" x14ac:dyDescent="0.25">
      <c r="A902" t="s">
        <v>2703</v>
      </c>
      <c r="B902" s="8">
        <v>45904</v>
      </c>
      <c r="C902" t="s">
        <v>4223</v>
      </c>
      <c r="D902" t="s">
        <v>1080</v>
      </c>
      <c r="E902" t="s">
        <v>218</v>
      </c>
      <c r="F902">
        <v>21</v>
      </c>
      <c r="G902" t="s">
        <v>289</v>
      </c>
      <c r="H902" t="s">
        <v>3</v>
      </c>
      <c r="I902" t="s">
        <v>63</v>
      </c>
      <c r="J902" t="s">
        <v>77</v>
      </c>
      <c r="K902" t="s">
        <v>64</v>
      </c>
      <c r="L902">
        <v>1</v>
      </c>
      <c r="M902" s="12">
        <v>650</v>
      </c>
      <c r="N902" s="12">
        <v>468</v>
      </c>
      <c r="O902">
        <v>1</v>
      </c>
      <c r="P902" s="12">
        <v>643.5</v>
      </c>
      <c r="Q902" s="12">
        <v>468</v>
      </c>
      <c r="R902" s="12">
        <v>175.5</v>
      </c>
      <c r="S902" t="s">
        <v>113</v>
      </c>
      <c r="T902" t="s">
        <v>107</v>
      </c>
      <c r="U902" t="s">
        <v>1203</v>
      </c>
    </row>
    <row r="903" spans="1:21" x14ac:dyDescent="0.25">
      <c r="A903" t="s">
        <v>2704</v>
      </c>
      <c r="B903" s="8">
        <v>45729</v>
      </c>
      <c r="C903" t="s">
        <v>2365</v>
      </c>
      <c r="D903" t="s">
        <v>1003</v>
      </c>
      <c r="E903" t="s">
        <v>218</v>
      </c>
      <c r="F903">
        <v>25</v>
      </c>
      <c r="G903" t="s">
        <v>5</v>
      </c>
      <c r="H903" t="s">
        <v>3</v>
      </c>
      <c r="I903" t="s">
        <v>45</v>
      </c>
      <c r="J903" t="s">
        <v>46</v>
      </c>
      <c r="K903" t="s">
        <v>43</v>
      </c>
      <c r="L903">
        <v>5</v>
      </c>
      <c r="M903" s="12">
        <v>11999</v>
      </c>
      <c r="N903" s="12">
        <v>8999.25</v>
      </c>
      <c r="O903">
        <v>8</v>
      </c>
      <c r="P903" s="12">
        <v>55195.4</v>
      </c>
      <c r="Q903" s="12">
        <v>44996.25</v>
      </c>
      <c r="R903" s="12">
        <v>10199.150000000001</v>
      </c>
      <c r="S903" t="s">
        <v>1246</v>
      </c>
      <c r="T903" t="s">
        <v>107</v>
      </c>
      <c r="U903" t="s">
        <v>1211</v>
      </c>
    </row>
    <row r="904" spans="1:21" x14ac:dyDescent="0.25">
      <c r="A904" t="s">
        <v>2705</v>
      </c>
      <c r="B904" s="8">
        <v>45806</v>
      </c>
      <c r="C904" t="s">
        <v>3754</v>
      </c>
      <c r="D904" t="s">
        <v>643</v>
      </c>
      <c r="E904" t="s">
        <v>218</v>
      </c>
      <c r="F904">
        <v>44</v>
      </c>
      <c r="G904" t="s">
        <v>7</v>
      </c>
      <c r="H904" t="s">
        <v>8</v>
      </c>
      <c r="I904" t="s">
        <v>34</v>
      </c>
      <c r="J904" t="s">
        <v>137</v>
      </c>
      <c r="K904" t="s">
        <v>22</v>
      </c>
      <c r="L904">
        <v>4</v>
      </c>
      <c r="M904" s="12">
        <v>6900</v>
      </c>
      <c r="N904" s="12">
        <v>5727</v>
      </c>
      <c r="O904">
        <v>8</v>
      </c>
      <c r="P904" s="12">
        <v>25392</v>
      </c>
      <c r="Q904" s="12">
        <v>22908</v>
      </c>
      <c r="R904" s="12">
        <v>2484</v>
      </c>
      <c r="S904" t="s">
        <v>1246</v>
      </c>
      <c r="T904" t="s">
        <v>107</v>
      </c>
      <c r="U904" t="s">
        <v>1199</v>
      </c>
    </row>
    <row r="905" spans="1:21" x14ac:dyDescent="0.25">
      <c r="A905" t="s">
        <v>2706</v>
      </c>
      <c r="B905" s="8">
        <v>46005</v>
      </c>
      <c r="C905" t="s">
        <v>1383</v>
      </c>
      <c r="D905" t="s">
        <v>998</v>
      </c>
      <c r="E905" t="s">
        <v>198</v>
      </c>
      <c r="F905">
        <v>60</v>
      </c>
      <c r="G905" t="s">
        <v>9</v>
      </c>
      <c r="H905" t="s">
        <v>8</v>
      </c>
      <c r="I905" t="s">
        <v>40</v>
      </c>
      <c r="J905" t="s">
        <v>39</v>
      </c>
      <c r="K905" t="s">
        <v>22</v>
      </c>
      <c r="L905">
        <v>5</v>
      </c>
      <c r="M905" s="12">
        <v>1100</v>
      </c>
      <c r="N905" s="12">
        <v>715</v>
      </c>
      <c r="O905">
        <v>16</v>
      </c>
      <c r="P905" s="12">
        <v>4620</v>
      </c>
      <c r="Q905" s="12">
        <v>3575</v>
      </c>
      <c r="R905" s="12">
        <v>1045</v>
      </c>
      <c r="S905" t="s">
        <v>113</v>
      </c>
      <c r="T905" t="s">
        <v>107</v>
      </c>
      <c r="U905" t="s">
        <v>1194</v>
      </c>
    </row>
    <row r="906" spans="1:21" x14ac:dyDescent="0.25">
      <c r="A906" t="s">
        <v>2707</v>
      </c>
      <c r="B906" s="8">
        <v>46013</v>
      </c>
      <c r="C906" t="s">
        <v>5093</v>
      </c>
      <c r="D906" t="s">
        <v>638</v>
      </c>
      <c r="E906" t="s">
        <v>218</v>
      </c>
      <c r="F906">
        <v>46</v>
      </c>
      <c r="G906" t="s">
        <v>289</v>
      </c>
      <c r="H906" t="s">
        <v>3</v>
      </c>
      <c r="I906" t="s">
        <v>57</v>
      </c>
      <c r="J906" t="s">
        <v>67</v>
      </c>
      <c r="K906" t="s">
        <v>64</v>
      </c>
      <c r="L906">
        <v>5</v>
      </c>
      <c r="M906" s="12">
        <v>150</v>
      </c>
      <c r="N906" s="12">
        <v>97.5</v>
      </c>
      <c r="O906">
        <v>4</v>
      </c>
      <c r="P906" s="12">
        <v>720</v>
      </c>
      <c r="Q906" s="12">
        <v>487.5</v>
      </c>
      <c r="R906" s="12">
        <v>232.5</v>
      </c>
      <c r="S906" t="s">
        <v>1246</v>
      </c>
      <c r="T906" t="s">
        <v>107</v>
      </c>
      <c r="U906" t="s">
        <v>1209</v>
      </c>
    </row>
    <row r="907" spans="1:21" x14ac:dyDescent="0.25">
      <c r="A907" t="s">
        <v>2708</v>
      </c>
      <c r="B907" s="8">
        <v>45990</v>
      </c>
      <c r="C907" t="s">
        <v>3224</v>
      </c>
      <c r="D907" t="s">
        <v>1190</v>
      </c>
      <c r="E907" t="s">
        <v>218</v>
      </c>
      <c r="F907">
        <v>64</v>
      </c>
      <c r="G907" t="s">
        <v>290</v>
      </c>
      <c r="H907" t="s">
        <v>3</v>
      </c>
      <c r="I907" t="s">
        <v>26</v>
      </c>
      <c r="J907" t="s">
        <v>27</v>
      </c>
      <c r="K907" t="s">
        <v>22</v>
      </c>
      <c r="L907">
        <v>2</v>
      </c>
      <c r="M907" s="12">
        <v>27499</v>
      </c>
      <c r="N907" s="12">
        <v>23374.149999999998</v>
      </c>
      <c r="O907">
        <v>18</v>
      </c>
      <c r="P907" s="12">
        <v>45098.36</v>
      </c>
      <c r="Q907" s="12">
        <v>46748.299999999996</v>
      </c>
      <c r="R907" s="12">
        <v>-1649.9399999999951</v>
      </c>
      <c r="S907" t="s">
        <v>1246</v>
      </c>
      <c r="T907" t="s">
        <v>110</v>
      </c>
      <c r="U907" t="s">
        <v>1199</v>
      </c>
    </row>
    <row r="908" spans="1:21" x14ac:dyDescent="0.25">
      <c r="A908" t="s">
        <v>2709</v>
      </c>
      <c r="B908" s="8">
        <v>45731</v>
      </c>
      <c r="C908" t="s">
        <v>1390</v>
      </c>
      <c r="D908" t="s">
        <v>712</v>
      </c>
      <c r="E908" t="s">
        <v>218</v>
      </c>
      <c r="F908">
        <v>42</v>
      </c>
      <c r="G908" t="s">
        <v>289</v>
      </c>
      <c r="H908" t="s">
        <v>3</v>
      </c>
      <c r="I908" t="s">
        <v>32</v>
      </c>
      <c r="J908" t="s">
        <v>29</v>
      </c>
      <c r="K908" t="s">
        <v>22</v>
      </c>
      <c r="L908">
        <v>4</v>
      </c>
      <c r="M908" s="12">
        <v>9500</v>
      </c>
      <c r="N908" s="12">
        <v>6650</v>
      </c>
      <c r="O908">
        <v>6</v>
      </c>
      <c r="P908" s="12">
        <v>35720</v>
      </c>
      <c r="Q908" s="12">
        <v>26600</v>
      </c>
      <c r="R908" s="12">
        <v>9120</v>
      </c>
      <c r="S908" t="s">
        <v>113</v>
      </c>
      <c r="T908" t="s">
        <v>109</v>
      </c>
      <c r="U908" t="s">
        <v>1199</v>
      </c>
    </row>
    <row r="909" spans="1:21" x14ac:dyDescent="0.25">
      <c r="A909" t="s">
        <v>2710</v>
      </c>
      <c r="B909" s="8">
        <v>45670</v>
      </c>
      <c r="C909" t="s">
        <v>4569</v>
      </c>
      <c r="D909" t="s">
        <v>1079</v>
      </c>
      <c r="E909" t="s">
        <v>218</v>
      </c>
      <c r="F909">
        <v>65</v>
      </c>
      <c r="G909" t="s">
        <v>4</v>
      </c>
      <c r="H909" t="s">
        <v>3</v>
      </c>
      <c r="I909" t="s">
        <v>36</v>
      </c>
      <c r="J909" t="s">
        <v>136</v>
      </c>
      <c r="K909" t="s">
        <v>22</v>
      </c>
      <c r="L909">
        <v>3</v>
      </c>
      <c r="M909" s="12">
        <v>3590</v>
      </c>
      <c r="N909" s="12">
        <v>2333.5</v>
      </c>
      <c r="O909">
        <v>7</v>
      </c>
      <c r="P909" s="12">
        <v>10016.099999999999</v>
      </c>
      <c r="Q909" s="12">
        <v>7000.5</v>
      </c>
      <c r="R909" s="12">
        <v>3015.5999999999985</v>
      </c>
      <c r="S909" t="s">
        <v>113</v>
      </c>
      <c r="T909" t="s">
        <v>107</v>
      </c>
      <c r="U909" t="s">
        <v>1201</v>
      </c>
    </row>
    <row r="910" spans="1:21" x14ac:dyDescent="0.25">
      <c r="A910" t="s">
        <v>2711</v>
      </c>
      <c r="B910" s="8">
        <v>46010</v>
      </c>
      <c r="C910" t="s">
        <v>2390</v>
      </c>
      <c r="D910" t="s">
        <v>994</v>
      </c>
      <c r="E910" t="s">
        <v>218</v>
      </c>
      <c r="F910">
        <v>26</v>
      </c>
      <c r="G910" t="s">
        <v>2</v>
      </c>
      <c r="H910" t="s">
        <v>3</v>
      </c>
      <c r="I910" t="s">
        <v>38</v>
      </c>
      <c r="J910" t="s">
        <v>37</v>
      </c>
      <c r="K910" t="s">
        <v>22</v>
      </c>
      <c r="L910">
        <v>2</v>
      </c>
      <c r="M910" s="12">
        <v>1650</v>
      </c>
      <c r="N910" s="12">
        <v>990</v>
      </c>
      <c r="O910">
        <v>17</v>
      </c>
      <c r="P910" s="12">
        <v>2739</v>
      </c>
      <c r="Q910" s="12">
        <v>1980</v>
      </c>
      <c r="R910" s="12">
        <v>759</v>
      </c>
      <c r="S910" t="s">
        <v>113</v>
      </c>
      <c r="T910" t="s">
        <v>110</v>
      </c>
      <c r="U910" t="s">
        <v>1211</v>
      </c>
    </row>
    <row r="911" spans="1:21" x14ac:dyDescent="0.25">
      <c r="A911" t="s">
        <v>2712</v>
      </c>
      <c r="B911" s="8">
        <v>45909</v>
      </c>
      <c r="C911" t="s">
        <v>1345</v>
      </c>
      <c r="D911" t="s">
        <v>1172</v>
      </c>
      <c r="E911" t="s">
        <v>218</v>
      </c>
      <c r="F911">
        <v>63</v>
      </c>
      <c r="G911" t="s">
        <v>9</v>
      </c>
      <c r="H911" t="s">
        <v>8</v>
      </c>
      <c r="I911" t="s">
        <v>32</v>
      </c>
      <c r="J911" t="s">
        <v>29</v>
      </c>
      <c r="K911" t="s">
        <v>22</v>
      </c>
      <c r="L911">
        <v>1</v>
      </c>
      <c r="M911" s="12">
        <v>9500</v>
      </c>
      <c r="N911" s="12">
        <v>6650</v>
      </c>
      <c r="O911">
        <v>6</v>
      </c>
      <c r="P911" s="12">
        <v>8930</v>
      </c>
      <c r="Q911" s="12">
        <v>6650</v>
      </c>
      <c r="R911" s="12">
        <v>2280</v>
      </c>
      <c r="S911" t="s">
        <v>1246</v>
      </c>
      <c r="T911" t="s">
        <v>109</v>
      </c>
      <c r="U911" t="s">
        <v>1211</v>
      </c>
    </row>
    <row r="912" spans="1:21" x14ac:dyDescent="0.25">
      <c r="A912" t="s">
        <v>2714</v>
      </c>
      <c r="B912" s="8">
        <v>45919</v>
      </c>
      <c r="C912" t="s">
        <v>3690</v>
      </c>
      <c r="D912" t="s">
        <v>512</v>
      </c>
      <c r="E912" t="s">
        <v>198</v>
      </c>
      <c r="F912">
        <v>48</v>
      </c>
      <c r="G912" t="s">
        <v>16</v>
      </c>
      <c r="H912" t="s">
        <v>15</v>
      </c>
      <c r="I912" t="s">
        <v>40</v>
      </c>
      <c r="J912" t="s">
        <v>39</v>
      </c>
      <c r="K912" t="s">
        <v>22</v>
      </c>
      <c r="L912">
        <v>3</v>
      </c>
      <c r="M912" s="12">
        <v>1100</v>
      </c>
      <c r="N912" s="12">
        <v>715</v>
      </c>
      <c r="O912">
        <v>5</v>
      </c>
      <c r="P912" s="12">
        <v>3135</v>
      </c>
      <c r="Q912" s="12">
        <v>2145</v>
      </c>
      <c r="R912" s="12">
        <v>990</v>
      </c>
      <c r="S912" t="s">
        <v>113</v>
      </c>
      <c r="T912" t="s">
        <v>109</v>
      </c>
      <c r="U912" t="s">
        <v>1199</v>
      </c>
    </row>
    <row r="913" spans="1:21" x14ac:dyDescent="0.25">
      <c r="A913" t="s">
        <v>2716</v>
      </c>
      <c r="B913" s="8">
        <v>45739</v>
      </c>
      <c r="C913" t="s">
        <v>4702</v>
      </c>
      <c r="D913" t="s">
        <v>1099</v>
      </c>
      <c r="E913" t="s">
        <v>218</v>
      </c>
      <c r="F913">
        <v>20</v>
      </c>
      <c r="G913" t="s">
        <v>11</v>
      </c>
      <c r="H913" t="s">
        <v>12</v>
      </c>
      <c r="I913" t="s">
        <v>26</v>
      </c>
      <c r="J913" t="s">
        <v>27</v>
      </c>
      <c r="K913" t="s">
        <v>22</v>
      </c>
      <c r="L913">
        <v>4</v>
      </c>
      <c r="M913" s="12">
        <v>27499</v>
      </c>
      <c r="N913" s="12">
        <v>23374.149999999998</v>
      </c>
      <c r="O913">
        <v>6</v>
      </c>
      <c r="P913" s="12">
        <v>103396.23999999999</v>
      </c>
      <c r="Q913" s="12">
        <v>93496.599999999991</v>
      </c>
      <c r="R913" s="12">
        <v>9899.64</v>
      </c>
      <c r="S913" t="s">
        <v>1246</v>
      </c>
      <c r="T913" t="s">
        <v>107</v>
      </c>
      <c r="U913" t="s">
        <v>1198</v>
      </c>
    </row>
    <row r="914" spans="1:21" x14ac:dyDescent="0.25">
      <c r="A914" t="s">
        <v>2717</v>
      </c>
      <c r="B914" s="8">
        <v>45953</v>
      </c>
      <c r="C914" t="s">
        <v>1312</v>
      </c>
      <c r="D914" t="s">
        <v>959</v>
      </c>
      <c r="E914" t="s">
        <v>218</v>
      </c>
      <c r="F914">
        <v>47</v>
      </c>
      <c r="G914" t="s">
        <v>289</v>
      </c>
      <c r="H914" t="s">
        <v>3</v>
      </c>
      <c r="I914" t="s">
        <v>21</v>
      </c>
      <c r="J914" t="s">
        <v>23</v>
      </c>
      <c r="K914" t="s">
        <v>22</v>
      </c>
      <c r="L914">
        <v>1</v>
      </c>
      <c r="M914" s="12">
        <v>54999</v>
      </c>
      <c r="N914" s="12">
        <v>45099.18</v>
      </c>
      <c r="O914">
        <v>5</v>
      </c>
      <c r="P914" s="12">
        <v>52249.049999999996</v>
      </c>
      <c r="Q914" s="12">
        <v>45099.18</v>
      </c>
      <c r="R914" s="12">
        <v>7149.8699999999953</v>
      </c>
      <c r="S914" t="s">
        <v>113</v>
      </c>
      <c r="T914" t="s">
        <v>107</v>
      </c>
      <c r="U914" t="s">
        <v>1194</v>
      </c>
    </row>
    <row r="915" spans="1:21" x14ac:dyDescent="0.25">
      <c r="A915" t="s">
        <v>2719</v>
      </c>
      <c r="B915" s="8">
        <v>45924</v>
      </c>
      <c r="C915" t="s">
        <v>1903</v>
      </c>
      <c r="D915" t="s">
        <v>1167</v>
      </c>
      <c r="E915" t="s">
        <v>198</v>
      </c>
      <c r="F915">
        <v>21</v>
      </c>
      <c r="G915" t="s">
        <v>17</v>
      </c>
      <c r="H915" t="s">
        <v>15</v>
      </c>
      <c r="I915" t="s">
        <v>45</v>
      </c>
      <c r="J915" t="s">
        <v>46</v>
      </c>
      <c r="K915" t="s">
        <v>43</v>
      </c>
      <c r="L915">
        <v>5</v>
      </c>
      <c r="M915" s="12">
        <v>11999</v>
      </c>
      <c r="N915" s="12">
        <v>8999.25</v>
      </c>
      <c r="O915">
        <v>10</v>
      </c>
      <c r="P915" s="12">
        <v>53995.5</v>
      </c>
      <c r="Q915" s="12">
        <v>44996.25</v>
      </c>
      <c r="R915" s="12">
        <v>8999.25</v>
      </c>
      <c r="S915" t="s">
        <v>1246</v>
      </c>
      <c r="T915" t="s">
        <v>107</v>
      </c>
      <c r="U915" t="s">
        <v>1203</v>
      </c>
    </row>
    <row r="916" spans="1:21" x14ac:dyDescent="0.25">
      <c r="A916" t="s">
        <v>2720</v>
      </c>
      <c r="B916" s="8">
        <v>45777</v>
      </c>
      <c r="C916" t="s">
        <v>2152</v>
      </c>
      <c r="D916" t="s">
        <v>852</v>
      </c>
      <c r="E916" t="s">
        <v>198</v>
      </c>
      <c r="F916">
        <v>57</v>
      </c>
      <c r="G916" t="s">
        <v>14</v>
      </c>
      <c r="H916" t="s">
        <v>15</v>
      </c>
      <c r="I916" t="s">
        <v>61</v>
      </c>
      <c r="J916" t="s">
        <v>146</v>
      </c>
      <c r="K916" t="s">
        <v>64</v>
      </c>
      <c r="L916">
        <v>5</v>
      </c>
      <c r="M916" s="12">
        <v>250</v>
      </c>
      <c r="N916" s="12">
        <v>155</v>
      </c>
      <c r="O916">
        <v>4</v>
      </c>
      <c r="P916" s="12">
        <v>1200</v>
      </c>
      <c r="Q916" s="12">
        <v>775</v>
      </c>
      <c r="R916" s="12">
        <v>425</v>
      </c>
      <c r="S916" t="s">
        <v>1246</v>
      </c>
      <c r="T916" t="s">
        <v>107</v>
      </c>
      <c r="U916" t="s">
        <v>1198</v>
      </c>
    </row>
    <row r="917" spans="1:21" x14ac:dyDescent="0.25">
      <c r="A917" t="s">
        <v>2722</v>
      </c>
      <c r="B917" s="8">
        <v>45712</v>
      </c>
      <c r="C917" t="s">
        <v>1318</v>
      </c>
      <c r="D917" t="s">
        <v>653</v>
      </c>
      <c r="E917" t="s">
        <v>218</v>
      </c>
      <c r="F917">
        <v>41</v>
      </c>
      <c r="G917" t="s">
        <v>10</v>
      </c>
      <c r="H917" t="s">
        <v>8</v>
      </c>
      <c r="I917" t="s">
        <v>38</v>
      </c>
      <c r="J917" t="s">
        <v>37</v>
      </c>
      <c r="K917" t="s">
        <v>22</v>
      </c>
      <c r="L917">
        <v>2</v>
      </c>
      <c r="M917" s="12">
        <v>1650</v>
      </c>
      <c r="N917" s="12">
        <v>990</v>
      </c>
      <c r="O917">
        <v>6</v>
      </c>
      <c r="P917" s="12">
        <v>3102</v>
      </c>
      <c r="Q917" s="12">
        <v>1980</v>
      </c>
      <c r="R917" s="12">
        <v>1122</v>
      </c>
      <c r="S917" t="s">
        <v>1249</v>
      </c>
      <c r="T917" t="s">
        <v>110</v>
      </c>
      <c r="U917" t="s">
        <v>1199</v>
      </c>
    </row>
    <row r="918" spans="1:21" x14ac:dyDescent="0.25">
      <c r="A918" t="s">
        <v>2724</v>
      </c>
      <c r="B918" s="8">
        <v>45883</v>
      </c>
      <c r="C918" t="s">
        <v>3325</v>
      </c>
      <c r="D918" t="s">
        <v>849</v>
      </c>
      <c r="E918" t="s">
        <v>198</v>
      </c>
      <c r="F918">
        <v>27</v>
      </c>
      <c r="G918" t="s">
        <v>17</v>
      </c>
      <c r="H918" t="s">
        <v>15</v>
      </c>
      <c r="I918" t="s">
        <v>40</v>
      </c>
      <c r="J918" t="s">
        <v>39</v>
      </c>
      <c r="K918" t="s">
        <v>22</v>
      </c>
      <c r="L918">
        <v>5</v>
      </c>
      <c r="M918" s="12">
        <v>1100</v>
      </c>
      <c r="N918" s="12">
        <v>715</v>
      </c>
      <c r="O918">
        <v>3</v>
      </c>
      <c r="P918" s="12">
        <v>5335</v>
      </c>
      <c r="Q918" s="12">
        <v>3575</v>
      </c>
      <c r="R918" s="12">
        <v>1760</v>
      </c>
      <c r="S918" t="s">
        <v>113</v>
      </c>
      <c r="T918" t="s">
        <v>107</v>
      </c>
      <c r="U918" t="s">
        <v>1198</v>
      </c>
    </row>
    <row r="919" spans="1:21" x14ac:dyDescent="0.25">
      <c r="A919" t="s">
        <v>2725</v>
      </c>
      <c r="B919" s="8">
        <v>46020</v>
      </c>
      <c r="C919" t="s">
        <v>2031</v>
      </c>
      <c r="D919" t="s">
        <v>363</v>
      </c>
      <c r="E919" t="s">
        <v>218</v>
      </c>
      <c r="F919">
        <v>33</v>
      </c>
      <c r="G919" t="s">
        <v>5</v>
      </c>
      <c r="H919" t="s">
        <v>3</v>
      </c>
      <c r="I919" t="s">
        <v>24</v>
      </c>
      <c r="J919" t="s">
        <v>25</v>
      </c>
      <c r="K919" t="s">
        <v>22</v>
      </c>
      <c r="L919">
        <v>4</v>
      </c>
      <c r="M919" s="12">
        <v>35800</v>
      </c>
      <c r="N919" s="12">
        <v>28640</v>
      </c>
      <c r="O919">
        <v>15</v>
      </c>
      <c r="P919" s="12">
        <v>121720</v>
      </c>
      <c r="Q919" s="12">
        <v>114560</v>
      </c>
      <c r="R919" s="12">
        <v>7160</v>
      </c>
      <c r="S919" t="s">
        <v>1246</v>
      </c>
      <c r="T919" t="s">
        <v>111</v>
      </c>
      <c r="U919" t="s">
        <v>1207</v>
      </c>
    </row>
    <row r="920" spans="1:21" x14ac:dyDescent="0.25">
      <c r="A920" t="s">
        <v>2726</v>
      </c>
      <c r="B920" s="8">
        <v>45670</v>
      </c>
      <c r="C920" t="s">
        <v>4271</v>
      </c>
      <c r="D920" t="s">
        <v>823</v>
      </c>
      <c r="E920" t="s">
        <v>198</v>
      </c>
      <c r="F920">
        <v>30</v>
      </c>
      <c r="G920" t="s">
        <v>14</v>
      </c>
      <c r="H920" t="s">
        <v>15</v>
      </c>
      <c r="I920" t="s">
        <v>61</v>
      </c>
      <c r="J920" t="s">
        <v>146</v>
      </c>
      <c r="K920" t="s">
        <v>64</v>
      </c>
      <c r="L920">
        <v>3</v>
      </c>
      <c r="M920" s="12">
        <v>250</v>
      </c>
      <c r="N920" s="12">
        <v>155</v>
      </c>
      <c r="O920">
        <v>12</v>
      </c>
      <c r="P920" s="12">
        <v>660</v>
      </c>
      <c r="Q920" s="12">
        <v>465</v>
      </c>
      <c r="R920" s="12">
        <v>195</v>
      </c>
      <c r="S920" t="s">
        <v>113</v>
      </c>
      <c r="T920" t="s">
        <v>108</v>
      </c>
      <c r="U920" t="s">
        <v>1207</v>
      </c>
    </row>
    <row r="921" spans="1:21" x14ac:dyDescent="0.25">
      <c r="A921" t="s">
        <v>2728</v>
      </c>
      <c r="B921" s="8">
        <v>45908</v>
      </c>
      <c r="C921" t="s">
        <v>2428</v>
      </c>
      <c r="D921" t="s">
        <v>1016</v>
      </c>
      <c r="E921" t="s">
        <v>218</v>
      </c>
      <c r="F921">
        <v>26</v>
      </c>
      <c r="G921" t="s">
        <v>4</v>
      </c>
      <c r="H921" t="s">
        <v>3</v>
      </c>
      <c r="I921" t="s">
        <v>63</v>
      </c>
      <c r="J921" t="s">
        <v>77</v>
      </c>
      <c r="K921" t="s">
        <v>64</v>
      </c>
      <c r="L921">
        <v>4</v>
      </c>
      <c r="M921" s="12">
        <v>650</v>
      </c>
      <c r="N921" s="12">
        <v>468</v>
      </c>
      <c r="O921">
        <v>3</v>
      </c>
      <c r="P921" s="12">
        <v>2522</v>
      </c>
      <c r="Q921" s="12">
        <v>1872</v>
      </c>
      <c r="R921" s="12">
        <v>650</v>
      </c>
      <c r="S921" t="s">
        <v>1246</v>
      </c>
      <c r="T921" t="s">
        <v>108</v>
      </c>
      <c r="U921" t="s">
        <v>1199</v>
      </c>
    </row>
    <row r="922" spans="1:21" x14ac:dyDescent="0.25">
      <c r="A922" t="s">
        <v>2730</v>
      </c>
      <c r="B922" s="8">
        <v>45699</v>
      </c>
      <c r="C922" t="s">
        <v>2597</v>
      </c>
      <c r="D922" t="s">
        <v>435</v>
      </c>
      <c r="E922" t="s">
        <v>198</v>
      </c>
      <c r="F922">
        <v>33</v>
      </c>
      <c r="G922" t="s">
        <v>290</v>
      </c>
      <c r="H922" t="s">
        <v>3</v>
      </c>
      <c r="I922" t="s">
        <v>51</v>
      </c>
      <c r="J922" t="s">
        <v>54</v>
      </c>
      <c r="K922" t="s">
        <v>43</v>
      </c>
      <c r="L922">
        <v>2</v>
      </c>
      <c r="M922" s="12">
        <v>27499</v>
      </c>
      <c r="N922" s="12">
        <v>21724.210000000003</v>
      </c>
      <c r="O922">
        <v>8</v>
      </c>
      <c r="P922" s="12">
        <v>50598.16</v>
      </c>
      <c r="Q922" s="12">
        <v>43448.420000000006</v>
      </c>
      <c r="R922" s="12">
        <v>7149.739999999998</v>
      </c>
      <c r="S922" t="s">
        <v>1246</v>
      </c>
      <c r="T922" t="s">
        <v>109</v>
      </c>
      <c r="U922" t="s">
        <v>1203</v>
      </c>
    </row>
    <row r="923" spans="1:21" x14ac:dyDescent="0.25">
      <c r="A923" t="s">
        <v>2731</v>
      </c>
      <c r="B923" s="8">
        <v>45956</v>
      </c>
      <c r="C923" t="s">
        <v>5044</v>
      </c>
      <c r="D923" t="s">
        <v>1104</v>
      </c>
      <c r="E923" t="s">
        <v>218</v>
      </c>
      <c r="F923">
        <v>35</v>
      </c>
      <c r="G923" t="s">
        <v>17</v>
      </c>
      <c r="H923" t="s">
        <v>15</v>
      </c>
      <c r="I923" t="s">
        <v>24</v>
      </c>
      <c r="J923" t="s">
        <v>25</v>
      </c>
      <c r="K923" t="s">
        <v>22</v>
      </c>
      <c r="L923">
        <v>3</v>
      </c>
      <c r="M923" s="12">
        <v>35800</v>
      </c>
      <c r="N923" s="12">
        <v>28640</v>
      </c>
      <c r="O923">
        <v>7</v>
      </c>
      <c r="P923" s="12">
        <v>99882</v>
      </c>
      <c r="Q923" s="12">
        <v>85920</v>
      </c>
      <c r="R923" s="12">
        <v>13962</v>
      </c>
      <c r="S923" t="s">
        <v>113</v>
      </c>
      <c r="T923" t="s">
        <v>108</v>
      </c>
      <c r="U923" t="s">
        <v>1199</v>
      </c>
    </row>
    <row r="924" spans="1:21" x14ac:dyDescent="0.25">
      <c r="A924" t="s">
        <v>2732</v>
      </c>
      <c r="B924" s="8">
        <v>45786</v>
      </c>
      <c r="C924" t="s">
        <v>1841</v>
      </c>
      <c r="D924" t="s">
        <v>1140</v>
      </c>
      <c r="E924" t="s">
        <v>218</v>
      </c>
      <c r="F924">
        <v>21</v>
      </c>
      <c r="G924" t="s">
        <v>290</v>
      </c>
      <c r="H924" t="s">
        <v>3</v>
      </c>
      <c r="I924" t="s">
        <v>47</v>
      </c>
      <c r="J924" t="s">
        <v>52</v>
      </c>
      <c r="K924" t="s">
        <v>43</v>
      </c>
      <c r="L924">
        <v>1</v>
      </c>
      <c r="M924" s="12">
        <v>42999</v>
      </c>
      <c r="N924" s="12">
        <v>33539.22</v>
      </c>
      <c r="O924">
        <v>3</v>
      </c>
      <c r="P924" s="12">
        <v>41709.03</v>
      </c>
      <c r="Q924" s="12">
        <v>33539.22</v>
      </c>
      <c r="R924" s="12">
        <v>8169.8099999999977</v>
      </c>
      <c r="S924" t="s">
        <v>1246</v>
      </c>
      <c r="T924" t="s">
        <v>110</v>
      </c>
      <c r="U924" t="s">
        <v>1205</v>
      </c>
    </row>
    <row r="925" spans="1:21" x14ac:dyDescent="0.25">
      <c r="A925" t="s">
        <v>2734</v>
      </c>
      <c r="B925" s="8">
        <v>45767</v>
      </c>
      <c r="C925" t="s">
        <v>2498</v>
      </c>
      <c r="D925" t="s">
        <v>738</v>
      </c>
      <c r="E925" t="s">
        <v>198</v>
      </c>
      <c r="F925">
        <v>32</v>
      </c>
      <c r="G925" t="s">
        <v>11</v>
      </c>
      <c r="H925" t="s">
        <v>12</v>
      </c>
      <c r="I925" t="s">
        <v>30</v>
      </c>
      <c r="J925" t="s">
        <v>41</v>
      </c>
      <c r="K925" t="s">
        <v>22</v>
      </c>
      <c r="L925">
        <v>4</v>
      </c>
      <c r="M925" s="12">
        <v>13749</v>
      </c>
      <c r="N925" s="12">
        <v>10999.2</v>
      </c>
      <c r="O925">
        <v>3</v>
      </c>
      <c r="P925" s="12">
        <v>53346.119999999995</v>
      </c>
      <c r="Q925" s="12">
        <v>43996.800000000003</v>
      </c>
      <c r="R925" s="12">
        <v>9349.3199999999924</v>
      </c>
      <c r="S925" t="s">
        <v>1246</v>
      </c>
      <c r="T925" t="s">
        <v>111</v>
      </c>
      <c r="U925" t="s">
        <v>1211</v>
      </c>
    </row>
    <row r="926" spans="1:21" x14ac:dyDescent="0.25">
      <c r="A926" t="s">
        <v>2736</v>
      </c>
      <c r="B926" s="8">
        <v>45893</v>
      </c>
      <c r="C926" t="s">
        <v>3612</v>
      </c>
      <c r="D926" t="s">
        <v>515</v>
      </c>
      <c r="E926" t="s">
        <v>218</v>
      </c>
      <c r="F926">
        <v>41</v>
      </c>
      <c r="G926" t="s">
        <v>289</v>
      </c>
      <c r="H926" t="s">
        <v>3</v>
      </c>
      <c r="I926" t="s">
        <v>63</v>
      </c>
      <c r="J926" t="s">
        <v>77</v>
      </c>
      <c r="K926" t="s">
        <v>64</v>
      </c>
      <c r="L926">
        <v>3</v>
      </c>
      <c r="M926" s="12">
        <v>650</v>
      </c>
      <c r="N926" s="12">
        <v>468</v>
      </c>
      <c r="O926">
        <v>4</v>
      </c>
      <c r="P926" s="12">
        <v>1872</v>
      </c>
      <c r="Q926" s="12">
        <v>1404</v>
      </c>
      <c r="R926" s="12">
        <v>468</v>
      </c>
      <c r="S926" t="s">
        <v>113</v>
      </c>
      <c r="T926" t="s">
        <v>108</v>
      </c>
      <c r="U926" t="s">
        <v>1201</v>
      </c>
    </row>
    <row r="927" spans="1:21" x14ac:dyDescent="0.25">
      <c r="A927" t="s">
        <v>2737</v>
      </c>
      <c r="B927" s="8">
        <v>45980</v>
      </c>
      <c r="C927" t="s">
        <v>1703</v>
      </c>
      <c r="D927" t="s">
        <v>1091</v>
      </c>
      <c r="E927" t="s">
        <v>218</v>
      </c>
      <c r="F927">
        <v>58</v>
      </c>
      <c r="G927" t="s">
        <v>11</v>
      </c>
      <c r="H927" t="s">
        <v>12</v>
      </c>
      <c r="I927" t="s">
        <v>53</v>
      </c>
      <c r="J927" t="s">
        <v>48</v>
      </c>
      <c r="K927" t="s">
        <v>43</v>
      </c>
      <c r="L927">
        <v>2</v>
      </c>
      <c r="M927" s="12">
        <v>6499</v>
      </c>
      <c r="N927" s="12">
        <v>4549.2999999999993</v>
      </c>
      <c r="O927">
        <v>12</v>
      </c>
      <c r="P927" s="12">
        <v>11438.24</v>
      </c>
      <c r="Q927" s="12">
        <v>9098.5999999999985</v>
      </c>
      <c r="R927" s="12">
        <v>2339.6400000000012</v>
      </c>
      <c r="S927" t="s">
        <v>1246</v>
      </c>
      <c r="T927" t="s">
        <v>107</v>
      </c>
      <c r="U927" t="s">
        <v>1196</v>
      </c>
    </row>
    <row r="928" spans="1:21" x14ac:dyDescent="0.25">
      <c r="A928" t="s">
        <v>2738</v>
      </c>
      <c r="B928" s="8">
        <v>45792</v>
      </c>
      <c r="C928" t="s">
        <v>1745</v>
      </c>
      <c r="D928" t="s">
        <v>1046</v>
      </c>
      <c r="E928" t="s">
        <v>198</v>
      </c>
      <c r="F928">
        <v>53</v>
      </c>
      <c r="G928" t="s">
        <v>9</v>
      </c>
      <c r="H928" t="s">
        <v>8</v>
      </c>
      <c r="I928" t="s">
        <v>21</v>
      </c>
      <c r="J928" t="s">
        <v>23</v>
      </c>
      <c r="K928" t="s">
        <v>22</v>
      </c>
      <c r="L928">
        <v>5</v>
      </c>
      <c r="M928" s="12">
        <v>54999</v>
      </c>
      <c r="N928" s="12">
        <v>45099.18</v>
      </c>
      <c r="O928">
        <v>6</v>
      </c>
      <c r="P928" s="12">
        <v>258495.3</v>
      </c>
      <c r="Q928" s="12">
        <v>225495.9</v>
      </c>
      <c r="R928" s="12">
        <v>32999.399999999994</v>
      </c>
      <c r="S928" t="s">
        <v>1246</v>
      </c>
      <c r="T928" t="s">
        <v>110</v>
      </c>
      <c r="U928" t="s">
        <v>1194</v>
      </c>
    </row>
    <row r="929" spans="1:21" x14ac:dyDescent="0.25">
      <c r="A929" t="s">
        <v>2739</v>
      </c>
      <c r="B929" s="8">
        <v>46008</v>
      </c>
      <c r="C929" t="s">
        <v>3685</v>
      </c>
      <c r="D929" t="s">
        <v>692</v>
      </c>
      <c r="E929" t="s">
        <v>218</v>
      </c>
      <c r="F929">
        <v>53</v>
      </c>
      <c r="G929" t="s">
        <v>2</v>
      </c>
      <c r="H929" t="s">
        <v>3</v>
      </c>
      <c r="I929" t="s">
        <v>21</v>
      </c>
      <c r="J929" t="s">
        <v>23</v>
      </c>
      <c r="K929" t="s">
        <v>22</v>
      </c>
      <c r="L929">
        <v>4</v>
      </c>
      <c r="M929" s="12">
        <v>54999</v>
      </c>
      <c r="N929" s="12">
        <v>45099.18</v>
      </c>
      <c r="O929">
        <v>18</v>
      </c>
      <c r="P929" s="12">
        <v>180396.72</v>
      </c>
      <c r="Q929" s="12">
        <v>180396.72</v>
      </c>
      <c r="R929" s="12">
        <v>0</v>
      </c>
      <c r="S929" t="s">
        <v>1246</v>
      </c>
      <c r="T929" t="s">
        <v>109</v>
      </c>
      <c r="U929" t="s">
        <v>1205</v>
      </c>
    </row>
    <row r="930" spans="1:21" x14ac:dyDescent="0.25">
      <c r="A930" t="s">
        <v>2740</v>
      </c>
      <c r="B930" s="8">
        <v>45962</v>
      </c>
      <c r="C930" t="s">
        <v>2437</v>
      </c>
      <c r="D930" t="s">
        <v>556</v>
      </c>
      <c r="E930" t="s">
        <v>198</v>
      </c>
      <c r="F930">
        <v>53</v>
      </c>
      <c r="G930" t="s">
        <v>14</v>
      </c>
      <c r="H930" t="s">
        <v>15</v>
      </c>
      <c r="I930" t="s">
        <v>38</v>
      </c>
      <c r="J930" t="s">
        <v>37</v>
      </c>
      <c r="K930" t="s">
        <v>22</v>
      </c>
      <c r="L930">
        <v>3</v>
      </c>
      <c r="M930" s="12">
        <v>1650</v>
      </c>
      <c r="N930" s="12">
        <v>990</v>
      </c>
      <c r="O930">
        <v>10</v>
      </c>
      <c r="P930" s="12">
        <v>4455</v>
      </c>
      <c r="Q930" s="12">
        <v>2970</v>
      </c>
      <c r="R930" s="12">
        <v>1485</v>
      </c>
      <c r="S930" t="s">
        <v>1249</v>
      </c>
      <c r="T930" t="s">
        <v>108</v>
      </c>
      <c r="U930" t="s">
        <v>1198</v>
      </c>
    </row>
    <row r="931" spans="1:21" x14ac:dyDescent="0.25">
      <c r="A931" t="s">
        <v>2742</v>
      </c>
      <c r="B931" s="8">
        <v>45712</v>
      </c>
      <c r="C931" t="s">
        <v>1415</v>
      </c>
      <c r="D931" t="s">
        <v>1103</v>
      </c>
      <c r="E931" t="s">
        <v>198</v>
      </c>
      <c r="F931">
        <v>36</v>
      </c>
      <c r="G931" t="s">
        <v>16</v>
      </c>
      <c r="H931" t="s">
        <v>15</v>
      </c>
      <c r="I931" t="s">
        <v>21</v>
      </c>
      <c r="J931" t="s">
        <v>23</v>
      </c>
      <c r="K931" t="s">
        <v>22</v>
      </c>
      <c r="L931">
        <v>4</v>
      </c>
      <c r="M931" s="12">
        <v>54999</v>
      </c>
      <c r="N931" s="12">
        <v>45099.18</v>
      </c>
      <c r="O931">
        <v>6</v>
      </c>
      <c r="P931" s="12">
        <v>206796.24</v>
      </c>
      <c r="Q931" s="12">
        <v>180396.72</v>
      </c>
      <c r="R931" s="12">
        <v>26399.51999999999</v>
      </c>
      <c r="S931" t="s">
        <v>1246</v>
      </c>
      <c r="T931" t="s">
        <v>107</v>
      </c>
      <c r="U931" t="s">
        <v>1194</v>
      </c>
    </row>
    <row r="932" spans="1:21" x14ac:dyDescent="0.25">
      <c r="A932" t="s">
        <v>2744</v>
      </c>
      <c r="B932" s="8">
        <v>45892</v>
      </c>
      <c r="C932" t="s">
        <v>1747</v>
      </c>
      <c r="D932" t="s">
        <v>827</v>
      </c>
      <c r="E932" t="s">
        <v>198</v>
      </c>
      <c r="F932">
        <v>24</v>
      </c>
      <c r="G932" t="s">
        <v>289</v>
      </c>
      <c r="H932" t="s">
        <v>3</v>
      </c>
      <c r="I932" t="s">
        <v>30</v>
      </c>
      <c r="J932" t="s">
        <v>41</v>
      </c>
      <c r="K932" t="s">
        <v>22</v>
      </c>
      <c r="L932">
        <v>1</v>
      </c>
      <c r="M932" s="12">
        <v>13749</v>
      </c>
      <c r="N932" s="12">
        <v>10999.2</v>
      </c>
      <c r="O932">
        <v>6</v>
      </c>
      <c r="P932" s="12">
        <v>12924.06</v>
      </c>
      <c r="Q932" s="12">
        <v>10999.2</v>
      </c>
      <c r="R932" s="12">
        <v>1924.8599999999988</v>
      </c>
      <c r="S932" t="s">
        <v>1246</v>
      </c>
      <c r="T932" t="s">
        <v>107</v>
      </c>
      <c r="U932" t="s">
        <v>1194</v>
      </c>
    </row>
    <row r="933" spans="1:21" x14ac:dyDescent="0.25">
      <c r="A933" t="s">
        <v>2745</v>
      </c>
      <c r="B933" s="8">
        <v>45947</v>
      </c>
      <c r="C933" t="s">
        <v>2758</v>
      </c>
      <c r="D933" t="s">
        <v>1048</v>
      </c>
      <c r="E933" t="s">
        <v>218</v>
      </c>
      <c r="F933">
        <v>57</v>
      </c>
      <c r="G933" t="s">
        <v>17</v>
      </c>
      <c r="H933" t="s">
        <v>15</v>
      </c>
      <c r="I933" t="s">
        <v>49</v>
      </c>
      <c r="J933" t="s">
        <v>56</v>
      </c>
      <c r="K933" t="s">
        <v>43</v>
      </c>
      <c r="L933">
        <v>5</v>
      </c>
      <c r="M933" s="12">
        <v>31999</v>
      </c>
      <c r="N933" s="12">
        <v>25599.200000000001</v>
      </c>
      <c r="O933">
        <v>8</v>
      </c>
      <c r="P933" s="12">
        <v>147195.4</v>
      </c>
      <c r="Q933" s="12">
        <v>127996</v>
      </c>
      <c r="R933" s="12">
        <v>19199.399999999994</v>
      </c>
      <c r="S933" t="s">
        <v>1246</v>
      </c>
      <c r="T933" t="s">
        <v>110</v>
      </c>
      <c r="U933" t="s">
        <v>1207</v>
      </c>
    </row>
    <row r="934" spans="1:21" x14ac:dyDescent="0.25">
      <c r="A934" t="s">
        <v>2746</v>
      </c>
      <c r="B934" s="8">
        <v>45674</v>
      </c>
      <c r="C934" t="s">
        <v>1411</v>
      </c>
      <c r="D934" t="s">
        <v>811</v>
      </c>
      <c r="E934" t="s">
        <v>198</v>
      </c>
      <c r="F934">
        <v>50</v>
      </c>
      <c r="G934" t="s">
        <v>10</v>
      </c>
      <c r="H934" t="s">
        <v>8</v>
      </c>
      <c r="I934" t="s">
        <v>30</v>
      </c>
      <c r="J934" t="s">
        <v>41</v>
      </c>
      <c r="K934" t="s">
        <v>22</v>
      </c>
      <c r="L934">
        <v>3</v>
      </c>
      <c r="M934" s="12">
        <v>13749</v>
      </c>
      <c r="N934" s="12">
        <v>10999.2</v>
      </c>
      <c r="O934">
        <v>7</v>
      </c>
      <c r="P934" s="12">
        <v>38359.71</v>
      </c>
      <c r="Q934" s="12">
        <v>32997.600000000006</v>
      </c>
      <c r="R934" s="12">
        <v>5362.1099999999933</v>
      </c>
      <c r="S934" t="s">
        <v>113</v>
      </c>
      <c r="T934" t="s">
        <v>107</v>
      </c>
      <c r="U934" t="s">
        <v>1205</v>
      </c>
    </row>
    <row r="935" spans="1:21" x14ac:dyDescent="0.25">
      <c r="A935" t="s">
        <v>2747</v>
      </c>
      <c r="B935" s="8">
        <v>45769</v>
      </c>
      <c r="C935" t="s">
        <v>2595</v>
      </c>
      <c r="D935" t="s">
        <v>613</v>
      </c>
      <c r="E935" t="s">
        <v>198</v>
      </c>
      <c r="F935">
        <v>36</v>
      </c>
      <c r="G935" t="s">
        <v>7</v>
      </c>
      <c r="H935" t="s">
        <v>8</v>
      </c>
      <c r="I935" t="s">
        <v>21</v>
      </c>
      <c r="J935" t="s">
        <v>23</v>
      </c>
      <c r="K935" t="s">
        <v>22</v>
      </c>
      <c r="L935">
        <v>5</v>
      </c>
      <c r="M935" s="12">
        <v>54999</v>
      </c>
      <c r="N935" s="12">
        <v>45099.18</v>
      </c>
      <c r="O935">
        <v>4</v>
      </c>
      <c r="P935" s="12">
        <v>263995.2</v>
      </c>
      <c r="Q935" s="12">
        <v>225495.9</v>
      </c>
      <c r="R935" s="12">
        <v>38499.300000000017</v>
      </c>
      <c r="S935" t="s">
        <v>1246</v>
      </c>
      <c r="T935" t="s">
        <v>108</v>
      </c>
      <c r="U935" t="s">
        <v>1211</v>
      </c>
    </row>
    <row r="936" spans="1:21" x14ac:dyDescent="0.25">
      <c r="A936" t="s">
        <v>2749</v>
      </c>
      <c r="B936" s="8">
        <v>45734</v>
      </c>
      <c r="C936" t="s">
        <v>4123</v>
      </c>
      <c r="D936" t="s">
        <v>383</v>
      </c>
      <c r="E936" t="s">
        <v>198</v>
      </c>
      <c r="F936">
        <v>55</v>
      </c>
      <c r="G936" t="s">
        <v>17</v>
      </c>
      <c r="H936" t="s">
        <v>15</v>
      </c>
      <c r="I936" t="s">
        <v>28</v>
      </c>
      <c r="J936" t="s">
        <v>35</v>
      </c>
      <c r="K936" t="s">
        <v>22</v>
      </c>
      <c r="L936">
        <v>4</v>
      </c>
      <c r="M936" s="12">
        <v>16499</v>
      </c>
      <c r="N936" s="12">
        <v>14519.12</v>
      </c>
      <c r="O936">
        <v>4</v>
      </c>
      <c r="P936" s="12">
        <v>63356.159999999996</v>
      </c>
      <c r="Q936" s="12">
        <v>58076.480000000003</v>
      </c>
      <c r="R936" s="12">
        <v>5279.679999999993</v>
      </c>
      <c r="S936" t="s">
        <v>113</v>
      </c>
      <c r="T936" t="s">
        <v>109</v>
      </c>
      <c r="U936" t="s">
        <v>1196</v>
      </c>
    </row>
    <row r="937" spans="1:21" x14ac:dyDescent="0.25">
      <c r="A937" t="s">
        <v>2751</v>
      </c>
      <c r="B937" s="8">
        <v>45700</v>
      </c>
      <c r="C937" t="s">
        <v>2356</v>
      </c>
      <c r="D937" t="s">
        <v>1028</v>
      </c>
      <c r="E937" t="s">
        <v>198</v>
      </c>
      <c r="F937">
        <v>42</v>
      </c>
      <c r="G937" t="s">
        <v>17</v>
      </c>
      <c r="H937" t="s">
        <v>15</v>
      </c>
      <c r="I937" t="s">
        <v>21</v>
      </c>
      <c r="J937" t="s">
        <v>23</v>
      </c>
      <c r="K937" t="s">
        <v>22</v>
      </c>
      <c r="L937">
        <v>3</v>
      </c>
      <c r="M937" s="12">
        <v>54999</v>
      </c>
      <c r="N937" s="12">
        <v>45099.18</v>
      </c>
      <c r="O937">
        <v>8</v>
      </c>
      <c r="P937" s="12">
        <v>151797.24000000002</v>
      </c>
      <c r="Q937" s="12">
        <v>135297.54</v>
      </c>
      <c r="R937" s="12">
        <v>16499.700000000012</v>
      </c>
      <c r="S937" t="s">
        <v>1246</v>
      </c>
      <c r="T937" t="s">
        <v>107</v>
      </c>
      <c r="U937" t="s">
        <v>1209</v>
      </c>
    </row>
    <row r="938" spans="1:21" x14ac:dyDescent="0.25">
      <c r="A938" t="s">
        <v>2752</v>
      </c>
      <c r="B938" s="8">
        <v>45834</v>
      </c>
      <c r="C938" t="s">
        <v>3183</v>
      </c>
      <c r="D938" t="s">
        <v>1193</v>
      </c>
      <c r="E938" t="s">
        <v>218</v>
      </c>
      <c r="F938">
        <v>60</v>
      </c>
      <c r="G938" t="s">
        <v>289</v>
      </c>
      <c r="H938" t="s">
        <v>3</v>
      </c>
      <c r="I938" t="s">
        <v>21</v>
      </c>
      <c r="J938" t="s">
        <v>23</v>
      </c>
      <c r="K938" t="s">
        <v>22</v>
      </c>
      <c r="L938">
        <v>4</v>
      </c>
      <c r="M938" s="12">
        <v>54999</v>
      </c>
      <c r="N938" s="12">
        <v>45099.18</v>
      </c>
      <c r="O938">
        <v>8</v>
      </c>
      <c r="P938" s="12">
        <v>202396.32</v>
      </c>
      <c r="Q938" s="12">
        <v>180396.72</v>
      </c>
      <c r="R938" s="12">
        <v>21999.600000000006</v>
      </c>
      <c r="S938" t="s">
        <v>113</v>
      </c>
      <c r="T938" t="s">
        <v>107</v>
      </c>
      <c r="U938" t="s">
        <v>1205</v>
      </c>
    </row>
    <row r="939" spans="1:21" x14ac:dyDescent="0.25">
      <c r="A939" t="s">
        <v>2753</v>
      </c>
      <c r="B939" s="8">
        <v>45728</v>
      </c>
      <c r="C939" t="s">
        <v>2356</v>
      </c>
      <c r="D939" t="s">
        <v>1028</v>
      </c>
      <c r="E939" t="s">
        <v>198</v>
      </c>
      <c r="F939">
        <v>42</v>
      </c>
      <c r="G939" t="s">
        <v>17</v>
      </c>
      <c r="H939" t="s">
        <v>15</v>
      </c>
      <c r="I939" t="s">
        <v>63</v>
      </c>
      <c r="J939" t="s">
        <v>77</v>
      </c>
      <c r="K939" t="s">
        <v>64</v>
      </c>
      <c r="L939">
        <v>4</v>
      </c>
      <c r="M939" s="12">
        <v>650</v>
      </c>
      <c r="N939" s="12">
        <v>468</v>
      </c>
      <c r="O939">
        <v>1</v>
      </c>
      <c r="P939" s="12">
        <v>2574</v>
      </c>
      <c r="Q939" s="12">
        <v>1872</v>
      </c>
      <c r="R939" s="12">
        <v>702</v>
      </c>
      <c r="S939" t="s">
        <v>113</v>
      </c>
      <c r="T939" t="s">
        <v>108</v>
      </c>
      <c r="U939" t="s">
        <v>1209</v>
      </c>
    </row>
    <row r="940" spans="1:21" x14ac:dyDescent="0.25">
      <c r="A940" t="s">
        <v>2754</v>
      </c>
      <c r="B940" s="8">
        <v>45744</v>
      </c>
      <c r="C940" t="s">
        <v>1694</v>
      </c>
      <c r="D940" t="s">
        <v>1069</v>
      </c>
      <c r="E940" t="s">
        <v>218</v>
      </c>
      <c r="F940">
        <v>40</v>
      </c>
      <c r="G940" t="s">
        <v>5</v>
      </c>
      <c r="H940" t="s">
        <v>3</v>
      </c>
      <c r="I940" t="s">
        <v>40</v>
      </c>
      <c r="J940" t="s">
        <v>39</v>
      </c>
      <c r="K940" t="s">
        <v>22</v>
      </c>
      <c r="L940">
        <v>4</v>
      </c>
      <c r="M940" s="12">
        <v>1100</v>
      </c>
      <c r="N940" s="12">
        <v>715</v>
      </c>
      <c r="O940">
        <v>8</v>
      </c>
      <c r="P940" s="12">
        <v>4048</v>
      </c>
      <c r="Q940" s="12">
        <v>2860</v>
      </c>
      <c r="R940" s="12">
        <v>1188</v>
      </c>
      <c r="S940" t="s">
        <v>113</v>
      </c>
      <c r="T940" t="s">
        <v>110</v>
      </c>
      <c r="U940" t="s">
        <v>1205</v>
      </c>
    </row>
    <row r="941" spans="1:21" x14ac:dyDescent="0.25">
      <c r="A941" t="s">
        <v>2755</v>
      </c>
      <c r="B941" s="8">
        <v>45928</v>
      </c>
      <c r="C941" t="s">
        <v>3211</v>
      </c>
      <c r="D941" t="s">
        <v>1032</v>
      </c>
      <c r="E941" t="s">
        <v>198</v>
      </c>
      <c r="F941">
        <v>51</v>
      </c>
      <c r="G941" t="s">
        <v>10</v>
      </c>
      <c r="H941" t="s">
        <v>8</v>
      </c>
      <c r="I941" t="s">
        <v>24</v>
      </c>
      <c r="J941" t="s">
        <v>25</v>
      </c>
      <c r="K941" t="s">
        <v>22</v>
      </c>
      <c r="L941">
        <v>4</v>
      </c>
      <c r="M941" s="12">
        <v>35800</v>
      </c>
      <c r="N941" s="12">
        <v>28640</v>
      </c>
      <c r="O941">
        <v>4</v>
      </c>
      <c r="P941" s="12">
        <v>137472</v>
      </c>
      <c r="Q941" s="12">
        <v>114560</v>
      </c>
      <c r="R941" s="12">
        <v>22912</v>
      </c>
      <c r="S941" t="s">
        <v>1246</v>
      </c>
      <c r="T941" t="s">
        <v>109</v>
      </c>
      <c r="U941" t="s">
        <v>1194</v>
      </c>
    </row>
    <row r="942" spans="1:21" x14ac:dyDescent="0.25">
      <c r="A942" t="s">
        <v>2756</v>
      </c>
      <c r="B942" s="8">
        <v>45948</v>
      </c>
      <c r="C942" t="s">
        <v>3193</v>
      </c>
      <c r="D942" t="s">
        <v>462</v>
      </c>
      <c r="E942" t="s">
        <v>198</v>
      </c>
      <c r="F942">
        <v>38</v>
      </c>
      <c r="G942" t="s">
        <v>9</v>
      </c>
      <c r="H942" t="s">
        <v>8</v>
      </c>
      <c r="I942" t="s">
        <v>61</v>
      </c>
      <c r="J942" t="s">
        <v>146</v>
      </c>
      <c r="K942" t="s">
        <v>64</v>
      </c>
      <c r="L942">
        <v>5</v>
      </c>
      <c r="M942" s="12">
        <v>250</v>
      </c>
      <c r="N942" s="12">
        <v>155</v>
      </c>
      <c r="O942">
        <v>1</v>
      </c>
      <c r="P942" s="12">
        <v>1237.5</v>
      </c>
      <c r="Q942" s="12">
        <v>775</v>
      </c>
      <c r="R942" s="12">
        <v>462.5</v>
      </c>
      <c r="S942" t="s">
        <v>1246</v>
      </c>
      <c r="T942" t="s">
        <v>108</v>
      </c>
      <c r="U942" t="s">
        <v>1207</v>
      </c>
    </row>
    <row r="943" spans="1:21" x14ac:dyDescent="0.25">
      <c r="A943" t="s">
        <v>2757</v>
      </c>
      <c r="B943" s="8">
        <v>46013</v>
      </c>
      <c r="C943" t="s">
        <v>1592</v>
      </c>
      <c r="D943" t="s">
        <v>879</v>
      </c>
      <c r="E943" t="s">
        <v>198</v>
      </c>
      <c r="F943">
        <v>41</v>
      </c>
      <c r="G943" t="s">
        <v>7</v>
      </c>
      <c r="H943" t="s">
        <v>8</v>
      </c>
      <c r="I943" t="s">
        <v>26</v>
      </c>
      <c r="J943" t="s">
        <v>27</v>
      </c>
      <c r="K943" t="s">
        <v>22</v>
      </c>
      <c r="L943">
        <v>3</v>
      </c>
      <c r="M943" s="12">
        <v>27499</v>
      </c>
      <c r="N943" s="12">
        <v>23374.149999999998</v>
      </c>
      <c r="O943">
        <v>12</v>
      </c>
      <c r="P943" s="12">
        <v>72597.36</v>
      </c>
      <c r="Q943" s="12">
        <v>70122.45</v>
      </c>
      <c r="R943" s="12">
        <v>2474.9100000000035</v>
      </c>
      <c r="S943" t="s">
        <v>1246</v>
      </c>
      <c r="T943" t="s">
        <v>107</v>
      </c>
      <c r="U943" t="s">
        <v>1194</v>
      </c>
    </row>
    <row r="944" spans="1:21" x14ac:dyDescent="0.25">
      <c r="A944" t="s">
        <v>2759</v>
      </c>
      <c r="B944" s="8">
        <v>45869</v>
      </c>
      <c r="C944" t="s">
        <v>3293</v>
      </c>
      <c r="D944" t="s">
        <v>662</v>
      </c>
      <c r="E944" t="s">
        <v>198</v>
      </c>
      <c r="F944">
        <v>57</v>
      </c>
      <c r="G944" t="s">
        <v>9</v>
      </c>
      <c r="H944" t="s">
        <v>8</v>
      </c>
      <c r="I944" t="s">
        <v>51</v>
      </c>
      <c r="J944" t="s">
        <v>54</v>
      </c>
      <c r="K944" t="s">
        <v>43</v>
      </c>
      <c r="L944">
        <v>1</v>
      </c>
      <c r="M944" s="12">
        <v>27499</v>
      </c>
      <c r="N944" s="12">
        <v>21724.210000000003</v>
      </c>
      <c r="O944">
        <v>10</v>
      </c>
      <c r="P944" s="12">
        <v>24749.100000000002</v>
      </c>
      <c r="Q944" s="12">
        <v>21724.210000000003</v>
      </c>
      <c r="R944" s="12">
        <v>3024.8899999999994</v>
      </c>
      <c r="S944" t="s">
        <v>1246</v>
      </c>
      <c r="T944" t="s">
        <v>107</v>
      </c>
      <c r="U944" t="s">
        <v>1205</v>
      </c>
    </row>
    <row r="945" spans="1:21" x14ac:dyDescent="0.25">
      <c r="A945" t="s">
        <v>2760</v>
      </c>
      <c r="B945" s="8">
        <v>45984</v>
      </c>
      <c r="C945" t="s">
        <v>2135</v>
      </c>
      <c r="D945" t="s">
        <v>434</v>
      </c>
      <c r="E945" t="s">
        <v>198</v>
      </c>
      <c r="F945">
        <v>44</v>
      </c>
      <c r="G945" t="s">
        <v>10</v>
      </c>
      <c r="H945" t="s">
        <v>8</v>
      </c>
      <c r="I945" t="s">
        <v>40</v>
      </c>
      <c r="J945" t="s">
        <v>39</v>
      </c>
      <c r="K945" t="s">
        <v>22</v>
      </c>
      <c r="L945">
        <v>5</v>
      </c>
      <c r="M945" s="12">
        <v>1100</v>
      </c>
      <c r="N945" s="12">
        <v>715</v>
      </c>
      <c r="O945">
        <v>13</v>
      </c>
      <c r="P945" s="12">
        <v>4785</v>
      </c>
      <c r="Q945" s="12">
        <v>3575</v>
      </c>
      <c r="R945" s="12">
        <v>1210</v>
      </c>
      <c r="S945" t="s">
        <v>1246</v>
      </c>
      <c r="T945" t="s">
        <v>110</v>
      </c>
      <c r="U945" t="s">
        <v>1207</v>
      </c>
    </row>
    <row r="946" spans="1:21" x14ac:dyDescent="0.25">
      <c r="A946" t="s">
        <v>2761</v>
      </c>
      <c r="B946" s="8">
        <v>45713</v>
      </c>
      <c r="C946" t="s">
        <v>1477</v>
      </c>
      <c r="D946" t="s">
        <v>679</v>
      </c>
      <c r="E946" t="s">
        <v>218</v>
      </c>
      <c r="F946">
        <v>30</v>
      </c>
      <c r="G946" t="s">
        <v>11</v>
      </c>
      <c r="H946" t="s">
        <v>12</v>
      </c>
      <c r="I946" t="s">
        <v>49</v>
      </c>
      <c r="J946" t="s">
        <v>56</v>
      </c>
      <c r="K946" t="s">
        <v>43</v>
      </c>
      <c r="L946">
        <v>2</v>
      </c>
      <c r="M946" s="12">
        <v>31999</v>
      </c>
      <c r="N946" s="12">
        <v>25599.200000000001</v>
      </c>
      <c r="O946">
        <v>9</v>
      </c>
      <c r="P946" s="12">
        <v>58238.18</v>
      </c>
      <c r="Q946" s="12">
        <v>51198.400000000001</v>
      </c>
      <c r="R946" s="12">
        <v>7039.7799999999988</v>
      </c>
      <c r="S946" t="s">
        <v>113</v>
      </c>
      <c r="T946" t="s">
        <v>107</v>
      </c>
      <c r="U946" t="s">
        <v>1194</v>
      </c>
    </row>
    <row r="947" spans="1:21" x14ac:dyDescent="0.25">
      <c r="A947" t="s">
        <v>2762</v>
      </c>
      <c r="B947" s="8">
        <v>45722</v>
      </c>
      <c r="C947" t="s">
        <v>3224</v>
      </c>
      <c r="D947" t="s">
        <v>1190</v>
      </c>
      <c r="E947" t="s">
        <v>218</v>
      </c>
      <c r="F947">
        <v>64</v>
      </c>
      <c r="G947" t="s">
        <v>290</v>
      </c>
      <c r="H947" t="s">
        <v>3</v>
      </c>
      <c r="I947" t="s">
        <v>47</v>
      </c>
      <c r="J947" t="s">
        <v>52</v>
      </c>
      <c r="K947" t="s">
        <v>43</v>
      </c>
      <c r="L947">
        <v>2</v>
      </c>
      <c r="M947" s="12">
        <v>42999</v>
      </c>
      <c r="N947" s="12">
        <v>33539.22</v>
      </c>
      <c r="O947">
        <v>5</v>
      </c>
      <c r="P947" s="12">
        <v>81698.099999999991</v>
      </c>
      <c r="Q947" s="12">
        <v>67078.44</v>
      </c>
      <c r="R947" s="12">
        <v>14619.659999999989</v>
      </c>
      <c r="S947" t="s">
        <v>1246</v>
      </c>
      <c r="T947" t="s">
        <v>109</v>
      </c>
      <c r="U947" t="s">
        <v>1194</v>
      </c>
    </row>
    <row r="948" spans="1:21" x14ac:dyDescent="0.25">
      <c r="A948" t="s">
        <v>2763</v>
      </c>
      <c r="B948" s="8">
        <v>45930</v>
      </c>
      <c r="C948" t="s">
        <v>2663</v>
      </c>
      <c r="D948" t="s">
        <v>403</v>
      </c>
      <c r="E948" t="s">
        <v>218</v>
      </c>
      <c r="F948">
        <v>60</v>
      </c>
      <c r="G948" t="s">
        <v>290</v>
      </c>
      <c r="H948" t="s">
        <v>3</v>
      </c>
      <c r="I948" t="s">
        <v>42</v>
      </c>
      <c r="J948" t="s">
        <v>44</v>
      </c>
      <c r="K948" t="s">
        <v>43</v>
      </c>
      <c r="L948">
        <v>4</v>
      </c>
      <c r="M948" s="12">
        <v>8999</v>
      </c>
      <c r="N948" s="12">
        <v>6479.28</v>
      </c>
      <c r="O948">
        <v>8</v>
      </c>
      <c r="P948" s="12">
        <v>33116.32</v>
      </c>
      <c r="Q948" s="12">
        <v>25917.119999999999</v>
      </c>
      <c r="R948" s="12">
        <v>7199.2000000000007</v>
      </c>
      <c r="S948" t="s">
        <v>113</v>
      </c>
      <c r="T948" t="s">
        <v>110</v>
      </c>
      <c r="U948" t="s">
        <v>1203</v>
      </c>
    </row>
    <row r="949" spans="1:21" x14ac:dyDescent="0.25">
      <c r="A949" t="s">
        <v>2764</v>
      </c>
      <c r="B949" s="8">
        <v>45883</v>
      </c>
      <c r="C949" t="s">
        <v>1312</v>
      </c>
      <c r="D949" t="s">
        <v>959</v>
      </c>
      <c r="E949" t="s">
        <v>218</v>
      </c>
      <c r="F949">
        <v>47</v>
      </c>
      <c r="G949" t="s">
        <v>289</v>
      </c>
      <c r="H949" t="s">
        <v>3</v>
      </c>
      <c r="I949" t="s">
        <v>49</v>
      </c>
      <c r="J949" t="s">
        <v>56</v>
      </c>
      <c r="K949" t="s">
        <v>43</v>
      </c>
      <c r="L949">
        <v>5</v>
      </c>
      <c r="M949" s="12">
        <v>31999</v>
      </c>
      <c r="N949" s="12">
        <v>25599.200000000001</v>
      </c>
      <c r="O949">
        <v>5</v>
      </c>
      <c r="P949" s="12">
        <v>151995.25</v>
      </c>
      <c r="Q949" s="12">
        <v>127996</v>
      </c>
      <c r="R949" s="12">
        <v>23999.25</v>
      </c>
      <c r="S949" t="s">
        <v>1246</v>
      </c>
      <c r="T949" t="s">
        <v>107</v>
      </c>
      <c r="U949" t="s">
        <v>1196</v>
      </c>
    </row>
    <row r="950" spans="1:21" x14ac:dyDescent="0.25">
      <c r="A950" t="s">
        <v>2765</v>
      </c>
      <c r="B950" s="8">
        <v>45736</v>
      </c>
      <c r="C950" t="s">
        <v>1376</v>
      </c>
      <c r="D950" t="s">
        <v>1011</v>
      </c>
      <c r="E950" t="s">
        <v>218</v>
      </c>
      <c r="F950">
        <v>51</v>
      </c>
      <c r="G950" t="s">
        <v>7</v>
      </c>
      <c r="H950" t="s">
        <v>8</v>
      </c>
      <c r="I950" t="s">
        <v>34</v>
      </c>
      <c r="J950" t="s">
        <v>137</v>
      </c>
      <c r="K950" t="s">
        <v>22</v>
      </c>
      <c r="L950">
        <v>1</v>
      </c>
      <c r="M950" s="12">
        <v>6900</v>
      </c>
      <c r="N950" s="12">
        <v>5727</v>
      </c>
      <c r="O950">
        <v>5</v>
      </c>
      <c r="P950" s="12">
        <v>6555</v>
      </c>
      <c r="Q950" s="12">
        <v>5727</v>
      </c>
      <c r="R950" s="12">
        <v>828</v>
      </c>
      <c r="S950" t="s">
        <v>113</v>
      </c>
      <c r="T950" t="s">
        <v>108</v>
      </c>
      <c r="U950" t="s">
        <v>1199</v>
      </c>
    </row>
    <row r="951" spans="1:21" x14ac:dyDescent="0.25">
      <c r="A951" t="s">
        <v>2767</v>
      </c>
      <c r="B951" s="8">
        <v>45711</v>
      </c>
      <c r="C951" t="s">
        <v>2379</v>
      </c>
      <c r="D951" t="s">
        <v>750</v>
      </c>
      <c r="E951" t="s">
        <v>218</v>
      </c>
      <c r="F951">
        <v>24</v>
      </c>
      <c r="G951" t="s">
        <v>9</v>
      </c>
      <c r="H951" t="s">
        <v>8</v>
      </c>
      <c r="I951" t="s">
        <v>59</v>
      </c>
      <c r="J951" t="s">
        <v>73</v>
      </c>
      <c r="K951" t="s">
        <v>64</v>
      </c>
      <c r="L951">
        <v>2</v>
      </c>
      <c r="M951" s="12">
        <v>120</v>
      </c>
      <c r="N951" s="12">
        <v>81.599999999999994</v>
      </c>
      <c r="O951">
        <v>0</v>
      </c>
      <c r="P951" s="12">
        <v>240</v>
      </c>
      <c r="Q951" s="12">
        <v>163.19999999999999</v>
      </c>
      <c r="R951" s="12">
        <v>76.800000000000011</v>
      </c>
      <c r="S951" t="s">
        <v>113</v>
      </c>
      <c r="T951" t="s">
        <v>108</v>
      </c>
      <c r="U951" t="s">
        <v>1211</v>
      </c>
    </row>
    <row r="952" spans="1:21" x14ac:dyDescent="0.25">
      <c r="A952" t="s">
        <v>2769</v>
      </c>
      <c r="B952" s="8">
        <v>45697</v>
      </c>
      <c r="C952" t="s">
        <v>1652</v>
      </c>
      <c r="D952" t="s">
        <v>891</v>
      </c>
      <c r="E952" t="s">
        <v>198</v>
      </c>
      <c r="F952">
        <v>44</v>
      </c>
      <c r="G952" t="s">
        <v>17</v>
      </c>
      <c r="H952" t="s">
        <v>15</v>
      </c>
      <c r="I952" t="s">
        <v>32</v>
      </c>
      <c r="J952" t="s">
        <v>29</v>
      </c>
      <c r="K952" t="s">
        <v>22</v>
      </c>
      <c r="L952">
        <v>3</v>
      </c>
      <c r="M952" s="12">
        <v>9500</v>
      </c>
      <c r="N952" s="12">
        <v>6650</v>
      </c>
      <c r="O952">
        <v>8</v>
      </c>
      <c r="P952" s="12">
        <v>26220</v>
      </c>
      <c r="Q952" s="12">
        <v>19950</v>
      </c>
      <c r="R952" s="12">
        <v>6270</v>
      </c>
      <c r="S952" t="s">
        <v>113</v>
      </c>
      <c r="T952" t="s">
        <v>108</v>
      </c>
      <c r="U952" t="s">
        <v>1211</v>
      </c>
    </row>
    <row r="953" spans="1:21" x14ac:dyDescent="0.25">
      <c r="A953" t="s">
        <v>2771</v>
      </c>
      <c r="B953" s="8">
        <v>45802</v>
      </c>
      <c r="C953" t="s">
        <v>2282</v>
      </c>
      <c r="D953" t="s">
        <v>1038</v>
      </c>
      <c r="E953" t="s">
        <v>198</v>
      </c>
      <c r="F953">
        <v>59</v>
      </c>
      <c r="G953" t="s">
        <v>16</v>
      </c>
      <c r="H953" t="s">
        <v>15</v>
      </c>
      <c r="I953" t="s">
        <v>28</v>
      </c>
      <c r="J953" t="s">
        <v>35</v>
      </c>
      <c r="K953" t="s">
        <v>22</v>
      </c>
      <c r="L953">
        <v>3</v>
      </c>
      <c r="M953" s="12">
        <v>16499</v>
      </c>
      <c r="N953" s="12">
        <v>14519.12</v>
      </c>
      <c r="O953">
        <v>6</v>
      </c>
      <c r="P953" s="12">
        <v>46527.18</v>
      </c>
      <c r="Q953" s="12">
        <v>43557.36</v>
      </c>
      <c r="R953" s="12">
        <v>2969.8199999999997</v>
      </c>
      <c r="S953" t="s">
        <v>113</v>
      </c>
      <c r="T953" t="s">
        <v>109</v>
      </c>
      <c r="U953" t="s">
        <v>1205</v>
      </c>
    </row>
    <row r="954" spans="1:21" x14ac:dyDescent="0.25">
      <c r="A954" t="s">
        <v>2772</v>
      </c>
      <c r="B954" s="8">
        <v>45685</v>
      </c>
      <c r="C954" t="s">
        <v>1961</v>
      </c>
      <c r="D954" t="s">
        <v>465</v>
      </c>
      <c r="E954" t="s">
        <v>218</v>
      </c>
      <c r="F954">
        <v>32</v>
      </c>
      <c r="G954" t="s">
        <v>17</v>
      </c>
      <c r="H954" t="s">
        <v>15</v>
      </c>
      <c r="I954" t="s">
        <v>26</v>
      </c>
      <c r="J954" t="s">
        <v>27</v>
      </c>
      <c r="K954" t="s">
        <v>22</v>
      </c>
      <c r="L954">
        <v>2</v>
      </c>
      <c r="M954" s="12">
        <v>27499</v>
      </c>
      <c r="N954" s="12">
        <v>23374.149999999998</v>
      </c>
      <c r="O954">
        <v>10</v>
      </c>
      <c r="P954" s="12">
        <v>49498.200000000004</v>
      </c>
      <c r="Q954" s="12">
        <v>46748.299999999996</v>
      </c>
      <c r="R954" s="12">
        <v>2749.9000000000087</v>
      </c>
      <c r="S954" t="s">
        <v>1246</v>
      </c>
      <c r="T954" t="s">
        <v>107</v>
      </c>
      <c r="U954" t="s">
        <v>1209</v>
      </c>
    </row>
    <row r="955" spans="1:21" x14ac:dyDescent="0.25">
      <c r="A955" t="s">
        <v>2773</v>
      </c>
      <c r="B955" s="8">
        <v>45954</v>
      </c>
      <c r="C955" t="s">
        <v>1419</v>
      </c>
      <c r="D955" t="s">
        <v>781</v>
      </c>
      <c r="E955" t="s">
        <v>218</v>
      </c>
      <c r="F955">
        <v>56</v>
      </c>
      <c r="G955" t="s">
        <v>290</v>
      </c>
      <c r="H955" t="s">
        <v>3</v>
      </c>
      <c r="I955" t="s">
        <v>61</v>
      </c>
      <c r="J955" t="s">
        <v>146</v>
      </c>
      <c r="K955" t="s">
        <v>64</v>
      </c>
      <c r="L955">
        <v>5</v>
      </c>
      <c r="M955" s="12">
        <v>250</v>
      </c>
      <c r="N955" s="12">
        <v>155</v>
      </c>
      <c r="O955">
        <v>1</v>
      </c>
      <c r="P955" s="12">
        <v>1237.5</v>
      </c>
      <c r="Q955" s="12">
        <v>775</v>
      </c>
      <c r="R955" s="12">
        <v>462.5</v>
      </c>
      <c r="S955" t="s">
        <v>1246</v>
      </c>
      <c r="T955" t="s">
        <v>107</v>
      </c>
      <c r="U955" t="s">
        <v>1196</v>
      </c>
    </row>
    <row r="956" spans="1:21" x14ac:dyDescent="0.25">
      <c r="A956" t="s">
        <v>2775</v>
      </c>
      <c r="B956" s="8">
        <v>45774</v>
      </c>
      <c r="C956" t="s">
        <v>2743</v>
      </c>
      <c r="D956" t="s">
        <v>616</v>
      </c>
      <c r="E956" t="s">
        <v>218</v>
      </c>
      <c r="F956">
        <v>24</v>
      </c>
      <c r="G956" t="s">
        <v>7</v>
      </c>
      <c r="H956" t="s">
        <v>8</v>
      </c>
      <c r="I956" t="s">
        <v>42</v>
      </c>
      <c r="J956" t="s">
        <v>44</v>
      </c>
      <c r="K956" t="s">
        <v>43</v>
      </c>
      <c r="L956">
        <v>3</v>
      </c>
      <c r="M956" s="12">
        <v>8999</v>
      </c>
      <c r="N956" s="12">
        <v>6479.28</v>
      </c>
      <c r="O956">
        <v>6</v>
      </c>
      <c r="P956" s="12">
        <v>25377.18</v>
      </c>
      <c r="Q956" s="12">
        <v>19437.84</v>
      </c>
      <c r="R956" s="12">
        <v>5939.34</v>
      </c>
      <c r="S956" t="s">
        <v>1246</v>
      </c>
      <c r="T956" t="s">
        <v>109</v>
      </c>
      <c r="U956" t="s">
        <v>1205</v>
      </c>
    </row>
    <row r="957" spans="1:21" x14ac:dyDescent="0.25">
      <c r="A957" t="s">
        <v>2776</v>
      </c>
      <c r="B957" s="8">
        <v>45767</v>
      </c>
      <c r="C957" t="s">
        <v>1582</v>
      </c>
      <c r="D957" t="s">
        <v>824</v>
      </c>
      <c r="E957" t="s">
        <v>198</v>
      </c>
      <c r="F957">
        <v>39</v>
      </c>
      <c r="G957" t="s">
        <v>2</v>
      </c>
      <c r="H957" t="s">
        <v>3</v>
      </c>
      <c r="I957" t="s">
        <v>38</v>
      </c>
      <c r="J957" t="s">
        <v>37</v>
      </c>
      <c r="K957" t="s">
        <v>22</v>
      </c>
      <c r="L957">
        <v>1</v>
      </c>
      <c r="M957" s="12">
        <v>1650</v>
      </c>
      <c r="N957" s="12">
        <v>990</v>
      </c>
      <c r="O957">
        <v>5</v>
      </c>
      <c r="P957" s="12">
        <v>1567.5</v>
      </c>
      <c r="Q957" s="12">
        <v>990</v>
      </c>
      <c r="R957" s="12">
        <v>577.5</v>
      </c>
      <c r="S957" t="s">
        <v>113</v>
      </c>
      <c r="T957" t="s">
        <v>107</v>
      </c>
      <c r="U957" t="s">
        <v>1198</v>
      </c>
    </row>
    <row r="958" spans="1:21" x14ac:dyDescent="0.25">
      <c r="A958" t="s">
        <v>2777</v>
      </c>
      <c r="B958" s="8">
        <v>45681</v>
      </c>
      <c r="C958" t="s">
        <v>1468</v>
      </c>
      <c r="D958" t="s">
        <v>643</v>
      </c>
      <c r="E958" t="s">
        <v>218</v>
      </c>
      <c r="F958">
        <v>47</v>
      </c>
      <c r="G958" t="s">
        <v>7</v>
      </c>
      <c r="H958" t="s">
        <v>8</v>
      </c>
      <c r="I958" t="s">
        <v>53</v>
      </c>
      <c r="J958" t="s">
        <v>48</v>
      </c>
      <c r="K958" t="s">
        <v>43</v>
      </c>
      <c r="L958">
        <v>3</v>
      </c>
      <c r="M958" s="12">
        <v>6499</v>
      </c>
      <c r="N958" s="12">
        <v>4549.2999999999993</v>
      </c>
      <c r="O958">
        <v>5</v>
      </c>
      <c r="P958" s="12">
        <v>18522.149999999998</v>
      </c>
      <c r="Q958" s="12">
        <v>13647.899999999998</v>
      </c>
      <c r="R958" s="12">
        <v>4874.25</v>
      </c>
      <c r="S958" t="s">
        <v>1246</v>
      </c>
      <c r="T958" t="s">
        <v>108</v>
      </c>
      <c r="U958" t="s">
        <v>1205</v>
      </c>
    </row>
    <row r="959" spans="1:21" x14ac:dyDescent="0.25">
      <c r="A959" t="s">
        <v>2779</v>
      </c>
      <c r="B959" s="8">
        <v>45986</v>
      </c>
      <c r="C959" t="s">
        <v>2040</v>
      </c>
      <c r="D959" t="s">
        <v>646</v>
      </c>
      <c r="E959" t="s">
        <v>218</v>
      </c>
      <c r="F959">
        <v>50</v>
      </c>
      <c r="G959" t="s">
        <v>290</v>
      </c>
      <c r="H959" t="s">
        <v>3</v>
      </c>
      <c r="I959" t="s">
        <v>24</v>
      </c>
      <c r="J959" t="s">
        <v>25</v>
      </c>
      <c r="K959" t="s">
        <v>22</v>
      </c>
      <c r="L959">
        <v>4</v>
      </c>
      <c r="M959" s="12">
        <v>35800</v>
      </c>
      <c r="N959" s="12">
        <v>28640</v>
      </c>
      <c r="O959">
        <v>14</v>
      </c>
      <c r="P959" s="12">
        <v>123152</v>
      </c>
      <c r="Q959" s="12">
        <v>114560</v>
      </c>
      <c r="R959" s="12">
        <v>8592</v>
      </c>
      <c r="S959" t="s">
        <v>1246</v>
      </c>
      <c r="T959" t="s">
        <v>108</v>
      </c>
      <c r="U959" t="s">
        <v>1199</v>
      </c>
    </row>
    <row r="960" spans="1:21" x14ac:dyDescent="0.25">
      <c r="A960" t="s">
        <v>2781</v>
      </c>
      <c r="B960" s="8">
        <v>45831</v>
      </c>
      <c r="C960" t="s">
        <v>4635</v>
      </c>
      <c r="D960" t="s">
        <v>588</v>
      </c>
      <c r="E960" t="s">
        <v>198</v>
      </c>
      <c r="F960">
        <v>55</v>
      </c>
      <c r="G960" t="s">
        <v>289</v>
      </c>
      <c r="H960" t="s">
        <v>3</v>
      </c>
      <c r="I960" t="s">
        <v>53</v>
      </c>
      <c r="J960" t="s">
        <v>48</v>
      </c>
      <c r="K960" t="s">
        <v>43</v>
      </c>
      <c r="L960">
        <v>1</v>
      </c>
      <c r="M960" s="12">
        <v>6499</v>
      </c>
      <c r="N960" s="12">
        <v>4549.2999999999993</v>
      </c>
      <c r="O960">
        <v>5</v>
      </c>
      <c r="P960" s="12">
        <v>6174.0499999999993</v>
      </c>
      <c r="Q960" s="12">
        <v>4549.2999999999993</v>
      </c>
      <c r="R960" s="12">
        <v>1624.75</v>
      </c>
      <c r="S960" t="s">
        <v>1246</v>
      </c>
      <c r="T960" t="s">
        <v>108</v>
      </c>
      <c r="U960" t="s">
        <v>1199</v>
      </c>
    </row>
    <row r="961" spans="1:21" x14ac:dyDescent="0.25">
      <c r="A961" t="s">
        <v>2782</v>
      </c>
      <c r="B961" s="8">
        <v>45825</v>
      </c>
      <c r="C961" t="s">
        <v>1413</v>
      </c>
      <c r="D961" t="s">
        <v>1098</v>
      </c>
      <c r="E961" t="s">
        <v>198</v>
      </c>
      <c r="F961">
        <v>31</v>
      </c>
      <c r="G961" t="s">
        <v>10</v>
      </c>
      <c r="H961" t="s">
        <v>8</v>
      </c>
      <c r="I961" t="s">
        <v>21</v>
      </c>
      <c r="J961" t="s">
        <v>23</v>
      </c>
      <c r="K961" t="s">
        <v>22</v>
      </c>
      <c r="L961">
        <v>4</v>
      </c>
      <c r="M961" s="12">
        <v>54999</v>
      </c>
      <c r="N961" s="12">
        <v>45099.18</v>
      </c>
      <c r="O961">
        <v>6</v>
      </c>
      <c r="P961" s="12">
        <v>206796.24</v>
      </c>
      <c r="Q961" s="12">
        <v>180396.72</v>
      </c>
      <c r="R961" s="12">
        <v>26399.51999999999</v>
      </c>
      <c r="S961" t="s">
        <v>113</v>
      </c>
      <c r="T961" t="s">
        <v>109</v>
      </c>
      <c r="U961" t="s">
        <v>1203</v>
      </c>
    </row>
    <row r="962" spans="1:21" x14ac:dyDescent="0.25">
      <c r="A962" t="s">
        <v>2783</v>
      </c>
      <c r="B962" s="8">
        <v>45869</v>
      </c>
      <c r="C962" t="s">
        <v>1448</v>
      </c>
      <c r="D962" t="s">
        <v>413</v>
      </c>
      <c r="E962" t="s">
        <v>218</v>
      </c>
      <c r="F962">
        <v>56</v>
      </c>
      <c r="G962" t="s">
        <v>4</v>
      </c>
      <c r="H962" t="s">
        <v>3</v>
      </c>
      <c r="I962" t="s">
        <v>24</v>
      </c>
      <c r="J962" t="s">
        <v>25</v>
      </c>
      <c r="K962" t="s">
        <v>22</v>
      </c>
      <c r="L962">
        <v>4</v>
      </c>
      <c r="M962" s="12">
        <v>35800</v>
      </c>
      <c r="N962" s="12">
        <v>28640</v>
      </c>
      <c r="O962">
        <v>8</v>
      </c>
      <c r="P962" s="12">
        <v>131744</v>
      </c>
      <c r="Q962" s="12">
        <v>114560</v>
      </c>
      <c r="R962" s="12">
        <v>17184</v>
      </c>
      <c r="S962" t="s">
        <v>1246</v>
      </c>
      <c r="T962" t="s">
        <v>111</v>
      </c>
      <c r="U962" t="s">
        <v>1211</v>
      </c>
    </row>
    <row r="963" spans="1:21" x14ac:dyDescent="0.25">
      <c r="A963" t="s">
        <v>2785</v>
      </c>
      <c r="B963" s="8">
        <v>45722</v>
      </c>
      <c r="C963" t="s">
        <v>2611</v>
      </c>
      <c r="D963" t="s">
        <v>674</v>
      </c>
      <c r="E963" t="s">
        <v>218</v>
      </c>
      <c r="F963">
        <v>50</v>
      </c>
      <c r="G963" t="s">
        <v>11</v>
      </c>
      <c r="H963" t="s">
        <v>12</v>
      </c>
      <c r="I963" t="s">
        <v>49</v>
      </c>
      <c r="J963" t="s">
        <v>56</v>
      </c>
      <c r="K963" t="s">
        <v>43</v>
      </c>
      <c r="L963">
        <v>1</v>
      </c>
      <c r="M963" s="12">
        <v>31999</v>
      </c>
      <c r="N963" s="12">
        <v>25599.200000000001</v>
      </c>
      <c r="O963">
        <v>6</v>
      </c>
      <c r="P963" s="12">
        <v>30079.059999999998</v>
      </c>
      <c r="Q963" s="12">
        <v>25599.200000000001</v>
      </c>
      <c r="R963" s="12">
        <v>4479.8599999999969</v>
      </c>
      <c r="S963" t="s">
        <v>1246</v>
      </c>
      <c r="T963" t="s">
        <v>108</v>
      </c>
      <c r="U963" t="s">
        <v>1205</v>
      </c>
    </row>
    <row r="964" spans="1:21" x14ac:dyDescent="0.25">
      <c r="A964" t="s">
        <v>2786</v>
      </c>
      <c r="B964" s="8">
        <v>46022</v>
      </c>
      <c r="C964" t="s">
        <v>1363</v>
      </c>
      <c r="D964" t="s">
        <v>1117</v>
      </c>
      <c r="E964" t="s">
        <v>198</v>
      </c>
      <c r="F964">
        <v>36</v>
      </c>
      <c r="G964" t="s">
        <v>17</v>
      </c>
      <c r="H964" t="s">
        <v>15</v>
      </c>
      <c r="I964" t="s">
        <v>42</v>
      </c>
      <c r="J964" t="s">
        <v>44</v>
      </c>
      <c r="K964" t="s">
        <v>43</v>
      </c>
      <c r="L964">
        <v>5</v>
      </c>
      <c r="M964" s="12">
        <v>8999</v>
      </c>
      <c r="N964" s="12">
        <v>6479.28</v>
      </c>
      <c r="O964">
        <v>13</v>
      </c>
      <c r="P964" s="12">
        <v>39145.65</v>
      </c>
      <c r="Q964" s="12">
        <v>32396.399999999998</v>
      </c>
      <c r="R964" s="12">
        <v>6749.2500000000036</v>
      </c>
      <c r="S964" t="s">
        <v>1246</v>
      </c>
      <c r="T964" t="s">
        <v>107</v>
      </c>
      <c r="U964" t="s">
        <v>1199</v>
      </c>
    </row>
    <row r="965" spans="1:21" x14ac:dyDescent="0.25">
      <c r="A965" t="s">
        <v>2788</v>
      </c>
      <c r="B965" s="8">
        <v>45747</v>
      </c>
      <c r="C965" t="s">
        <v>4780</v>
      </c>
      <c r="D965" t="s">
        <v>1056</v>
      </c>
      <c r="E965" t="s">
        <v>218</v>
      </c>
      <c r="F965">
        <v>31</v>
      </c>
      <c r="G965" t="s">
        <v>10</v>
      </c>
      <c r="H965" t="s">
        <v>8</v>
      </c>
      <c r="I965" t="s">
        <v>49</v>
      </c>
      <c r="J965" t="s">
        <v>56</v>
      </c>
      <c r="K965" t="s">
        <v>43</v>
      </c>
      <c r="L965">
        <v>1</v>
      </c>
      <c r="M965" s="12">
        <v>31999</v>
      </c>
      <c r="N965" s="12">
        <v>25599.200000000001</v>
      </c>
      <c r="O965">
        <v>7</v>
      </c>
      <c r="P965" s="12">
        <v>29759.07</v>
      </c>
      <c r="Q965" s="12">
        <v>25599.200000000001</v>
      </c>
      <c r="R965" s="12">
        <v>4159.869999999999</v>
      </c>
      <c r="S965" t="s">
        <v>113</v>
      </c>
      <c r="T965" t="s">
        <v>107</v>
      </c>
      <c r="U965" t="s">
        <v>1207</v>
      </c>
    </row>
    <row r="966" spans="1:21" x14ac:dyDescent="0.25">
      <c r="A966" t="s">
        <v>2789</v>
      </c>
      <c r="B966" s="8">
        <v>45735</v>
      </c>
      <c r="C966" t="s">
        <v>2169</v>
      </c>
      <c r="D966" t="s">
        <v>575</v>
      </c>
      <c r="E966" t="s">
        <v>198</v>
      </c>
      <c r="F966">
        <v>46</v>
      </c>
      <c r="G966" t="s">
        <v>17</v>
      </c>
      <c r="H966" t="s">
        <v>15</v>
      </c>
      <c r="I966" t="s">
        <v>28</v>
      </c>
      <c r="J966" t="s">
        <v>35</v>
      </c>
      <c r="K966" t="s">
        <v>22</v>
      </c>
      <c r="L966">
        <v>2</v>
      </c>
      <c r="M966" s="12">
        <v>16499</v>
      </c>
      <c r="N966" s="12">
        <v>14519.12</v>
      </c>
      <c r="O966">
        <v>3</v>
      </c>
      <c r="P966" s="12">
        <v>32008.059999999998</v>
      </c>
      <c r="Q966" s="12">
        <v>29038.240000000002</v>
      </c>
      <c r="R966" s="12">
        <v>2969.8199999999961</v>
      </c>
      <c r="S966" t="s">
        <v>1246</v>
      </c>
      <c r="T966" t="s">
        <v>110</v>
      </c>
      <c r="U966" t="s">
        <v>1198</v>
      </c>
    </row>
    <row r="967" spans="1:21" x14ac:dyDescent="0.25">
      <c r="A967" t="s">
        <v>2791</v>
      </c>
      <c r="B967" s="8">
        <v>45843</v>
      </c>
      <c r="C967" t="s">
        <v>3242</v>
      </c>
      <c r="D967" t="s">
        <v>1121</v>
      </c>
      <c r="E967" t="s">
        <v>218</v>
      </c>
      <c r="F967">
        <v>39</v>
      </c>
      <c r="G967" t="s">
        <v>5</v>
      </c>
      <c r="H967" t="s">
        <v>3</v>
      </c>
      <c r="I967" t="s">
        <v>32</v>
      </c>
      <c r="J967" t="s">
        <v>29</v>
      </c>
      <c r="K967" t="s">
        <v>22</v>
      </c>
      <c r="L967">
        <v>5</v>
      </c>
      <c r="M967" s="12">
        <v>9500</v>
      </c>
      <c r="N967" s="12">
        <v>6650</v>
      </c>
      <c r="O967">
        <v>3</v>
      </c>
      <c r="P967" s="12">
        <v>46075</v>
      </c>
      <c r="Q967" s="12">
        <v>33250</v>
      </c>
      <c r="R967" s="12">
        <v>12825</v>
      </c>
      <c r="S967" t="s">
        <v>1246</v>
      </c>
      <c r="T967" t="s">
        <v>109</v>
      </c>
      <c r="U967" t="s">
        <v>1203</v>
      </c>
    </row>
    <row r="968" spans="1:21" x14ac:dyDescent="0.25">
      <c r="A968" t="s">
        <v>2792</v>
      </c>
      <c r="B968" s="8">
        <v>45958</v>
      </c>
      <c r="C968" t="s">
        <v>2308</v>
      </c>
      <c r="D968" t="s">
        <v>95</v>
      </c>
      <c r="E968" t="s">
        <v>198</v>
      </c>
      <c r="F968">
        <v>57</v>
      </c>
      <c r="G968" t="s">
        <v>4</v>
      </c>
      <c r="H968" t="s">
        <v>3</v>
      </c>
      <c r="I968" t="s">
        <v>63</v>
      </c>
      <c r="J968" t="s">
        <v>77</v>
      </c>
      <c r="K968" t="s">
        <v>64</v>
      </c>
      <c r="L968">
        <v>3</v>
      </c>
      <c r="M968" s="12">
        <v>650</v>
      </c>
      <c r="N968" s="12">
        <v>468</v>
      </c>
      <c r="O968">
        <v>4</v>
      </c>
      <c r="P968" s="12">
        <v>1872</v>
      </c>
      <c r="Q968" s="12">
        <v>1404</v>
      </c>
      <c r="R968" s="12">
        <v>468</v>
      </c>
      <c r="S968" t="s">
        <v>1246</v>
      </c>
      <c r="T968" t="s">
        <v>107</v>
      </c>
      <c r="U968" t="s">
        <v>1207</v>
      </c>
    </row>
    <row r="969" spans="1:21" x14ac:dyDescent="0.25">
      <c r="A969" t="s">
        <v>2793</v>
      </c>
      <c r="B969" s="8">
        <v>45885</v>
      </c>
      <c r="C969" t="s">
        <v>2595</v>
      </c>
      <c r="D969" t="s">
        <v>613</v>
      </c>
      <c r="E969" t="s">
        <v>198</v>
      </c>
      <c r="F969">
        <v>36</v>
      </c>
      <c r="G969" t="s">
        <v>7</v>
      </c>
      <c r="H969" t="s">
        <v>8</v>
      </c>
      <c r="I969" t="s">
        <v>47</v>
      </c>
      <c r="J969" t="s">
        <v>52</v>
      </c>
      <c r="K969" t="s">
        <v>43</v>
      </c>
      <c r="L969">
        <v>1</v>
      </c>
      <c r="M969" s="12">
        <v>42999</v>
      </c>
      <c r="N969" s="12">
        <v>33539.22</v>
      </c>
      <c r="O969">
        <v>7</v>
      </c>
      <c r="P969" s="12">
        <v>39989.07</v>
      </c>
      <c r="Q969" s="12">
        <v>33539.22</v>
      </c>
      <c r="R969" s="12">
        <v>6449.8499999999985</v>
      </c>
      <c r="S969" t="s">
        <v>113</v>
      </c>
      <c r="T969" t="s">
        <v>108</v>
      </c>
      <c r="U969" t="s">
        <v>1203</v>
      </c>
    </row>
    <row r="970" spans="1:21" x14ac:dyDescent="0.25">
      <c r="A970" t="s">
        <v>2794</v>
      </c>
      <c r="B970" s="8">
        <v>45955</v>
      </c>
      <c r="C970" t="s">
        <v>4539</v>
      </c>
      <c r="D970" t="s">
        <v>1023</v>
      </c>
      <c r="E970" t="s">
        <v>198</v>
      </c>
      <c r="F970">
        <v>51</v>
      </c>
      <c r="G970" t="s">
        <v>7</v>
      </c>
      <c r="H970" t="s">
        <v>8</v>
      </c>
      <c r="I970" t="s">
        <v>49</v>
      </c>
      <c r="J970" t="s">
        <v>56</v>
      </c>
      <c r="K970" t="s">
        <v>43</v>
      </c>
      <c r="L970">
        <v>5</v>
      </c>
      <c r="M970" s="12">
        <v>31999</v>
      </c>
      <c r="N970" s="12">
        <v>25599.200000000001</v>
      </c>
      <c r="O970">
        <v>9</v>
      </c>
      <c r="P970" s="12">
        <v>145595.45000000001</v>
      </c>
      <c r="Q970" s="12">
        <v>127996</v>
      </c>
      <c r="R970" s="12">
        <v>17599.450000000012</v>
      </c>
      <c r="S970" t="s">
        <v>1246</v>
      </c>
      <c r="T970" t="s">
        <v>111</v>
      </c>
      <c r="U970" t="s">
        <v>1201</v>
      </c>
    </row>
    <row r="971" spans="1:21" x14ac:dyDescent="0.25">
      <c r="A971" t="s">
        <v>2795</v>
      </c>
      <c r="B971" s="8">
        <v>45917</v>
      </c>
      <c r="C971" t="s">
        <v>2774</v>
      </c>
      <c r="D971" t="s">
        <v>1068</v>
      </c>
      <c r="E971" t="s">
        <v>218</v>
      </c>
      <c r="F971">
        <v>33</v>
      </c>
      <c r="G971" t="s">
        <v>5</v>
      </c>
      <c r="H971" t="s">
        <v>3</v>
      </c>
      <c r="I971" t="s">
        <v>30</v>
      </c>
      <c r="J971" t="s">
        <v>41</v>
      </c>
      <c r="K971" t="s">
        <v>22</v>
      </c>
      <c r="L971">
        <v>1</v>
      </c>
      <c r="M971" s="12">
        <v>13749</v>
      </c>
      <c r="N971" s="12">
        <v>10999.2</v>
      </c>
      <c r="O971">
        <v>8</v>
      </c>
      <c r="P971" s="12">
        <v>12649.08</v>
      </c>
      <c r="Q971" s="12">
        <v>10999.2</v>
      </c>
      <c r="R971" s="12">
        <v>1649.8799999999992</v>
      </c>
      <c r="S971" t="s">
        <v>113</v>
      </c>
      <c r="T971" t="s">
        <v>109</v>
      </c>
      <c r="U971" t="s">
        <v>1201</v>
      </c>
    </row>
    <row r="972" spans="1:21" x14ac:dyDescent="0.25">
      <c r="A972" t="s">
        <v>2796</v>
      </c>
      <c r="B972" s="8">
        <v>45698</v>
      </c>
      <c r="C972" t="s">
        <v>1532</v>
      </c>
      <c r="D972" t="s">
        <v>867</v>
      </c>
      <c r="E972" t="s">
        <v>218</v>
      </c>
      <c r="F972">
        <v>21</v>
      </c>
      <c r="G972" t="s">
        <v>16</v>
      </c>
      <c r="H972" t="s">
        <v>15</v>
      </c>
      <c r="I972" t="s">
        <v>57</v>
      </c>
      <c r="J972" t="s">
        <v>67</v>
      </c>
      <c r="K972" t="s">
        <v>64</v>
      </c>
      <c r="L972">
        <v>5</v>
      </c>
      <c r="M972" s="12">
        <v>150</v>
      </c>
      <c r="N972" s="12">
        <v>97.5</v>
      </c>
      <c r="O972">
        <v>0</v>
      </c>
      <c r="P972" s="12">
        <v>750</v>
      </c>
      <c r="Q972" s="12">
        <v>487.5</v>
      </c>
      <c r="R972" s="12">
        <v>262.5</v>
      </c>
      <c r="S972" t="s">
        <v>1246</v>
      </c>
      <c r="T972" t="s">
        <v>107</v>
      </c>
      <c r="U972" t="s">
        <v>1207</v>
      </c>
    </row>
    <row r="973" spans="1:21" x14ac:dyDescent="0.25">
      <c r="A973" t="s">
        <v>2798</v>
      </c>
      <c r="B973" s="8">
        <v>46014</v>
      </c>
      <c r="C973" t="s">
        <v>1716</v>
      </c>
      <c r="D973" t="s">
        <v>652</v>
      </c>
      <c r="E973" t="s">
        <v>218</v>
      </c>
      <c r="F973">
        <v>49</v>
      </c>
      <c r="G973" t="s">
        <v>10</v>
      </c>
      <c r="H973" t="s">
        <v>8</v>
      </c>
      <c r="I973" t="s">
        <v>24</v>
      </c>
      <c r="J973" t="s">
        <v>25</v>
      </c>
      <c r="K973" t="s">
        <v>22</v>
      </c>
      <c r="L973">
        <v>4</v>
      </c>
      <c r="M973" s="12">
        <v>35800</v>
      </c>
      <c r="N973" s="12">
        <v>28640</v>
      </c>
      <c r="O973">
        <v>14</v>
      </c>
      <c r="P973" s="12">
        <v>123152</v>
      </c>
      <c r="Q973" s="12">
        <v>114560</v>
      </c>
      <c r="R973" s="12">
        <v>8592</v>
      </c>
      <c r="S973" t="s">
        <v>113</v>
      </c>
      <c r="T973" t="s">
        <v>108</v>
      </c>
      <c r="U973" t="s">
        <v>1207</v>
      </c>
    </row>
    <row r="974" spans="1:21" x14ac:dyDescent="0.25">
      <c r="A974" t="s">
        <v>2800</v>
      </c>
      <c r="B974" s="8">
        <v>45846</v>
      </c>
      <c r="C974" t="s">
        <v>3660</v>
      </c>
      <c r="D974" t="s">
        <v>951</v>
      </c>
      <c r="E974" t="s">
        <v>198</v>
      </c>
      <c r="F974">
        <v>21</v>
      </c>
      <c r="G974" t="s">
        <v>17</v>
      </c>
      <c r="H974" t="s">
        <v>15</v>
      </c>
      <c r="I974" t="s">
        <v>30</v>
      </c>
      <c r="J974" t="s">
        <v>41</v>
      </c>
      <c r="K974" t="s">
        <v>22</v>
      </c>
      <c r="L974">
        <v>5</v>
      </c>
      <c r="M974" s="12">
        <v>13749</v>
      </c>
      <c r="N974" s="12">
        <v>10999.2</v>
      </c>
      <c r="O974">
        <v>7</v>
      </c>
      <c r="P974" s="12">
        <v>63932.85</v>
      </c>
      <c r="Q974" s="12">
        <v>54996</v>
      </c>
      <c r="R974" s="12">
        <v>8936.8499999999985</v>
      </c>
      <c r="S974" t="s">
        <v>1246</v>
      </c>
      <c r="T974" t="s">
        <v>108</v>
      </c>
      <c r="U974" t="s">
        <v>1196</v>
      </c>
    </row>
    <row r="975" spans="1:21" x14ac:dyDescent="0.25">
      <c r="A975" t="s">
        <v>2801</v>
      </c>
      <c r="B975" s="8">
        <v>45727</v>
      </c>
      <c r="C975" t="s">
        <v>3187</v>
      </c>
      <c r="D975" t="s">
        <v>1094</v>
      </c>
      <c r="E975" t="s">
        <v>198</v>
      </c>
      <c r="F975">
        <v>58</v>
      </c>
      <c r="G975" t="s">
        <v>2</v>
      </c>
      <c r="H975" t="s">
        <v>3</v>
      </c>
      <c r="I975" t="s">
        <v>36</v>
      </c>
      <c r="J975" t="s">
        <v>136</v>
      </c>
      <c r="K975" t="s">
        <v>22</v>
      </c>
      <c r="L975">
        <v>1</v>
      </c>
      <c r="M975" s="12">
        <v>3590</v>
      </c>
      <c r="N975" s="12">
        <v>2333.5</v>
      </c>
      <c r="O975">
        <v>8</v>
      </c>
      <c r="P975" s="12">
        <v>3302.8</v>
      </c>
      <c r="Q975" s="12">
        <v>2333.5</v>
      </c>
      <c r="R975" s="12">
        <v>969.30000000000018</v>
      </c>
      <c r="S975" t="s">
        <v>113</v>
      </c>
      <c r="T975" t="s">
        <v>107</v>
      </c>
      <c r="U975" t="s">
        <v>1196</v>
      </c>
    </row>
    <row r="976" spans="1:21" x14ac:dyDescent="0.25">
      <c r="A976" t="s">
        <v>2803</v>
      </c>
      <c r="B976" s="8">
        <v>46014</v>
      </c>
      <c r="C976" t="s">
        <v>3438</v>
      </c>
      <c r="D976" t="s">
        <v>370</v>
      </c>
      <c r="E976" t="s">
        <v>218</v>
      </c>
      <c r="F976">
        <v>39</v>
      </c>
      <c r="G976" t="s">
        <v>290</v>
      </c>
      <c r="H976" t="s">
        <v>3</v>
      </c>
      <c r="I976" t="s">
        <v>61</v>
      </c>
      <c r="J976" t="s">
        <v>146</v>
      </c>
      <c r="K976" t="s">
        <v>64</v>
      </c>
      <c r="L976">
        <v>2</v>
      </c>
      <c r="M976" s="12">
        <v>250</v>
      </c>
      <c r="N976" s="12">
        <v>155</v>
      </c>
      <c r="O976">
        <v>8</v>
      </c>
      <c r="P976" s="12">
        <v>460</v>
      </c>
      <c r="Q976" s="12">
        <v>310</v>
      </c>
      <c r="R976" s="12">
        <v>150</v>
      </c>
      <c r="S976" t="s">
        <v>1246</v>
      </c>
      <c r="T976" t="s">
        <v>107</v>
      </c>
      <c r="U976" t="s">
        <v>1205</v>
      </c>
    </row>
    <row r="977" spans="1:21" x14ac:dyDescent="0.25">
      <c r="A977" t="s">
        <v>2805</v>
      </c>
      <c r="B977" s="8">
        <v>45804</v>
      </c>
      <c r="C977" t="s">
        <v>2167</v>
      </c>
      <c r="D977" t="s">
        <v>569</v>
      </c>
      <c r="E977" t="s">
        <v>218</v>
      </c>
      <c r="F977">
        <v>21</v>
      </c>
      <c r="G977" t="s">
        <v>14</v>
      </c>
      <c r="H977" t="s">
        <v>15</v>
      </c>
      <c r="I977" t="s">
        <v>36</v>
      </c>
      <c r="J977" t="s">
        <v>136</v>
      </c>
      <c r="K977" t="s">
        <v>22</v>
      </c>
      <c r="L977">
        <v>1</v>
      </c>
      <c r="M977" s="12">
        <v>3590</v>
      </c>
      <c r="N977" s="12">
        <v>2333.5</v>
      </c>
      <c r="O977">
        <v>6</v>
      </c>
      <c r="P977" s="12">
        <v>3374.6</v>
      </c>
      <c r="Q977" s="12">
        <v>2333.5</v>
      </c>
      <c r="R977" s="12">
        <v>1041.0999999999999</v>
      </c>
      <c r="S977" t="s">
        <v>1246</v>
      </c>
      <c r="T977" t="s">
        <v>107</v>
      </c>
      <c r="U977" t="s">
        <v>1205</v>
      </c>
    </row>
    <row r="978" spans="1:21" x14ac:dyDescent="0.25">
      <c r="A978" t="s">
        <v>2806</v>
      </c>
      <c r="B978" s="8">
        <v>45869</v>
      </c>
      <c r="C978" t="s">
        <v>2718</v>
      </c>
      <c r="D978" t="s">
        <v>812</v>
      </c>
      <c r="E978" t="s">
        <v>198</v>
      </c>
      <c r="F978">
        <v>39</v>
      </c>
      <c r="G978" t="s">
        <v>14</v>
      </c>
      <c r="H978" t="s">
        <v>15</v>
      </c>
      <c r="I978" t="s">
        <v>40</v>
      </c>
      <c r="J978" t="s">
        <v>39</v>
      </c>
      <c r="K978" t="s">
        <v>22</v>
      </c>
      <c r="L978">
        <v>4</v>
      </c>
      <c r="M978" s="12">
        <v>1100</v>
      </c>
      <c r="N978" s="12">
        <v>715</v>
      </c>
      <c r="O978">
        <v>8</v>
      </c>
      <c r="P978" s="12">
        <v>4048</v>
      </c>
      <c r="Q978" s="12">
        <v>2860</v>
      </c>
      <c r="R978" s="12">
        <v>1188</v>
      </c>
      <c r="S978" t="s">
        <v>1246</v>
      </c>
      <c r="T978" t="s">
        <v>110</v>
      </c>
      <c r="U978" t="s">
        <v>1194</v>
      </c>
    </row>
    <row r="979" spans="1:21" x14ac:dyDescent="0.25">
      <c r="A979" t="s">
        <v>2808</v>
      </c>
      <c r="B979" s="8">
        <v>45707</v>
      </c>
      <c r="C979" t="s">
        <v>2692</v>
      </c>
      <c r="D979" t="s">
        <v>488</v>
      </c>
      <c r="E979" t="s">
        <v>198</v>
      </c>
      <c r="F979">
        <v>18</v>
      </c>
      <c r="G979" t="s">
        <v>7</v>
      </c>
      <c r="H979" t="s">
        <v>8</v>
      </c>
      <c r="I979" t="s">
        <v>34</v>
      </c>
      <c r="J979" t="s">
        <v>137</v>
      </c>
      <c r="K979" t="s">
        <v>22</v>
      </c>
      <c r="L979">
        <v>3</v>
      </c>
      <c r="M979" s="12">
        <v>6900</v>
      </c>
      <c r="N979" s="12">
        <v>5727</v>
      </c>
      <c r="O979">
        <v>6</v>
      </c>
      <c r="P979" s="12">
        <v>19458</v>
      </c>
      <c r="Q979" s="12">
        <v>17181</v>
      </c>
      <c r="R979" s="12">
        <v>2277</v>
      </c>
      <c r="S979" t="s">
        <v>1246</v>
      </c>
      <c r="T979" t="s">
        <v>109</v>
      </c>
      <c r="U979" t="s">
        <v>1205</v>
      </c>
    </row>
    <row r="980" spans="1:21" x14ac:dyDescent="0.25">
      <c r="A980" t="s">
        <v>2810</v>
      </c>
      <c r="B980" s="8">
        <v>45768</v>
      </c>
      <c r="C980" t="s">
        <v>3640</v>
      </c>
      <c r="D980" t="s">
        <v>742</v>
      </c>
      <c r="E980" t="s">
        <v>218</v>
      </c>
      <c r="F980">
        <v>63</v>
      </c>
      <c r="G980" t="s">
        <v>4</v>
      </c>
      <c r="H980" t="s">
        <v>3</v>
      </c>
      <c r="I980" t="s">
        <v>47</v>
      </c>
      <c r="J980" t="s">
        <v>52</v>
      </c>
      <c r="K980" t="s">
        <v>43</v>
      </c>
      <c r="L980">
        <v>5</v>
      </c>
      <c r="M980" s="12">
        <v>42999</v>
      </c>
      <c r="N980" s="12">
        <v>33539.22</v>
      </c>
      <c r="O980">
        <v>9</v>
      </c>
      <c r="P980" s="12">
        <v>195645.45</v>
      </c>
      <c r="Q980" s="12">
        <v>167696.1</v>
      </c>
      <c r="R980" s="12">
        <v>27949.350000000006</v>
      </c>
      <c r="S980" t="s">
        <v>1246</v>
      </c>
      <c r="T980" t="s">
        <v>108</v>
      </c>
      <c r="U980" t="s">
        <v>1194</v>
      </c>
    </row>
    <row r="981" spans="1:21" x14ac:dyDescent="0.25">
      <c r="A981" t="s">
        <v>2811</v>
      </c>
      <c r="B981" s="8">
        <v>45697</v>
      </c>
      <c r="C981" t="s">
        <v>4666</v>
      </c>
      <c r="D981" t="s">
        <v>1173</v>
      </c>
      <c r="E981" t="s">
        <v>218</v>
      </c>
      <c r="F981">
        <v>18</v>
      </c>
      <c r="G981" t="s">
        <v>11</v>
      </c>
      <c r="H981" t="s">
        <v>12</v>
      </c>
      <c r="I981" t="s">
        <v>53</v>
      </c>
      <c r="J981" t="s">
        <v>48</v>
      </c>
      <c r="K981" t="s">
        <v>43</v>
      </c>
      <c r="L981">
        <v>1</v>
      </c>
      <c r="M981" s="12">
        <v>6499</v>
      </c>
      <c r="N981" s="12">
        <v>4549.2999999999993</v>
      </c>
      <c r="O981">
        <v>7</v>
      </c>
      <c r="P981" s="12">
        <v>6044.07</v>
      </c>
      <c r="Q981" s="12">
        <v>4549.2999999999993</v>
      </c>
      <c r="R981" s="12">
        <v>1494.7700000000004</v>
      </c>
      <c r="S981" t="s">
        <v>1246</v>
      </c>
      <c r="T981" t="s">
        <v>109</v>
      </c>
      <c r="U981" t="s">
        <v>1207</v>
      </c>
    </row>
    <row r="982" spans="1:21" x14ac:dyDescent="0.25">
      <c r="A982" t="s">
        <v>2812</v>
      </c>
      <c r="B982" s="8">
        <v>45666</v>
      </c>
      <c r="C982" t="s">
        <v>2768</v>
      </c>
      <c r="D982" t="s">
        <v>670</v>
      </c>
      <c r="E982" t="s">
        <v>218</v>
      </c>
      <c r="F982">
        <v>45</v>
      </c>
      <c r="G982" t="s">
        <v>4</v>
      </c>
      <c r="H982" t="s">
        <v>3</v>
      </c>
      <c r="I982" t="s">
        <v>26</v>
      </c>
      <c r="J982" t="s">
        <v>27</v>
      </c>
      <c r="K982" t="s">
        <v>22</v>
      </c>
      <c r="L982">
        <v>2</v>
      </c>
      <c r="M982" s="12">
        <v>27499</v>
      </c>
      <c r="N982" s="12">
        <v>23374.149999999998</v>
      </c>
      <c r="O982">
        <v>9</v>
      </c>
      <c r="P982" s="12">
        <v>50048.18</v>
      </c>
      <c r="Q982" s="12">
        <v>46748.299999999996</v>
      </c>
      <c r="R982" s="12">
        <v>3299.8800000000047</v>
      </c>
      <c r="S982" t="s">
        <v>113</v>
      </c>
      <c r="T982" t="s">
        <v>107</v>
      </c>
      <c r="U982" t="s">
        <v>1209</v>
      </c>
    </row>
    <row r="983" spans="1:21" x14ac:dyDescent="0.25">
      <c r="A983" t="s">
        <v>2813</v>
      </c>
      <c r="B983" s="8">
        <v>45907</v>
      </c>
      <c r="C983" t="s">
        <v>4935</v>
      </c>
      <c r="D983" t="s">
        <v>1182</v>
      </c>
      <c r="E983" t="s">
        <v>218</v>
      </c>
      <c r="F983">
        <v>24</v>
      </c>
      <c r="G983" t="s">
        <v>4</v>
      </c>
      <c r="H983" t="s">
        <v>3</v>
      </c>
      <c r="I983" t="s">
        <v>30</v>
      </c>
      <c r="J983" t="s">
        <v>41</v>
      </c>
      <c r="K983" t="s">
        <v>22</v>
      </c>
      <c r="L983">
        <v>1</v>
      </c>
      <c r="M983" s="12">
        <v>13749</v>
      </c>
      <c r="N983" s="12">
        <v>10999.2</v>
      </c>
      <c r="O983">
        <v>7</v>
      </c>
      <c r="P983" s="12">
        <v>12786.57</v>
      </c>
      <c r="Q983" s="12">
        <v>10999.2</v>
      </c>
      <c r="R983" s="12">
        <v>1787.369999999999</v>
      </c>
      <c r="S983" t="s">
        <v>113</v>
      </c>
      <c r="T983" t="s">
        <v>107</v>
      </c>
      <c r="U983" t="s">
        <v>1198</v>
      </c>
    </row>
    <row r="984" spans="1:21" x14ac:dyDescent="0.25">
      <c r="A984" t="s">
        <v>2814</v>
      </c>
      <c r="B984" s="8">
        <v>45811</v>
      </c>
      <c r="C984" t="s">
        <v>2931</v>
      </c>
      <c r="D984" t="s">
        <v>839</v>
      </c>
      <c r="E984" t="s">
        <v>218</v>
      </c>
      <c r="F984">
        <v>60</v>
      </c>
      <c r="G984" t="s">
        <v>17</v>
      </c>
      <c r="H984" t="s">
        <v>15</v>
      </c>
      <c r="I984" t="s">
        <v>59</v>
      </c>
      <c r="J984" t="s">
        <v>73</v>
      </c>
      <c r="K984" t="s">
        <v>64</v>
      </c>
      <c r="L984">
        <v>1</v>
      </c>
      <c r="M984" s="12">
        <v>120</v>
      </c>
      <c r="N984" s="12">
        <v>81.599999999999994</v>
      </c>
      <c r="O984">
        <v>12</v>
      </c>
      <c r="P984" s="12">
        <v>105.6</v>
      </c>
      <c r="Q984" s="12">
        <v>81.599999999999994</v>
      </c>
      <c r="R984" s="12">
        <v>24</v>
      </c>
      <c r="S984" t="s">
        <v>113</v>
      </c>
      <c r="T984" t="s">
        <v>108</v>
      </c>
      <c r="U984" t="s">
        <v>1194</v>
      </c>
    </row>
    <row r="985" spans="1:21" x14ac:dyDescent="0.25">
      <c r="A985" t="s">
        <v>2816</v>
      </c>
      <c r="B985" s="8">
        <v>45830</v>
      </c>
      <c r="C985" t="s">
        <v>1592</v>
      </c>
      <c r="D985" t="s">
        <v>879</v>
      </c>
      <c r="E985" t="s">
        <v>198</v>
      </c>
      <c r="F985">
        <v>41</v>
      </c>
      <c r="G985" t="s">
        <v>7</v>
      </c>
      <c r="H985" t="s">
        <v>8</v>
      </c>
      <c r="I985" t="s">
        <v>32</v>
      </c>
      <c r="J985" t="s">
        <v>29</v>
      </c>
      <c r="K985" t="s">
        <v>22</v>
      </c>
      <c r="L985">
        <v>1</v>
      </c>
      <c r="M985" s="12">
        <v>9500</v>
      </c>
      <c r="N985" s="12">
        <v>6650</v>
      </c>
      <c r="O985">
        <v>9</v>
      </c>
      <c r="P985" s="12">
        <v>8645</v>
      </c>
      <c r="Q985" s="12">
        <v>6650</v>
      </c>
      <c r="R985" s="12">
        <v>1995</v>
      </c>
      <c r="S985" t="s">
        <v>113</v>
      </c>
      <c r="T985" t="s">
        <v>107</v>
      </c>
      <c r="U985" t="s">
        <v>1199</v>
      </c>
    </row>
    <row r="986" spans="1:21" x14ac:dyDescent="0.25">
      <c r="A986" t="s">
        <v>2817</v>
      </c>
      <c r="B986" s="8">
        <v>45777</v>
      </c>
      <c r="C986" t="s">
        <v>1789</v>
      </c>
      <c r="D986" t="s">
        <v>1187</v>
      </c>
      <c r="E986" t="s">
        <v>218</v>
      </c>
      <c r="F986">
        <v>30</v>
      </c>
      <c r="G986" t="s">
        <v>5</v>
      </c>
      <c r="H986" t="s">
        <v>3</v>
      </c>
      <c r="I986" t="s">
        <v>61</v>
      </c>
      <c r="J986" t="s">
        <v>146</v>
      </c>
      <c r="K986" t="s">
        <v>64</v>
      </c>
      <c r="L986">
        <v>4</v>
      </c>
      <c r="M986" s="12">
        <v>250</v>
      </c>
      <c r="N986" s="12">
        <v>155</v>
      </c>
      <c r="O986">
        <v>0</v>
      </c>
      <c r="P986" s="12">
        <v>1000</v>
      </c>
      <c r="Q986" s="12">
        <v>620</v>
      </c>
      <c r="R986" s="12">
        <v>380</v>
      </c>
      <c r="S986" t="s">
        <v>1246</v>
      </c>
      <c r="T986" t="s">
        <v>107</v>
      </c>
      <c r="U986" t="s">
        <v>1209</v>
      </c>
    </row>
    <row r="987" spans="1:21" x14ac:dyDescent="0.25">
      <c r="A987" t="s">
        <v>2818</v>
      </c>
      <c r="B987" s="8">
        <v>45794</v>
      </c>
      <c r="C987" t="s">
        <v>1772</v>
      </c>
      <c r="D987" t="s">
        <v>695</v>
      </c>
      <c r="E987" t="s">
        <v>198</v>
      </c>
      <c r="F987">
        <v>21</v>
      </c>
      <c r="G987" t="s">
        <v>14</v>
      </c>
      <c r="H987" t="s">
        <v>15</v>
      </c>
      <c r="I987" t="s">
        <v>42</v>
      </c>
      <c r="J987" t="s">
        <v>44</v>
      </c>
      <c r="K987" t="s">
        <v>43</v>
      </c>
      <c r="L987">
        <v>1</v>
      </c>
      <c r="M987" s="12">
        <v>8999</v>
      </c>
      <c r="N987" s="12">
        <v>6479.28</v>
      </c>
      <c r="O987">
        <v>3</v>
      </c>
      <c r="P987" s="12">
        <v>8729.0300000000007</v>
      </c>
      <c r="Q987" s="12">
        <v>6479.28</v>
      </c>
      <c r="R987" s="12">
        <v>2249.7500000000009</v>
      </c>
      <c r="S987" t="s">
        <v>1246</v>
      </c>
      <c r="T987" t="s">
        <v>108</v>
      </c>
      <c r="U987" t="s">
        <v>1198</v>
      </c>
    </row>
    <row r="988" spans="1:21" x14ac:dyDescent="0.25">
      <c r="A988" t="s">
        <v>2819</v>
      </c>
      <c r="B988" s="8">
        <v>45861</v>
      </c>
      <c r="C988" t="s">
        <v>2607</v>
      </c>
      <c r="D988" t="s">
        <v>1074</v>
      </c>
      <c r="E988" t="s">
        <v>218</v>
      </c>
      <c r="F988">
        <v>58</v>
      </c>
      <c r="G988" t="s">
        <v>9</v>
      </c>
      <c r="H988" t="s">
        <v>8</v>
      </c>
      <c r="I988" t="s">
        <v>40</v>
      </c>
      <c r="J988" t="s">
        <v>39</v>
      </c>
      <c r="K988" t="s">
        <v>22</v>
      </c>
      <c r="L988">
        <v>1</v>
      </c>
      <c r="M988" s="12">
        <v>1100</v>
      </c>
      <c r="N988" s="12">
        <v>715</v>
      </c>
      <c r="O988">
        <v>7</v>
      </c>
      <c r="P988" s="12">
        <v>1022.9999999999999</v>
      </c>
      <c r="Q988" s="12">
        <v>715</v>
      </c>
      <c r="R988" s="12">
        <v>307.99999999999989</v>
      </c>
      <c r="S988" t="s">
        <v>1246</v>
      </c>
      <c r="T988" t="s">
        <v>107</v>
      </c>
      <c r="U988" t="s">
        <v>1198</v>
      </c>
    </row>
    <row r="989" spans="1:21" x14ac:dyDescent="0.25">
      <c r="A989" t="s">
        <v>2821</v>
      </c>
      <c r="B989" s="8">
        <v>45805</v>
      </c>
      <c r="C989" t="s">
        <v>3341</v>
      </c>
      <c r="D989" t="s">
        <v>775</v>
      </c>
      <c r="E989" t="s">
        <v>218</v>
      </c>
      <c r="F989">
        <v>29</v>
      </c>
      <c r="G989" t="s">
        <v>7</v>
      </c>
      <c r="H989" t="s">
        <v>8</v>
      </c>
      <c r="I989" t="s">
        <v>26</v>
      </c>
      <c r="J989" t="s">
        <v>27</v>
      </c>
      <c r="K989" t="s">
        <v>22</v>
      </c>
      <c r="L989">
        <v>1</v>
      </c>
      <c r="M989" s="12">
        <v>27499</v>
      </c>
      <c r="N989" s="12">
        <v>23374.149999999998</v>
      </c>
      <c r="O989">
        <v>8</v>
      </c>
      <c r="P989" s="12">
        <v>25299.08</v>
      </c>
      <c r="Q989" s="12">
        <v>23374.149999999998</v>
      </c>
      <c r="R989" s="12">
        <v>1924.9300000000039</v>
      </c>
      <c r="S989" t="s">
        <v>113</v>
      </c>
      <c r="T989" t="s">
        <v>107</v>
      </c>
      <c r="U989" t="s">
        <v>1211</v>
      </c>
    </row>
    <row r="990" spans="1:21" x14ac:dyDescent="0.25">
      <c r="A990" t="s">
        <v>2822</v>
      </c>
      <c r="B990" s="8">
        <v>45845</v>
      </c>
      <c r="C990" t="s">
        <v>2695</v>
      </c>
      <c r="D990" t="s">
        <v>365</v>
      </c>
      <c r="E990" t="s">
        <v>218</v>
      </c>
      <c r="F990">
        <v>49</v>
      </c>
      <c r="G990" t="s">
        <v>4</v>
      </c>
      <c r="H990" t="s">
        <v>3</v>
      </c>
      <c r="I990" t="s">
        <v>42</v>
      </c>
      <c r="J990" t="s">
        <v>44</v>
      </c>
      <c r="K990" t="s">
        <v>43</v>
      </c>
      <c r="L990">
        <v>5</v>
      </c>
      <c r="M990" s="12">
        <v>8999</v>
      </c>
      <c r="N990" s="12">
        <v>6479.28</v>
      </c>
      <c r="O990">
        <v>9</v>
      </c>
      <c r="P990" s="12">
        <v>40945.450000000004</v>
      </c>
      <c r="Q990" s="12">
        <v>32396.399999999998</v>
      </c>
      <c r="R990" s="12">
        <v>8549.0500000000065</v>
      </c>
      <c r="S990" t="s">
        <v>113</v>
      </c>
      <c r="T990" t="s">
        <v>108</v>
      </c>
      <c r="U990" t="s">
        <v>1196</v>
      </c>
    </row>
    <row r="991" spans="1:21" x14ac:dyDescent="0.25">
      <c r="A991" t="s">
        <v>2823</v>
      </c>
      <c r="B991" s="8">
        <v>45855</v>
      </c>
      <c r="C991" t="s">
        <v>3338</v>
      </c>
      <c r="D991" t="s">
        <v>741</v>
      </c>
      <c r="E991" t="s">
        <v>218</v>
      </c>
      <c r="F991">
        <v>34</v>
      </c>
      <c r="G991" t="s">
        <v>4</v>
      </c>
      <c r="H991" t="s">
        <v>3</v>
      </c>
      <c r="I991" t="s">
        <v>55</v>
      </c>
      <c r="J991" t="s">
        <v>65</v>
      </c>
      <c r="K991" t="s">
        <v>64</v>
      </c>
      <c r="L991">
        <v>4</v>
      </c>
      <c r="M991" s="12">
        <v>80</v>
      </c>
      <c r="N991" s="12">
        <v>56</v>
      </c>
      <c r="O991">
        <v>3</v>
      </c>
      <c r="P991" s="12">
        <v>310.39999999999998</v>
      </c>
      <c r="Q991" s="12">
        <v>224</v>
      </c>
      <c r="R991" s="12">
        <v>86.399999999999977</v>
      </c>
      <c r="S991" t="s">
        <v>113</v>
      </c>
      <c r="T991" t="s">
        <v>107</v>
      </c>
      <c r="U991" t="s">
        <v>1201</v>
      </c>
    </row>
    <row r="992" spans="1:21" x14ac:dyDescent="0.25">
      <c r="A992" t="s">
        <v>2824</v>
      </c>
      <c r="B992" s="8">
        <v>45679</v>
      </c>
      <c r="C992" t="s">
        <v>2066</v>
      </c>
      <c r="D992" t="s">
        <v>445</v>
      </c>
      <c r="E992" t="s">
        <v>218</v>
      </c>
      <c r="F992">
        <v>22</v>
      </c>
      <c r="G992" t="s">
        <v>290</v>
      </c>
      <c r="H992" t="s">
        <v>3</v>
      </c>
      <c r="I992" t="s">
        <v>40</v>
      </c>
      <c r="J992" t="s">
        <v>39</v>
      </c>
      <c r="K992" t="s">
        <v>22</v>
      </c>
      <c r="L992">
        <v>5</v>
      </c>
      <c r="M992" s="12">
        <v>1100</v>
      </c>
      <c r="N992" s="12">
        <v>715</v>
      </c>
      <c r="O992">
        <v>8</v>
      </c>
      <c r="P992" s="12">
        <v>5060</v>
      </c>
      <c r="Q992" s="12">
        <v>3575</v>
      </c>
      <c r="R992" s="12">
        <v>1485</v>
      </c>
      <c r="S992" t="s">
        <v>1246</v>
      </c>
      <c r="T992" t="s">
        <v>107</v>
      </c>
      <c r="U992" t="s">
        <v>1194</v>
      </c>
    </row>
    <row r="993" spans="1:21" x14ac:dyDescent="0.25">
      <c r="A993" t="s">
        <v>2825</v>
      </c>
      <c r="B993" s="8">
        <v>45752</v>
      </c>
      <c r="C993" t="s">
        <v>1557</v>
      </c>
      <c r="D993" t="s">
        <v>889</v>
      </c>
      <c r="E993" t="s">
        <v>218</v>
      </c>
      <c r="F993">
        <v>31</v>
      </c>
      <c r="G993" t="s">
        <v>9</v>
      </c>
      <c r="H993" t="s">
        <v>8</v>
      </c>
      <c r="I993" t="s">
        <v>38</v>
      </c>
      <c r="J993" t="s">
        <v>37</v>
      </c>
      <c r="K993" t="s">
        <v>22</v>
      </c>
      <c r="L993">
        <v>4</v>
      </c>
      <c r="M993" s="12">
        <v>1650</v>
      </c>
      <c r="N993" s="12">
        <v>990</v>
      </c>
      <c r="O993">
        <v>6</v>
      </c>
      <c r="P993" s="12">
        <v>6204</v>
      </c>
      <c r="Q993" s="12">
        <v>3960</v>
      </c>
      <c r="R993" s="12">
        <v>2244</v>
      </c>
      <c r="S993" t="s">
        <v>1246</v>
      </c>
      <c r="T993" t="s">
        <v>107</v>
      </c>
      <c r="U993" t="s">
        <v>1211</v>
      </c>
    </row>
    <row r="994" spans="1:21" x14ac:dyDescent="0.25">
      <c r="A994" t="s">
        <v>2826</v>
      </c>
      <c r="B994" s="8">
        <v>45686</v>
      </c>
      <c r="C994" t="s">
        <v>2627</v>
      </c>
      <c r="D994" t="s">
        <v>970</v>
      </c>
      <c r="E994" t="s">
        <v>198</v>
      </c>
      <c r="F994">
        <v>58</v>
      </c>
      <c r="G994" t="s">
        <v>16</v>
      </c>
      <c r="H994" t="s">
        <v>15</v>
      </c>
      <c r="I994" t="s">
        <v>30</v>
      </c>
      <c r="J994" t="s">
        <v>41</v>
      </c>
      <c r="K994" t="s">
        <v>22</v>
      </c>
      <c r="L994">
        <v>1</v>
      </c>
      <c r="M994" s="12">
        <v>13749</v>
      </c>
      <c r="N994" s="12">
        <v>10999.2</v>
      </c>
      <c r="O994">
        <v>8</v>
      </c>
      <c r="P994" s="12">
        <v>12649.08</v>
      </c>
      <c r="Q994" s="12">
        <v>10999.2</v>
      </c>
      <c r="R994" s="12">
        <v>1649.8799999999992</v>
      </c>
      <c r="S994" t="s">
        <v>113</v>
      </c>
      <c r="T994" t="s">
        <v>107</v>
      </c>
      <c r="U994" t="s">
        <v>1209</v>
      </c>
    </row>
    <row r="995" spans="1:21" x14ac:dyDescent="0.25">
      <c r="A995" t="s">
        <v>2827</v>
      </c>
      <c r="B995" s="8">
        <v>45759</v>
      </c>
      <c r="C995" t="s">
        <v>4601</v>
      </c>
      <c r="D995" t="s">
        <v>1147</v>
      </c>
      <c r="E995" t="s">
        <v>218</v>
      </c>
      <c r="F995">
        <v>39</v>
      </c>
      <c r="G995" t="s">
        <v>9</v>
      </c>
      <c r="H995" t="s">
        <v>8</v>
      </c>
      <c r="I995" t="s">
        <v>21</v>
      </c>
      <c r="J995" t="s">
        <v>23</v>
      </c>
      <c r="K995" t="s">
        <v>22</v>
      </c>
      <c r="L995">
        <v>5</v>
      </c>
      <c r="M995" s="12">
        <v>54999</v>
      </c>
      <c r="N995" s="12">
        <v>45099.18</v>
      </c>
      <c r="O995">
        <v>4</v>
      </c>
      <c r="P995" s="12">
        <v>263995.2</v>
      </c>
      <c r="Q995" s="12">
        <v>225495.9</v>
      </c>
      <c r="R995" s="12">
        <v>38499.300000000017</v>
      </c>
      <c r="S995" t="s">
        <v>1246</v>
      </c>
      <c r="T995" t="s">
        <v>107</v>
      </c>
      <c r="U995" t="s">
        <v>1203</v>
      </c>
    </row>
    <row r="996" spans="1:21" x14ac:dyDescent="0.25">
      <c r="A996" t="s">
        <v>2828</v>
      </c>
      <c r="B996" s="8">
        <v>45807</v>
      </c>
      <c r="C996" t="s">
        <v>4606</v>
      </c>
      <c r="D996" t="s">
        <v>498</v>
      </c>
      <c r="E996" t="s">
        <v>198</v>
      </c>
      <c r="F996">
        <v>58</v>
      </c>
      <c r="G996" t="s">
        <v>17</v>
      </c>
      <c r="H996" t="s">
        <v>15</v>
      </c>
      <c r="I996" t="s">
        <v>32</v>
      </c>
      <c r="J996" t="s">
        <v>29</v>
      </c>
      <c r="K996" t="s">
        <v>22</v>
      </c>
      <c r="L996">
        <v>1</v>
      </c>
      <c r="M996" s="12">
        <v>9500</v>
      </c>
      <c r="N996" s="12">
        <v>6650</v>
      </c>
      <c r="O996">
        <v>8</v>
      </c>
      <c r="P996" s="12">
        <v>8740</v>
      </c>
      <c r="Q996" s="12">
        <v>6650</v>
      </c>
      <c r="R996" s="12">
        <v>2090</v>
      </c>
      <c r="S996" t="s">
        <v>113</v>
      </c>
      <c r="T996" t="s">
        <v>110</v>
      </c>
      <c r="U996" t="s">
        <v>1194</v>
      </c>
    </row>
    <row r="997" spans="1:21" x14ac:dyDescent="0.25">
      <c r="A997" t="s">
        <v>2829</v>
      </c>
      <c r="B997" s="8">
        <v>46001</v>
      </c>
      <c r="C997" t="s">
        <v>2088</v>
      </c>
      <c r="D997" t="s">
        <v>595</v>
      </c>
      <c r="E997" t="s">
        <v>218</v>
      </c>
      <c r="F997">
        <v>28</v>
      </c>
      <c r="G997" t="s">
        <v>14</v>
      </c>
      <c r="H997" t="s">
        <v>15</v>
      </c>
      <c r="I997" t="s">
        <v>28</v>
      </c>
      <c r="J997" t="s">
        <v>35</v>
      </c>
      <c r="K997" t="s">
        <v>22</v>
      </c>
      <c r="L997">
        <v>2</v>
      </c>
      <c r="M997" s="12">
        <v>16499</v>
      </c>
      <c r="N997" s="12">
        <v>14519.12</v>
      </c>
      <c r="O997">
        <v>16</v>
      </c>
      <c r="P997" s="12">
        <v>27718.32</v>
      </c>
      <c r="Q997" s="12">
        <v>29038.240000000002</v>
      </c>
      <c r="R997" s="12">
        <v>-1319.9200000000019</v>
      </c>
      <c r="S997" t="s">
        <v>113</v>
      </c>
      <c r="T997" t="s">
        <v>108</v>
      </c>
      <c r="U997" t="s">
        <v>1209</v>
      </c>
    </row>
    <row r="998" spans="1:21" x14ac:dyDescent="0.25">
      <c r="A998" t="s">
        <v>2830</v>
      </c>
      <c r="B998" s="8">
        <v>45917</v>
      </c>
      <c r="C998" t="s">
        <v>2062</v>
      </c>
      <c r="D998" t="s">
        <v>544</v>
      </c>
      <c r="E998" t="s">
        <v>198</v>
      </c>
      <c r="F998">
        <v>51</v>
      </c>
      <c r="G998" t="s">
        <v>17</v>
      </c>
      <c r="H998" t="s">
        <v>15</v>
      </c>
      <c r="I998" t="s">
        <v>63</v>
      </c>
      <c r="J998" t="s">
        <v>77</v>
      </c>
      <c r="K998" t="s">
        <v>64</v>
      </c>
      <c r="L998">
        <v>3</v>
      </c>
      <c r="M998" s="12">
        <v>650</v>
      </c>
      <c r="N998" s="12">
        <v>468</v>
      </c>
      <c r="O998">
        <v>2</v>
      </c>
      <c r="P998" s="12">
        <v>1911</v>
      </c>
      <c r="Q998" s="12">
        <v>1404</v>
      </c>
      <c r="R998" s="12">
        <v>507</v>
      </c>
      <c r="S998" t="s">
        <v>1249</v>
      </c>
      <c r="T998" t="s">
        <v>107</v>
      </c>
      <c r="U998" t="s">
        <v>1203</v>
      </c>
    </row>
    <row r="999" spans="1:21" x14ac:dyDescent="0.25">
      <c r="A999" t="s">
        <v>2831</v>
      </c>
      <c r="B999" s="8">
        <v>46003</v>
      </c>
      <c r="C999" t="s">
        <v>1665</v>
      </c>
      <c r="D999" t="s">
        <v>921</v>
      </c>
      <c r="E999" t="s">
        <v>218</v>
      </c>
      <c r="F999">
        <v>53</v>
      </c>
      <c r="G999" t="s">
        <v>16</v>
      </c>
      <c r="H999" t="s">
        <v>15</v>
      </c>
      <c r="I999" t="s">
        <v>38</v>
      </c>
      <c r="J999" t="s">
        <v>37</v>
      </c>
      <c r="K999" t="s">
        <v>22</v>
      </c>
      <c r="L999">
        <v>2</v>
      </c>
      <c r="M999" s="12">
        <v>1650</v>
      </c>
      <c r="N999" s="12">
        <v>990</v>
      </c>
      <c r="O999">
        <v>10</v>
      </c>
      <c r="P999" s="12">
        <v>2970</v>
      </c>
      <c r="Q999" s="12">
        <v>1980</v>
      </c>
      <c r="R999" s="12">
        <v>990</v>
      </c>
      <c r="S999" t="s">
        <v>113</v>
      </c>
      <c r="T999" t="s">
        <v>107</v>
      </c>
      <c r="U999" t="s">
        <v>1203</v>
      </c>
    </row>
    <row r="1000" spans="1:21" x14ac:dyDescent="0.25">
      <c r="A1000" t="s">
        <v>2833</v>
      </c>
      <c r="B1000" s="8">
        <v>45879</v>
      </c>
      <c r="C1000" t="s">
        <v>2073</v>
      </c>
      <c r="D1000" t="s">
        <v>777</v>
      </c>
      <c r="E1000" t="s">
        <v>218</v>
      </c>
      <c r="F1000">
        <v>23</v>
      </c>
      <c r="G1000" t="s">
        <v>9</v>
      </c>
      <c r="H1000" t="s">
        <v>8</v>
      </c>
      <c r="I1000" t="s">
        <v>53</v>
      </c>
      <c r="J1000" t="s">
        <v>48</v>
      </c>
      <c r="K1000" t="s">
        <v>43</v>
      </c>
      <c r="L1000">
        <v>3</v>
      </c>
      <c r="M1000" s="12">
        <v>6499</v>
      </c>
      <c r="N1000" s="12">
        <v>4549.2999999999993</v>
      </c>
      <c r="O1000">
        <v>6</v>
      </c>
      <c r="P1000" s="12">
        <v>18327.18</v>
      </c>
      <c r="Q1000" s="12">
        <v>13647.899999999998</v>
      </c>
      <c r="R1000" s="12">
        <v>4679.2800000000025</v>
      </c>
      <c r="S1000" t="s">
        <v>1246</v>
      </c>
      <c r="T1000" t="s">
        <v>108</v>
      </c>
      <c r="U1000" t="s">
        <v>1207</v>
      </c>
    </row>
    <row r="1001" spans="1:21" x14ac:dyDescent="0.25">
      <c r="A1001" t="s">
        <v>2835</v>
      </c>
      <c r="B1001" s="8">
        <v>45671</v>
      </c>
      <c r="C1001" t="s">
        <v>1835</v>
      </c>
      <c r="D1001" t="s">
        <v>576</v>
      </c>
      <c r="E1001" t="s">
        <v>218</v>
      </c>
      <c r="F1001">
        <v>38</v>
      </c>
      <c r="G1001" t="s">
        <v>290</v>
      </c>
      <c r="H1001" t="s">
        <v>3</v>
      </c>
      <c r="I1001" t="s">
        <v>57</v>
      </c>
      <c r="J1001" t="s">
        <v>67</v>
      </c>
      <c r="K1001" t="s">
        <v>64</v>
      </c>
      <c r="L1001">
        <v>4</v>
      </c>
      <c r="M1001" s="12">
        <v>150</v>
      </c>
      <c r="N1001" s="12">
        <v>97.5</v>
      </c>
      <c r="O1001">
        <v>9</v>
      </c>
      <c r="P1001" s="12">
        <v>546</v>
      </c>
      <c r="Q1001" s="12">
        <v>390</v>
      </c>
      <c r="R1001" s="12">
        <v>156</v>
      </c>
      <c r="S1001" t="s">
        <v>113</v>
      </c>
      <c r="T1001" t="s">
        <v>107</v>
      </c>
      <c r="U1001" t="s">
        <v>1201</v>
      </c>
    </row>
    <row r="1002" spans="1:21" x14ac:dyDescent="0.25">
      <c r="A1002" t="s">
        <v>2837</v>
      </c>
      <c r="B1002" s="8">
        <v>45876</v>
      </c>
      <c r="C1002" t="s">
        <v>2133</v>
      </c>
      <c r="D1002" t="s">
        <v>537</v>
      </c>
      <c r="E1002" t="s">
        <v>198</v>
      </c>
      <c r="F1002">
        <v>19</v>
      </c>
      <c r="G1002" t="s">
        <v>289</v>
      </c>
      <c r="H1002" t="s">
        <v>3</v>
      </c>
      <c r="I1002" t="s">
        <v>51</v>
      </c>
      <c r="J1002" t="s">
        <v>54</v>
      </c>
      <c r="K1002" t="s">
        <v>43</v>
      </c>
      <c r="L1002">
        <v>1</v>
      </c>
      <c r="M1002" s="12">
        <v>27499</v>
      </c>
      <c r="N1002" s="12">
        <v>21724.210000000003</v>
      </c>
      <c r="O1002">
        <v>5</v>
      </c>
      <c r="P1002" s="12">
        <v>26124.05</v>
      </c>
      <c r="Q1002" s="12">
        <v>21724.210000000003</v>
      </c>
      <c r="R1002" s="12">
        <v>4399.8399999999965</v>
      </c>
      <c r="S1002" t="s">
        <v>1246</v>
      </c>
      <c r="T1002" t="s">
        <v>109</v>
      </c>
      <c r="U1002" t="s">
        <v>1211</v>
      </c>
    </row>
    <row r="1003" spans="1:21" x14ac:dyDescent="0.25">
      <c r="A1003" t="s">
        <v>2839</v>
      </c>
      <c r="B1003" s="8">
        <v>46018</v>
      </c>
      <c r="C1003" t="s">
        <v>2660</v>
      </c>
      <c r="D1003" t="s">
        <v>555</v>
      </c>
      <c r="E1003" t="s">
        <v>218</v>
      </c>
      <c r="F1003">
        <v>48</v>
      </c>
      <c r="G1003" t="s">
        <v>16</v>
      </c>
      <c r="H1003" t="s">
        <v>15</v>
      </c>
      <c r="I1003" t="s">
        <v>53</v>
      </c>
      <c r="J1003" t="s">
        <v>48</v>
      </c>
      <c r="K1003" t="s">
        <v>43</v>
      </c>
      <c r="L1003">
        <v>2</v>
      </c>
      <c r="M1003" s="12">
        <v>6499</v>
      </c>
      <c r="N1003" s="12">
        <v>4549.2999999999993</v>
      </c>
      <c r="O1003">
        <v>18</v>
      </c>
      <c r="P1003" s="12">
        <v>10658.36</v>
      </c>
      <c r="Q1003" s="12">
        <v>9098.5999999999985</v>
      </c>
      <c r="R1003" s="12">
        <v>1559.760000000002</v>
      </c>
      <c r="S1003" t="s">
        <v>113</v>
      </c>
      <c r="T1003" t="s">
        <v>109</v>
      </c>
      <c r="U1003" t="s">
        <v>1194</v>
      </c>
    </row>
    <row r="1004" spans="1:21" x14ac:dyDescent="0.25">
      <c r="A1004" t="s">
        <v>2840</v>
      </c>
      <c r="B1004" s="8">
        <v>45707</v>
      </c>
      <c r="C1004" t="s">
        <v>3929</v>
      </c>
      <c r="D1004" t="s">
        <v>953</v>
      </c>
      <c r="E1004" t="s">
        <v>198</v>
      </c>
      <c r="F1004">
        <v>51</v>
      </c>
      <c r="G1004" t="s">
        <v>289</v>
      </c>
      <c r="H1004" t="s">
        <v>3</v>
      </c>
      <c r="I1004" t="s">
        <v>55</v>
      </c>
      <c r="J1004" t="s">
        <v>65</v>
      </c>
      <c r="K1004" t="s">
        <v>64</v>
      </c>
      <c r="L1004">
        <v>5</v>
      </c>
      <c r="M1004" s="12">
        <v>80</v>
      </c>
      <c r="N1004" s="12">
        <v>56</v>
      </c>
      <c r="O1004">
        <v>4</v>
      </c>
      <c r="P1004" s="12">
        <v>384</v>
      </c>
      <c r="Q1004" s="12">
        <v>280</v>
      </c>
      <c r="R1004" s="12">
        <v>104</v>
      </c>
      <c r="S1004" t="s">
        <v>113</v>
      </c>
      <c r="T1004" t="s">
        <v>107</v>
      </c>
      <c r="U1004" t="s">
        <v>1196</v>
      </c>
    </row>
    <row r="1005" spans="1:21" x14ac:dyDescent="0.25">
      <c r="A1005" t="s">
        <v>2841</v>
      </c>
      <c r="B1005" s="8">
        <v>45867</v>
      </c>
      <c r="C1005" t="s">
        <v>1363</v>
      </c>
      <c r="D1005" t="s">
        <v>1117</v>
      </c>
      <c r="E1005" t="s">
        <v>198</v>
      </c>
      <c r="F1005">
        <v>36</v>
      </c>
      <c r="G1005" t="s">
        <v>17</v>
      </c>
      <c r="H1005" t="s">
        <v>15</v>
      </c>
      <c r="I1005" t="s">
        <v>53</v>
      </c>
      <c r="J1005" t="s">
        <v>48</v>
      </c>
      <c r="K1005" t="s">
        <v>43</v>
      </c>
      <c r="L1005">
        <v>3</v>
      </c>
      <c r="M1005" s="12">
        <v>6499</v>
      </c>
      <c r="N1005" s="12">
        <v>4549.2999999999993</v>
      </c>
      <c r="O1005">
        <v>8</v>
      </c>
      <c r="P1005" s="12">
        <v>17937.240000000002</v>
      </c>
      <c r="Q1005" s="12">
        <v>13647.899999999998</v>
      </c>
      <c r="R1005" s="12">
        <v>4289.3400000000038</v>
      </c>
      <c r="S1005" t="s">
        <v>1246</v>
      </c>
      <c r="T1005" t="s">
        <v>107</v>
      </c>
      <c r="U1005" t="s">
        <v>1205</v>
      </c>
    </row>
    <row r="1006" spans="1:21" x14ac:dyDescent="0.25">
      <c r="A1006" t="s">
        <v>2843</v>
      </c>
      <c r="B1006" s="8">
        <v>45669</v>
      </c>
      <c r="C1006" t="s">
        <v>2007</v>
      </c>
      <c r="D1006" t="s">
        <v>916</v>
      </c>
      <c r="E1006" t="s">
        <v>218</v>
      </c>
      <c r="F1006">
        <v>54</v>
      </c>
      <c r="G1006" t="s">
        <v>290</v>
      </c>
      <c r="H1006" t="s">
        <v>3</v>
      </c>
      <c r="I1006" t="s">
        <v>45</v>
      </c>
      <c r="J1006" t="s">
        <v>46</v>
      </c>
      <c r="K1006" t="s">
        <v>43</v>
      </c>
      <c r="L1006">
        <v>3</v>
      </c>
      <c r="M1006" s="12">
        <v>11999</v>
      </c>
      <c r="N1006" s="12">
        <v>8999.25</v>
      </c>
      <c r="O1006">
        <v>5</v>
      </c>
      <c r="P1006" s="12">
        <v>34197.15</v>
      </c>
      <c r="Q1006" s="12">
        <v>26997.75</v>
      </c>
      <c r="R1006" s="12">
        <v>7199.4000000000015</v>
      </c>
      <c r="S1006" t="s">
        <v>1246</v>
      </c>
      <c r="T1006" t="s">
        <v>108</v>
      </c>
      <c r="U1006" t="s">
        <v>1196</v>
      </c>
    </row>
    <row r="1007" spans="1:21" x14ac:dyDescent="0.25">
      <c r="A1007" t="s">
        <v>2844</v>
      </c>
      <c r="B1007" s="8">
        <v>45747</v>
      </c>
      <c r="C1007" t="s">
        <v>1269</v>
      </c>
      <c r="D1007" t="s">
        <v>529</v>
      </c>
      <c r="E1007" t="s">
        <v>218</v>
      </c>
      <c r="F1007">
        <v>65</v>
      </c>
      <c r="G1007" t="s">
        <v>11</v>
      </c>
      <c r="H1007" t="s">
        <v>12</v>
      </c>
      <c r="I1007" t="s">
        <v>21</v>
      </c>
      <c r="J1007" t="s">
        <v>23</v>
      </c>
      <c r="K1007" t="s">
        <v>22</v>
      </c>
      <c r="L1007">
        <v>1</v>
      </c>
      <c r="M1007" s="12">
        <v>54999</v>
      </c>
      <c r="N1007" s="12">
        <v>45099.18</v>
      </c>
      <c r="O1007">
        <v>3</v>
      </c>
      <c r="P1007" s="12">
        <v>53349.03</v>
      </c>
      <c r="Q1007" s="12">
        <v>45099.18</v>
      </c>
      <c r="R1007" s="12">
        <v>8249.8499999999985</v>
      </c>
      <c r="S1007" t="s">
        <v>1246</v>
      </c>
      <c r="T1007" t="s">
        <v>108</v>
      </c>
      <c r="U1007" t="s">
        <v>1207</v>
      </c>
    </row>
    <row r="1008" spans="1:21" x14ac:dyDescent="0.25">
      <c r="A1008" t="s">
        <v>2845</v>
      </c>
      <c r="B1008" s="8">
        <v>45742</v>
      </c>
      <c r="C1008" t="s">
        <v>2272</v>
      </c>
      <c r="D1008" t="s">
        <v>371</v>
      </c>
      <c r="E1008" t="s">
        <v>218</v>
      </c>
      <c r="F1008">
        <v>50</v>
      </c>
      <c r="G1008" t="s">
        <v>290</v>
      </c>
      <c r="H1008" t="s">
        <v>3</v>
      </c>
      <c r="I1008" t="s">
        <v>55</v>
      </c>
      <c r="J1008" t="s">
        <v>65</v>
      </c>
      <c r="K1008" t="s">
        <v>64</v>
      </c>
      <c r="L1008">
        <v>2</v>
      </c>
      <c r="M1008" s="12">
        <v>80</v>
      </c>
      <c r="N1008" s="12">
        <v>56</v>
      </c>
      <c r="O1008">
        <v>4</v>
      </c>
      <c r="P1008" s="12">
        <v>153.6</v>
      </c>
      <c r="Q1008" s="12">
        <v>112</v>
      </c>
      <c r="R1008" s="12">
        <v>41.599999999999994</v>
      </c>
      <c r="S1008" t="s">
        <v>113</v>
      </c>
      <c r="T1008" t="s">
        <v>107</v>
      </c>
      <c r="U1008" t="s">
        <v>1211</v>
      </c>
    </row>
    <row r="1009" spans="1:21" x14ac:dyDescent="0.25">
      <c r="A1009" t="s">
        <v>2846</v>
      </c>
      <c r="B1009" s="8">
        <v>45696</v>
      </c>
      <c r="C1009" t="s">
        <v>3696</v>
      </c>
      <c r="D1009" t="s">
        <v>583</v>
      </c>
      <c r="E1009" t="s">
        <v>218</v>
      </c>
      <c r="F1009">
        <v>38</v>
      </c>
      <c r="G1009" t="s">
        <v>289</v>
      </c>
      <c r="H1009" t="s">
        <v>3</v>
      </c>
      <c r="I1009" t="s">
        <v>51</v>
      </c>
      <c r="J1009" t="s">
        <v>54</v>
      </c>
      <c r="K1009" t="s">
        <v>43</v>
      </c>
      <c r="L1009">
        <v>3</v>
      </c>
      <c r="M1009" s="12">
        <v>27499</v>
      </c>
      <c r="N1009" s="12">
        <v>21724.210000000003</v>
      </c>
      <c r="O1009">
        <v>5</v>
      </c>
      <c r="P1009" s="12">
        <v>78372.149999999994</v>
      </c>
      <c r="Q1009" s="12">
        <v>65172.630000000005</v>
      </c>
      <c r="R1009" s="12">
        <v>13199.51999999999</v>
      </c>
      <c r="S1009" t="s">
        <v>1249</v>
      </c>
      <c r="T1009" t="s">
        <v>109</v>
      </c>
      <c r="U1009" t="s">
        <v>1198</v>
      </c>
    </row>
    <row r="1010" spans="1:21" x14ac:dyDescent="0.25">
      <c r="A1010" t="s">
        <v>2847</v>
      </c>
      <c r="B1010" s="8">
        <v>45775</v>
      </c>
      <c r="C1010" t="s">
        <v>2279</v>
      </c>
      <c r="D1010" t="s">
        <v>1150</v>
      </c>
      <c r="E1010" t="s">
        <v>218</v>
      </c>
      <c r="F1010">
        <v>26</v>
      </c>
      <c r="G1010" t="s">
        <v>11</v>
      </c>
      <c r="H1010" t="s">
        <v>12</v>
      </c>
      <c r="I1010" t="s">
        <v>63</v>
      </c>
      <c r="J1010" t="s">
        <v>77</v>
      </c>
      <c r="K1010" t="s">
        <v>64</v>
      </c>
      <c r="L1010">
        <v>2</v>
      </c>
      <c r="M1010" s="12">
        <v>650</v>
      </c>
      <c r="N1010" s="12">
        <v>468</v>
      </c>
      <c r="O1010">
        <v>0</v>
      </c>
      <c r="P1010" s="12">
        <v>1300</v>
      </c>
      <c r="Q1010" s="12">
        <v>936</v>
      </c>
      <c r="R1010" s="12">
        <v>364</v>
      </c>
      <c r="S1010" t="s">
        <v>1246</v>
      </c>
      <c r="T1010" t="s">
        <v>108</v>
      </c>
      <c r="U1010" t="s">
        <v>1201</v>
      </c>
    </row>
    <row r="1011" spans="1:21" x14ac:dyDescent="0.25">
      <c r="A1011" t="s">
        <v>2848</v>
      </c>
      <c r="B1011" s="8">
        <v>45900</v>
      </c>
      <c r="C1011" t="s">
        <v>1988</v>
      </c>
      <c r="D1011" t="s">
        <v>703</v>
      </c>
      <c r="E1011" t="s">
        <v>198</v>
      </c>
      <c r="F1011">
        <v>38</v>
      </c>
      <c r="G1011" t="s">
        <v>16</v>
      </c>
      <c r="H1011" t="s">
        <v>15</v>
      </c>
      <c r="I1011" t="s">
        <v>63</v>
      </c>
      <c r="J1011" t="s">
        <v>77</v>
      </c>
      <c r="K1011" t="s">
        <v>64</v>
      </c>
      <c r="L1011">
        <v>5</v>
      </c>
      <c r="M1011" s="12">
        <v>650</v>
      </c>
      <c r="N1011" s="12">
        <v>468</v>
      </c>
      <c r="O1011">
        <v>3</v>
      </c>
      <c r="P1011" s="12">
        <v>3152.5</v>
      </c>
      <c r="Q1011" s="12">
        <v>2340</v>
      </c>
      <c r="R1011" s="12">
        <v>812.5</v>
      </c>
      <c r="S1011" t="s">
        <v>1246</v>
      </c>
      <c r="T1011" t="s">
        <v>110</v>
      </c>
      <c r="U1011" t="s">
        <v>1194</v>
      </c>
    </row>
    <row r="1012" spans="1:21" x14ac:dyDescent="0.25">
      <c r="A1012" t="s">
        <v>2849</v>
      </c>
      <c r="B1012" s="8">
        <v>45753</v>
      </c>
      <c r="C1012" t="s">
        <v>1778</v>
      </c>
      <c r="D1012" t="s">
        <v>1054</v>
      </c>
      <c r="E1012" t="s">
        <v>198</v>
      </c>
      <c r="F1012">
        <v>34</v>
      </c>
      <c r="G1012" t="s">
        <v>7</v>
      </c>
      <c r="H1012" t="s">
        <v>8</v>
      </c>
      <c r="I1012" t="s">
        <v>61</v>
      </c>
      <c r="J1012" t="s">
        <v>146</v>
      </c>
      <c r="K1012" t="s">
        <v>64</v>
      </c>
      <c r="L1012">
        <v>3</v>
      </c>
      <c r="M1012" s="12">
        <v>250</v>
      </c>
      <c r="N1012" s="12">
        <v>155</v>
      </c>
      <c r="O1012">
        <v>0</v>
      </c>
      <c r="P1012" s="12">
        <v>750</v>
      </c>
      <c r="Q1012" s="12">
        <v>465</v>
      </c>
      <c r="R1012" s="12">
        <v>285</v>
      </c>
      <c r="S1012" t="s">
        <v>1246</v>
      </c>
      <c r="T1012" t="s">
        <v>108</v>
      </c>
      <c r="U1012" t="s">
        <v>1207</v>
      </c>
    </row>
    <row r="1013" spans="1:21" x14ac:dyDescent="0.25">
      <c r="A1013" t="s">
        <v>2850</v>
      </c>
      <c r="B1013" s="8">
        <v>45816</v>
      </c>
      <c r="C1013" t="s">
        <v>2300</v>
      </c>
      <c r="D1013" t="s">
        <v>940</v>
      </c>
      <c r="E1013" t="s">
        <v>198</v>
      </c>
      <c r="F1013">
        <v>55</v>
      </c>
      <c r="G1013" t="s">
        <v>9</v>
      </c>
      <c r="H1013" t="s">
        <v>8</v>
      </c>
      <c r="I1013" t="s">
        <v>28</v>
      </c>
      <c r="J1013" t="s">
        <v>35</v>
      </c>
      <c r="K1013" t="s">
        <v>22</v>
      </c>
      <c r="L1013">
        <v>5</v>
      </c>
      <c r="M1013" s="12">
        <v>16499</v>
      </c>
      <c r="N1013" s="12">
        <v>14519.12</v>
      </c>
      <c r="O1013">
        <v>6</v>
      </c>
      <c r="P1013" s="12">
        <v>77545.299999999988</v>
      </c>
      <c r="Q1013" s="12">
        <v>72595.600000000006</v>
      </c>
      <c r="R1013" s="12">
        <v>4949.6999999999825</v>
      </c>
      <c r="S1013" t="s">
        <v>113</v>
      </c>
      <c r="T1013" t="s">
        <v>107</v>
      </c>
      <c r="U1013" t="s">
        <v>1205</v>
      </c>
    </row>
    <row r="1014" spans="1:21" x14ac:dyDescent="0.25">
      <c r="A1014" t="s">
        <v>2851</v>
      </c>
      <c r="B1014" s="8">
        <v>45890</v>
      </c>
      <c r="C1014" t="s">
        <v>1766</v>
      </c>
      <c r="D1014" t="s">
        <v>974</v>
      </c>
      <c r="E1014" t="s">
        <v>198</v>
      </c>
      <c r="F1014">
        <v>42</v>
      </c>
      <c r="G1014" t="s">
        <v>9</v>
      </c>
      <c r="H1014" t="s">
        <v>8</v>
      </c>
      <c r="I1014" t="s">
        <v>57</v>
      </c>
      <c r="J1014" t="s">
        <v>67</v>
      </c>
      <c r="K1014" t="s">
        <v>64</v>
      </c>
      <c r="L1014">
        <v>1</v>
      </c>
      <c r="M1014" s="12">
        <v>150</v>
      </c>
      <c r="N1014" s="12">
        <v>97.5</v>
      </c>
      <c r="O1014">
        <v>4</v>
      </c>
      <c r="P1014" s="12">
        <v>144</v>
      </c>
      <c r="Q1014" s="12">
        <v>97.5</v>
      </c>
      <c r="R1014" s="12">
        <v>46.5</v>
      </c>
      <c r="S1014" t="s">
        <v>113</v>
      </c>
      <c r="T1014" t="s">
        <v>110</v>
      </c>
      <c r="U1014" t="s">
        <v>1207</v>
      </c>
    </row>
    <row r="1015" spans="1:21" x14ac:dyDescent="0.25">
      <c r="A1015" t="s">
        <v>2853</v>
      </c>
      <c r="B1015" s="8">
        <v>45813</v>
      </c>
      <c r="C1015" t="s">
        <v>4780</v>
      </c>
      <c r="D1015" t="s">
        <v>1056</v>
      </c>
      <c r="E1015" t="s">
        <v>218</v>
      </c>
      <c r="F1015">
        <v>31</v>
      </c>
      <c r="G1015" t="s">
        <v>10</v>
      </c>
      <c r="H1015" t="s">
        <v>8</v>
      </c>
      <c r="I1015" t="s">
        <v>26</v>
      </c>
      <c r="J1015" t="s">
        <v>27</v>
      </c>
      <c r="K1015" t="s">
        <v>22</v>
      </c>
      <c r="L1015">
        <v>1</v>
      </c>
      <c r="M1015" s="12">
        <v>27499</v>
      </c>
      <c r="N1015" s="12">
        <v>23374.149999999998</v>
      </c>
      <c r="O1015">
        <v>5</v>
      </c>
      <c r="P1015" s="12">
        <v>26124.05</v>
      </c>
      <c r="Q1015" s="12">
        <v>23374.149999999998</v>
      </c>
      <c r="R1015" s="12">
        <v>2749.9000000000015</v>
      </c>
      <c r="S1015" t="s">
        <v>1246</v>
      </c>
      <c r="T1015" t="s">
        <v>107</v>
      </c>
      <c r="U1015" t="s">
        <v>1198</v>
      </c>
    </row>
    <row r="1016" spans="1:21" x14ac:dyDescent="0.25">
      <c r="A1016" t="s">
        <v>2854</v>
      </c>
      <c r="B1016" s="8">
        <v>45699</v>
      </c>
      <c r="C1016" t="s">
        <v>2385</v>
      </c>
      <c r="D1016" t="s">
        <v>481</v>
      </c>
      <c r="E1016" t="s">
        <v>198</v>
      </c>
      <c r="F1016">
        <v>30</v>
      </c>
      <c r="G1016" t="s">
        <v>11</v>
      </c>
      <c r="H1016" t="s">
        <v>12</v>
      </c>
      <c r="I1016" t="s">
        <v>53</v>
      </c>
      <c r="J1016" t="s">
        <v>48</v>
      </c>
      <c r="K1016" t="s">
        <v>43</v>
      </c>
      <c r="L1016">
        <v>5</v>
      </c>
      <c r="M1016" s="12">
        <v>6499</v>
      </c>
      <c r="N1016" s="12">
        <v>4549.2999999999993</v>
      </c>
      <c r="O1016">
        <v>10</v>
      </c>
      <c r="P1016" s="12">
        <v>29245.5</v>
      </c>
      <c r="Q1016" s="12">
        <v>22746.499999999996</v>
      </c>
      <c r="R1016" s="12">
        <v>6499.0000000000036</v>
      </c>
      <c r="S1016" t="s">
        <v>113</v>
      </c>
      <c r="T1016" t="s">
        <v>108</v>
      </c>
      <c r="U1016" t="s">
        <v>1194</v>
      </c>
    </row>
    <row r="1017" spans="1:21" x14ac:dyDescent="0.25">
      <c r="A1017" t="s">
        <v>2856</v>
      </c>
      <c r="B1017" s="8">
        <v>45802</v>
      </c>
      <c r="C1017" t="s">
        <v>1530</v>
      </c>
      <c r="D1017" t="s">
        <v>456</v>
      </c>
      <c r="E1017" t="s">
        <v>218</v>
      </c>
      <c r="F1017">
        <v>31</v>
      </c>
      <c r="G1017" t="s">
        <v>10</v>
      </c>
      <c r="H1017" t="s">
        <v>8</v>
      </c>
      <c r="I1017" t="s">
        <v>51</v>
      </c>
      <c r="J1017" t="s">
        <v>54</v>
      </c>
      <c r="K1017" t="s">
        <v>43</v>
      </c>
      <c r="L1017">
        <v>5</v>
      </c>
      <c r="M1017" s="12">
        <v>27499</v>
      </c>
      <c r="N1017" s="12">
        <v>21724.210000000003</v>
      </c>
      <c r="O1017">
        <v>5</v>
      </c>
      <c r="P1017" s="12">
        <v>130620.25</v>
      </c>
      <c r="Q1017" s="12">
        <v>108621.05000000002</v>
      </c>
      <c r="R1017" s="12">
        <v>21999.199999999983</v>
      </c>
      <c r="S1017" t="s">
        <v>1246</v>
      </c>
      <c r="T1017" t="s">
        <v>107</v>
      </c>
      <c r="U1017" t="s">
        <v>1209</v>
      </c>
    </row>
    <row r="1018" spans="1:21" x14ac:dyDescent="0.25">
      <c r="A1018" t="s">
        <v>2857</v>
      </c>
      <c r="B1018" s="8">
        <v>45758</v>
      </c>
      <c r="C1018" t="s">
        <v>2212</v>
      </c>
      <c r="D1018" t="s">
        <v>391</v>
      </c>
      <c r="E1018" t="s">
        <v>198</v>
      </c>
      <c r="F1018">
        <v>55</v>
      </c>
      <c r="G1018" t="s">
        <v>17</v>
      </c>
      <c r="H1018" t="s">
        <v>15</v>
      </c>
      <c r="I1018" t="s">
        <v>24</v>
      </c>
      <c r="J1018" t="s">
        <v>25</v>
      </c>
      <c r="K1018" t="s">
        <v>22</v>
      </c>
      <c r="L1018">
        <v>1</v>
      </c>
      <c r="M1018" s="12">
        <v>35800</v>
      </c>
      <c r="N1018" s="12">
        <v>28640</v>
      </c>
      <c r="O1018">
        <v>6</v>
      </c>
      <c r="P1018" s="12">
        <v>33652</v>
      </c>
      <c r="Q1018" s="12">
        <v>28640</v>
      </c>
      <c r="R1018" s="12">
        <v>5012</v>
      </c>
      <c r="S1018" t="s">
        <v>113</v>
      </c>
      <c r="T1018" t="s">
        <v>107</v>
      </c>
      <c r="U1018" t="s">
        <v>1198</v>
      </c>
    </row>
    <row r="1019" spans="1:21" x14ac:dyDescent="0.25">
      <c r="A1019" t="s">
        <v>2858</v>
      </c>
      <c r="B1019" s="8">
        <v>45761</v>
      </c>
      <c r="C1019" t="s">
        <v>3442</v>
      </c>
      <c r="D1019" t="s">
        <v>1155</v>
      </c>
      <c r="E1019" t="s">
        <v>218</v>
      </c>
      <c r="F1019">
        <v>53</v>
      </c>
      <c r="G1019" t="s">
        <v>290</v>
      </c>
      <c r="H1019" t="s">
        <v>3</v>
      </c>
      <c r="I1019" t="s">
        <v>57</v>
      </c>
      <c r="J1019" t="s">
        <v>67</v>
      </c>
      <c r="K1019" t="s">
        <v>64</v>
      </c>
      <c r="L1019">
        <v>5</v>
      </c>
      <c r="M1019" s="12">
        <v>150</v>
      </c>
      <c r="N1019" s="12">
        <v>97.5</v>
      </c>
      <c r="O1019">
        <v>2</v>
      </c>
      <c r="P1019" s="12">
        <v>735</v>
      </c>
      <c r="Q1019" s="12">
        <v>487.5</v>
      </c>
      <c r="R1019" s="12">
        <v>247.5</v>
      </c>
      <c r="S1019" t="s">
        <v>113</v>
      </c>
      <c r="T1019" t="s">
        <v>109</v>
      </c>
      <c r="U1019" t="s">
        <v>1201</v>
      </c>
    </row>
    <row r="1020" spans="1:21" x14ac:dyDescent="0.25">
      <c r="A1020" t="s">
        <v>2860</v>
      </c>
      <c r="B1020" s="8">
        <v>45709</v>
      </c>
      <c r="C1020" t="s">
        <v>4780</v>
      </c>
      <c r="D1020" t="s">
        <v>1056</v>
      </c>
      <c r="E1020" t="s">
        <v>218</v>
      </c>
      <c r="F1020">
        <v>31</v>
      </c>
      <c r="G1020" t="s">
        <v>10</v>
      </c>
      <c r="H1020" t="s">
        <v>8</v>
      </c>
      <c r="I1020" t="s">
        <v>59</v>
      </c>
      <c r="J1020" t="s">
        <v>73</v>
      </c>
      <c r="K1020" t="s">
        <v>64</v>
      </c>
      <c r="L1020">
        <v>5</v>
      </c>
      <c r="M1020" s="12">
        <v>120</v>
      </c>
      <c r="N1020" s="12">
        <v>81.599999999999994</v>
      </c>
      <c r="O1020">
        <v>2</v>
      </c>
      <c r="P1020" s="12">
        <v>588</v>
      </c>
      <c r="Q1020" s="12">
        <v>408</v>
      </c>
      <c r="R1020" s="12">
        <v>180</v>
      </c>
      <c r="S1020" t="s">
        <v>113</v>
      </c>
      <c r="T1020" t="s">
        <v>107</v>
      </c>
      <c r="U1020" t="s">
        <v>1194</v>
      </c>
    </row>
    <row r="1021" spans="1:21" x14ac:dyDescent="0.25">
      <c r="A1021" t="s">
        <v>2862</v>
      </c>
      <c r="B1021" s="8">
        <v>45660</v>
      </c>
      <c r="C1021" t="s">
        <v>2214</v>
      </c>
      <c r="D1021" t="s">
        <v>498</v>
      </c>
      <c r="E1021" t="s">
        <v>198</v>
      </c>
      <c r="F1021">
        <v>40</v>
      </c>
      <c r="G1021" t="s">
        <v>14</v>
      </c>
      <c r="H1021" t="s">
        <v>15</v>
      </c>
      <c r="I1021" t="s">
        <v>47</v>
      </c>
      <c r="J1021" t="s">
        <v>52</v>
      </c>
      <c r="K1021" t="s">
        <v>43</v>
      </c>
      <c r="L1021">
        <v>5</v>
      </c>
      <c r="M1021" s="12">
        <v>42999</v>
      </c>
      <c r="N1021" s="12">
        <v>33539.22</v>
      </c>
      <c r="O1021">
        <v>2</v>
      </c>
      <c r="P1021" s="12">
        <v>210695.1</v>
      </c>
      <c r="Q1021" s="12">
        <v>167696.1</v>
      </c>
      <c r="R1021" s="12">
        <v>42999</v>
      </c>
      <c r="S1021" t="s">
        <v>1246</v>
      </c>
      <c r="T1021" t="s">
        <v>107</v>
      </c>
      <c r="U1021" t="s">
        <v>1205</v>
      </c>
    </row>
    <row r="1022" spans="1:21" x14ac:dyDescent="0.25">
      <c r="A1022" t="s">
        <v>2864</v>
      </c>
      <c r="B1022" s="8">
        <v>46008</v>
      </c>
      <c r="C1022" t="s">
        <v>2935</v>
      </c>
      <c r="D1022" t="s">
        <v>1026</v>
      </c>
      <c r="E1022" t="s">
        <v>198</v>
      </c>
      <c r="F1022">
        <v>48</v>
      </c>
      <c r="G1022" t="s">
        <v>4</v>
      </c>
      <c r="H1022" t="s">
        <v>3</v>
      </c>
      <c r="I1022" t="s">
        <v>47</v>
      </c>
      <c r="J1022" t="s">
        <v>52</v>
      </c>
      <c r="K1022" t="s">
        <v>43</v>
      </c>
      <c r="L1022">
        <v>3</v>
      </c>
      <c r="M1022" s="12">
        <v>42999</v>
      </c>
      <c r="N1022" s="12">
        <v>33539.22</v>
      </c>
      <c r="O1022">
        <v>14</v>
      </c>
      <c r="P1022" s="12">
        <v>110937.42</v>
      </c>
      <c r="Q1022" s="12">
        <v>100617.66</v>
      </c>
      <c r="R1022" s="12">
        <v>10319.759999999995</v>
      </c>
      <c r="S1022" t="s">
        <v>1246</v>
      </c>
      <c r="T1022" t="s">
        <v>109</v>
      </c>
      <c r="U1022" t="s">
        <v>1211</v>
      </c>
    </row>
    <row r="1023" spans="1:21" x14ac:dyDescent="0.25">
      <c r="A1023" t="s">
        <v>2865</v>
      </c>
      <c r="B1023" s="8">
        <v>46017</v>
      </c>
      <c r="C1023" t="s">
        <v>2175</v>
      </c>
      <c r="D1023" t="s">
        <v>949</v>
      </c>
      <c r="E1023" t="s">
        <v>218</v>
      </c>
      <c r="F1023">
        <v>23</v>
      </c>
      <c r="G1023" t="s">
        <v>5</v>
      </c>
      <c r="H1023" t="s">
        <v>3</v>
      </c>
      <c r="I1023" t="s">
        <v>51</v>
      </c>
      <c r="J1023" t="s">
        <v>54</v>
      </c>
      <c r="K1023" t="s">
        <v>43</v>
      </c>
      <c r="L1023">
        <v>3</v>
      </c>
      <c r="M1023" s="12">
        <v>27499</v>
      </c>
      <c r="N1023" s="12">
        <v>21724.210000000003</v>
      </c>
      <c r="O1023">
        <v>13</v>
      </c>
      <c r="P1023" s="12">
        <v>71772.39</v>
      </c>
      <c r="Q1023" s="12">
        <v>65172.630000000005</v>
      </c>
      <c r="R1023" s="12">
        <v>6599.7599999999948</v>
      </c>
      <c r="S1023" t="s">
        <v>1246</v>
      </c>
      <c r="T1023" t="s">
        <v>107</v>
      </c>
      <c r="U1023" t="s">
        <v>1201</v>
      </c>
    </row>
    <row r="1024" spans="1:21" x14ac:dyDescent="0.25">
      <c r="A1024" t="s">
        <v>2866</v>
      </c>
      <c r="B1024" s="8">
        <v>45918</v>
      </c>
      <c r="C1024" t="s">
        <v>2011</v>
      </c>
      <c r="D1024" t="s">
        <v>535</v>
      </c>
      <c r="E1024" t="s">
        <v>198</v>
      </c>
      <c r="F1024">
        <v>44</v>
      </c>
      <c r="G1024" t="s">
        <v>5</v>
      </c>
      <c r="H1024" t="s">
        <v>3</v>
      </c>
      <c r="I1024" t="s">
        <v>36</v>
      </c>
      <c r="J1024" t="s">
        <v>136</v>
      </c>
      <c r="K1024" t="s">
        <v>22</v>
      </c>
      <c r="L1024">
        <v>3</v>
      </c>
      <c r="M1024" s="12">
        <v>3590</v>
      </c>
      <c r="N1024" s="12">
        <v>2333.5</v>
      </c>
      <c r="O1024">
        <v>4</v>
      </c>
      <c r="P1024" s="12">
        <v>10339.199999999999</v>
      </c>
      <c r="Q1024" s="12">
        <v>7000.5</v>
      </c>
      <c r="R1024" s="12">
        <v>3338.6999999999989</v>
      </c>
      <c r="S1024" t="s">
        <v>113</v>
      </c>
      <c r="T1024" t="s">
        <v>108</v>
      </c>
      <c r="U1024" t="s">
        <v>1199</v>
      </c>
    </row>
    <row r="1025" spans="1:21" x14ac:dyDescent="0.25">
      <c r="A1025" t="s">
        <v>2867</v>
      </c>
      <c r="B1025" s="8">
        <v>46013</v>
      </c>
      <c r="C1025" t="s">
        <v>1427</v>
      </c>
      <c r="D1025" t="s">
        <v>744</v>
      </c>
      <c r="E1025" t="s">
        <v>198</v>
      </c>
      <c r="F1025">
        <v>42</v>
      </c>
      <c r="G1025" t="s">
        <v>16</v>
      </c>
      <c r="H1025" t="s">
        <v>15</v>
      </c>
      <c r="I1025" t="s">
        <v>21</v>
      </c>
      <c r="J1025" t="s">
        <v>23</v>
      </c>
      <c r="K1025" t="s">
        <v>22</v>
      </c>
      <c r="L1025">
        <v>4</v>
      </c>
      <c r="M1025" s="12">
        <v>54999</v>
      </c>
      <c r="N1025" s="12">
        <v>45099.18</v>
      </c>
      <c r="O1025">
        <v>15</v>
      </c>
      <c r="P1025" s="12">
        <v>186996.6</v>
      </c>
      <c r="Q1025" s="12">
        <v>180396.72</v>
      </c>
      <c r="R1025" s="12">
        <v>6599.8800000000047</v>
      </c>
      <c r="S1025" t="s">
        <v>1246</v>
      </c>
      <c r="T1025" t="s">
        <v>109</v>
      </c>
      <c r="U1025" t="s">
        <v>1201</v>
      </c>
    </row>
    <row r="1026" spans="1:21" x14ac:dyDescent="0.25">
      <c r="A1026" t="s">
        <v>2868</v>
      </c>
      <c r="B1026" s="8">
        <v>45948</v>
      </c>
      <c r="C1026" t="s">
        <v>5090</v>
      </c>
      <c r="D1026" t="s">
        <v>836</v>
      </c>
      <c r="E1026" t="s">
        <v>218</v>
      </c>
      <c r="F1026">
        <v>58</v>
      </c>
      <c r="G1026" t="s">
        <v>11</v>
      </c>
      <c r="H1026" t="s">
        <v>12</v>
      </c>
      <c r="I1026" t="s">
        <v>28</v>
      </c>
      <c r="J1026" t="s">
        <v>35</v>
      </c>
      <c r="K1026" t="s">
        <v>22</v>
      </c>
      <c r="L1026">
        <v>1</v>
      </c>
      <c r="M1026" s="12">
        <v>16499</v>
      </c>
      <c r="N1026" s="12">
        <v>14519.12</v>
      </c>
      <c r="O1026">
        <v>6</v>
      </c>
      <c r="P1026" s="12">
        <v>15509.06</v>
      </c>
      <c r="Q1026" s="12">
        <v>14519.12</v>
      </c>
      <c r="R1026" s="12">
        <v>989.93999999999869</v>
      </c>
      <c r="S1026" t="s">
        <v>1246</v>
      </c>
      <c r="T1026" t="s">
        <v>110</v>
      </c>
      <c r="U1026" t="s">
        <v>1203</v>
      </c>
    </row>
    <row r="1027" spans="1:21" x14ac:dyDescent="0.25">
      <c r="A1027" t="s">
        <v>2869</v>
      </c>
      <c r="B1027" s="8">
        <v>45951</v>
      </c>
      <c r="C1027" t="s">
        <v>2524</v>
      </c>
      <c r="D1027" t="s">
        <v>543</v>
      </c>
      <c r="E1027" t="s">
        <v>198</v>
      </c>
      <c r="F1027">
        <v>51</v>
      </c>
      <c r="G1027" t="s">
        <v>7</v>
      </c>
      <c r="H1027" t="s">
        <v>8</v>
      </c>
      <c r="I1027" t="s">
        <v>47</v>
      </c>
      <c r="J1027" t="s">
        <v>52</v>
      </c>
      <c r="K1027" t="s">
        <v>43</v>
      </c>
      <c r="L1027">
        <v>5</v>
      </c>
      <c r="M1027" s="12">
        <v>42999</v>
      </c>
      <c r="N1027" s="12">
        <v>33539.22</v>
      </c>
      <c r="O1027">
        <v>8</v>
      </c>
      <c r="P1027" s="12">
        <v>197795.4</v>
      </c>
      <c r="Q1027" s="12">
        <v>167696.1</v>
      </c>
      <c r="R1027" s="12">
        <v>30099.299999999988</v>
      </c>
      <c r="S1027" t="s">
        <v>113</v>
      </c>
      <c r="T1027" t="s">
        <v>107</v>
      </c>
      <c r="U1027" t="s">
        <v>1205</v>
      </c>
    </row>
    <row r="1028" spans="1:21" x14ac:dyDescent="0.25">
      <c r="A1028" t="s">
        <v>2871</v>
      </c>
      <c r="B1028" s="8">
        <v>45982</v>
      </c>
      <c r="C1028" t="s">
        <v>2145</v>
      </c>
      <c r="D1028" t="s">
        <v>761</v>
      </c>
      <c r="E1028" t="s">
        <v>198</v>
      </c>
      <c r="F1028">
        <v>34</v>
      </c>
      <c r="G1028" t="s">
        <v>289</v>
      </c>
      <c r="H1028" t="s">
        <v>3</v>
      </c>
      <c r="I1028" t="s">
        <v>21</v>
      </c>
      <c r="J1028" t="s">
        <v>23</v>
      </c>
      <c r="K1028" t="s">
        <v>22</v>
      </c>
      <c r="L1028">
        <v>5</v>
      </c>
      <c r="M1028" s="12">
        <v>54999</v>
      </c>
      <c r="N1028" s="12">
        <v>45099.18</v>
      </c>
      <c r="O1028">
        <v>10</v>
      </c>
      <c r="P1028" s="12">
        <v>247495.5</v>
      </c>
      <c r="Q1028" s="12">
        <v>225495.9</v>
      </c>
      <c r="R1028" s="12">
        <v>21999.600000000006</v>
      </c>
      <c r="S1028" t="s">
        <v>1246</v>
      </c>
      <c r="T1028" t="s">
        <v>108</v>
      </c>
      <c r="U1028" t="s">
        <v>1196</v>
      </c>
    </row>
    <row r="1029" spans="1:21" x14ac:dyDescent="0.25">
      <c r="A1029" t="s">
        <v>2872</v>
      </c>
      <c r="B1029" s="8">
        <v>45735</v>
      </c>
      <c r="C1029" t="s">
        <v>2079</v>
      </c>
      <c r="D1029" t="s">
        <v>612</v>
      </c>
      <c r="E1029" t="s">
        <v>198</v>
      </c>
      <c r="F1029">
        <v>23</v>
      </c>
      <c r="G1029" t="s">
        <v>14</v>
      </c>
      <c r="H1029" t="s">
        <v>15</v>
      </c>
      <c r="I1029" t="s">
        <v>53</v>
      </c>
      <c r="J1029" t="s">
        <v>48</v>
      </c>
      <c r="K1029" t="s">
        <v>43</v>
      </c>
      <c r="L1029">
        <v>1</v>
      </c>
      <c r="M1029" s="12">
        <v>6499</v>
      </c>
      <c r="N1029" s="12">
        <v>4549.2999999999993</v>
      </c>
      <c r="O1029">
        <v>5</v>
      </c>
      <c r="P1029" s="12">
        <v>6174.0499999999993</v>
      </c>
      <c r="Q1029" s="12">
        <v>4549.2999999999993</v>
      </c>
      <c r="R1029" s="12">
        <v>1624.75</v>
      </c>
      <c r="S1029" t="s">
        <v>1246</v>
      </c>
      <c r="T1029" t="s">
        <v>108</v>
      </c>
      <c r="U1029" t="s">
        <v>1205</v>
      </c>
    </row>
    <row r="1030" spans="1:21" x14ac:dyDescent="0.25">
      <c r="A1030" t="s">
        <v>2874</v>
      </c>
      <c r="B1030" s="8">
        <v>45796</v>
      </c>
      <c r="C1030" t="s">
        <v>2216</v>
      </c>
      <c r="D1030" t="s">
        <v>876</v>
      </c>
      <c r="E1030" t="s">
        <v>198</v>
      </c>
      <c r="F1030">
        <v>61</v>
      </c>
      <c r="G1030" t="s">
        <v>2</v>
      </c>
      <c r="H1030" t="s">
        <v>3</v>
      </c>
      <c r="I1030" t="s">
        <v>32</v>
      </c>
      <c r="J1030" t="s">
        <v>29</v>
      </c>
      <c r="K1030" t="s">
        <v>22</v>
      </c>
      <c r="L1030">
        <v>1</v>
      </c>
      <c r="M1030" s="12">
        <v>9500</v>
      </c>
      <c r="N1030" s="12">
        <v>6650</v>
      </c>
      <c r="O1030">
        <v>8</v>
      </c>
      <c r="P1030" s="12">
        <v>8740</v>
      </c>
      <c r="Q1030" s="12">
        <v>6650</v>
      </c>
      <c r="R1030" s="12">
        <v>2090</v>
      </c>
      <c r="S1030" t="s">
        <v>1246</v>
      </c>
      <c r="T1030" t="s">
        <v>109</v>
      </c>
      <c r="U1030" t="s">
        <v>1201</v>
      </c>
    </row>
    <row r="1031" spans="1:21" x14ac:dyDescent="0.25">
      <c r="A1031" t="s">
        <v>2875</v>
      </c>
      <c r="B1031" s="8">
        <v>45793</v>
      </c>
      <c r="C1031" t="s">
        <v>2178</v>
      </c>
      <c r="D1031" t="s">
        <v>444</v>
      </c>
      <c r="E1031" t="s">
        <v>218</v>
      </c>
      <c r="F1031">
        <v>23</v>
      </c>
      <c r="G1031" t="s">
        <v>11</v>
      </c>
      <c r="H1031" t="s">
        <v>12</v>
      </c>
      <c r="I1031" t="s">
        <v>40</v>
      </c>
      <c r="J1031" t="s">
        <v>39</v>
      </c>
      <c r="K1031" t="s">
        <v>22</v>
      </c>
      <c r="L1031">
        <v>1</v>
      </c>
      <c r="M1031" s="12">
        <v>1100</v>
      </c>
      <c r="N1031" s="12">
        <v>715</v>
      </c>
      <c r="O1031">
        <v>7</v>
      </c>
      <c r="P1031" s="12">
        <v>1022.9999999999999</v>
      </c>
      <c r="Q1031" s="12">
        <v>715</v>
      </c>
      <c r="R1031" s="12">
        <v>307.99999999999989</v>
      </c>
      <c r="S1031" t="s">
        <v>113</v>
      </c>
      <c r="T1031" t="s">
        <v>107</v>
      </c>
      <c r="U1031" t="s">
        <v>1198</v>
      </c>
    </row>
    <row r="1032" spans="1:21" x14ac:dyDescent="0.25">
      <c r="A1032" t="s">
        <v>2877</v>
      </c>
      <c r="B1032" s="8">
        <v>45764</v>
      </c>
      <c r="C1032" t="s">
        <v>3006</v>
      </c>
      <c r="D1032" t="s">
        <v>392</v>
      </c>
      <c r="E1032" t="s">
        <v>198</v>
      </c>
      <c r="F1032">
        <v>62</v>
      </c>
      <c r="G1032" t="s">
        <v>17</v>
      </c>
      <c r="H1032" t="s">
        <v>15</v>
      </c>
      <c r="I1032" t="s">
        <v>59</v>
      </c>
      <c r="J1032" t="s">
        <v>73</v>
      </c>
      <c r="K1032" t="s">
        <v>64</v>
      </c>
      <c r="L1032">
        <v>1</v>
      </c>
      <c r="M1032" s="12">
        <v>120</v>
      </c>
      <c r="N1032" s="12">
        <v>81.599999999999994</v>
      </c>
      <c r="O1032">
        <v>2</v>
      </c>
      <c r="P1032" s="12">
        <v>117.6</v>
      </c>
      <c r="Q1032" s="12">
        <v>81.599999999999994</v>
      </c>
      <c r="R1032" s="12">
        <v>36</v>
      </c>
      <c r="S1032" t="s">
        <v>1249</v>
      </c>
      <c r="T1032" t="s">
        <v>108</v>
      </c>
      <c r="U1032" t="s">
        <v>1211</v>
      </c>
    </row>
    <row r="1033" spans="1:21" x14ac:dyDescent="0.25">
      <c r="A1033" t="s">
        <v>2879</v>
      </c>
      <c r="B1033" s="8">
        <v>45923</v>
      </c>
      <c r="C1033" t="s">
        <v>2190</v>
      </c>
      <c r="D1033" t="s">
        <v>1090</v>
      </c>
      <c r="E1033" t="s">
        <v>218</v>
      </c>
      <c r="F1033">
        <v>44</v>
      </c>
      <c r="G1033" t="s">
        <v>11</v>
      </c>
      <c r="H1033" t="s">
        <v>12</v>
      </c>
      <c r="I1033" t="s">
        <v>38</v>
      </c>
      <c r="J1033" t="s">
        <v>37</v>
      </c>
      <c r="K1033" t="s">
        <v>22</v>
      </c>
      <c r="L1033">
        <v>5</v>
      </c>
      <c r="M1033" s="12">
        <v>1650</v>
      </c>
      <c r="N1033" s="12">
        <v>990</v>
      </c>
      <c r="O1033">
        <v>5</v>
      </c>
      <c r="P1033" s="12">
        <v>7837.5</v>
      </c>
      <c r="Q1033" s="12">
        <v>4950</v>
      </c>
      <c r="R1033" s="12">
        <v>2887.5</v>
      </c>
      <c r="S1033" t="s">
        <v>113</v>
      </c>
      <c r="T1033" t="s">
        <v>107</v>
      </c>
      <c r="U1033" t="s">
        <v>1211</v>
      </c>
    </row>
    <row r="1034" spans="1:21" x14ac:dyDescent="0.25">
      <c r="A1034" t="s">
        <v>2880</v>
      </c>
      <c r="B1034" s="8">
        <v>45677</v>
      </c>
      <c r="C1034" t="s">
        <v>2852</v>
      </c>
      <c r="D1034" t="s">
        <v>1008</v>
      </c>
      <c r="E1034" t="s">
        <v>198</v>
      </c>
      <c r="F1034">
        <v>56</v>
      </c>
      <c r="G1034" t="s">
        <v>290</v>
      </c>
      <c r="H1034" t="s">
        <v>3</v>
      </c>
      <c r="I1034" t="s">
        <v>36</v>
      </c>
      <c r="J1034" t="s">
        <v>136</v>
      </c>
      <c r="K1034" t="s">
        <v>22</v>
      </c>
      <c r="L1034">
        <v>5</v>
      </c>
      <c r="M1034" s="12">
        <v>3590</v>
      </c>
      <c r="N1034" s="12">
        <v>2333.5</v>
      </c>
      <c r="O1034">
        <v>7</v>
      </c>
      <c r="P1034" s="12">
        <v>16693.5</v>
      </c>
      <c r="Q1034" s="12">
        <v>11667.5</v>
      </c>
      <c r="R1034" s="12">
        <v>5026</v>
      </c>
      <c r="S1034" t="s">
        <v>113</v>
      </c>
      <c r="T1034" t="s">
        <v>110</v>
      </c>
      <c r="U1034" t="s">
        <v>1198</v>
      </c>
    </row>
    <row r="1035" spans="1:21" x14ac:dyDescent="0.25">
      <c r="A1035" t="s">
        <v>2882</v>
      </c>
      <c r="B1035" s="8">
        <v>45987</v>
      </c>
      <c r="C1035" t="s">
        <v>3573</v>
      </c>
      <c r="D1035" t="s">
        <v>838</v>
      </c>
      <c r="E1035" t="s">
        <v>218</v>
      </c>
      <c r="F1035">
        <v>59</v>
      </c>
      <c r="G1035" t="s">
        <v>7</v>
      </c>
      <c r="H1035" t="s">
        <v>8</v>
      </c>
      <c r="I1035" t="s">
        <v>63</v>
      </c>
      <c r="J1035" t="s">
        <v>77</v>
      </c>
      <c r="K1035" t="s">
        <v>64</v>
      </c>
      <c r="L1035">
        <v>2</v>
      </c>
      <c r="M1035" s="12">
        <v>650</v>
      </c>
      <c r="N1035" s="12">
        <v>468</v>
      </c>
      <c r="O1035">
        <v>4</v>
      </c>
      <c r="P1035" s="12">
        <v>1248</v>
      </c>
      <c r="Q1035" s="12">
        <v>936</v>
      </c>
      <c r="R1035" s="12">
        <v>312</v>
      </c>
      <c r="S1035" t="s">
        <v>1249</v>
      </c>
      <c r="T1035" t="s">
        <v>107</v>
      </c>
      <c r="U1035" t="s">
        <v>1205</v>
      </c>
    </row>
    <row r="1036" spans="1:21" x14ac:dyDescent="0.25">
      <c r="A1036" t="s">
        <v>2883</v>
      </c>
      <c r="B1036" s="8">
        <v>45720</v>
      </c>
      <c r="C1036" t="s">
        <v>4123</v>
      </c>
      <c r="D1036" t="s">
        <v>383</v>
      </c>
      <c r="E1036" t="s">
        <v>198</v>
      </c>
      <c r="F1036">
        <v>55</v>
      </c>
      <c r="G1036" t="s">
        <v>17</v>
      </c>
      <c r="H1036" t="s">
        <v>15</v>
      </c>
      <c r="I1036" t="s">
        <v>59</v>
      </c>
      <c r="J1036" t="s">
        <v>73</v>
      </c>
      <c r="K1036" t="s">
        <v>64</v>
      </c>
      <c r="L1036">
        <v>2</v>
      </c>
      <c r="M1036" s="12">
        <v>120</v>
      </c>
      <c r="N1036" s="12">
        <v>81.599999999999994</v>
      </c>
      <c r="O1036">
        <v>1</v>
      </c>
      <c r="P1036" s="12">
        <v>237.6</v>
      </c>
      <c r="Q1036" s="12">
        <v>163.19999999999999</v>
      </c>
      <c r="R1036" s="12">
        <v>74.400000000000006</v>
      </c>
      <c r="S1036" t="s">
        <v>1246</v>
      </c>
      <c r="T1036" t="s">
        <v>107</v>
      </c>
      <c r="U1036" t="s">
        <v>1205</v>
      </c>
    </row>
    <row r="1037" spans="1:21" x14ac:dyDescent="0.25">
      <c r="A1037" t="s">
        <v>2884</v>
      </c>
      <c r="B1037" s="8">
        <v>46005</v>
      </c>
      <c r="C1037" t="s">
        <v>2138</v>
      </c>
      <c r="D1037" t="s">
        <v>631</v>
      </c>
      <c r="E1037" t="s">
        <v>198</v>
      </c>
      <c r="F1037">
        <v>59</v>
      </c>
      <c r="G1037" t="s">
        <v>7</v>
      </c>
      <c r="H1037" t="s">
        <v>8</v>
      </c>
      <c r="I1037" t="s">
        <v>21</v>
      </c>
      <c r="J1037" t="s">
        <v>23</v>
      </c>
      <c r="K1037" t="s">
        <v>22</v>
      </c>
      <c r="L1037">
        <v>3</v>
      </c>
      <c r="M1037" s="12">
        <v>54999</v>
      </c>
      <c r="N1037" s="12">
        <v>45099.18</v>
      </c>
      <c r="O1037">
        <v>14</v>
      </c>
      <c r="P1037" s="12">
        <v>141897.41999999998</v>
      </c>
      <c r="Q1037" s="12">
        <v>135297.54</v>
      </c>
      <c r="R1037" s="12">
        <v>6599.8799999999756</v>
      </c>
      <c r="S1037" t="s">
        <v>1249</v>
      </c>
      <c r="T1037" t="s">
        <v>107</v>
      </c>
      <c r="U1037" t="s">
        <v>1207</v>
      </c>
    </row>
    <row r="1038" spans="1:21" x14ac:dyDescent="0.25">
      <c r="A1038" t="s">
        <v>2885</v>
      </c>
      <c r="B1038" s="8">
        <v>45670</v>
      </c>
      <c r="C1038" t="s">
        <v>3014</v>
      </c>
      <c r="D1038" t="s">
        <v>902</v>
      </c>
      <c r="E1038" t="s">
        <v>198</v>
      </c>
      <c r="F1038">
        <v>63</v>
      </c>
      <c r="G1038" t="s">
        <v>5</v>
      </c>
      <c r="H1038" t="s">
        <v>3</v>
      </c>
      <c r="I1038" t="s">
        <v>21</v>
      </c>
      <c r="J1038" t="s">
        <v>23</v>
      </c>
      <c r="K1038" t="s">
        <v>22</v>
      </c>
      <c r="L1038">
        <v>2</v>
      </c>
      <c r="M1038" s="12">
        <v>54999</v>
      </c>
      <c r="N1038" s="12">
        <v>45099.18</v>
      </c>
      <c r="O1038">
        <v>5</v>
      </c>
      <c r="P1038" s="12">
        <v>104498.09999999999</v>
      </c>
      <c r="Q1038" s="12">
        <v>90198.36</v>
      </c>
      <c r="R1038" s="12">
        <v>14299.739999999991</v>
      </c>
      <c r="S1038" t="s">
        <v>1246</v>
      </c>
      <c r="T1038" t="s">
        <v>107</v>
      </c>
      <c r="U1038" t="s">
        <v>1205</v>
      </c>
    </row>
    <row r="1039" spans="1:21" x14ac:dyDescent="0.25">
      <c r="A1039" t="s">
        <v>2886</v>
      </c>
      <c r="B1039" s="8">
        <v>46014</v>
      </c>
      <c r="C1039" t="s">
        <v>3093</v>
      </c>
      <c r="D1039" t="s">
        <v>722</v>
      </c>
      <c r="E1039" t="s">
        <v>218</v>
      </c>
      <c r="F1039">
        <v>44</v>
      </c>
      <c r="G1039" t="s">
        <v>4</v>
      </c>
      <c r="H1039" t="s">
        <v>3</v>
      </c>
      <c r="I1039" t="s">
        <v>63</v>
      </c>
      <c r="J1039" t="s">
        <v>77</v>
      </c>
      <c r="K1039" t="s">
        <v>64</v>
      </c>
      <c r="L1039">
        <v>1</v>
      </c>
      <c r="M1039" s="12">
        <v>650</v>
      </c>
      <c r="N1039" s="12">
        <v>468</v>
      </c>
      <c r="O1039">
        <v>3</v>
      </c>
      <c r="P1039" s="12">
        <v>630.5</v>
      </c>
      <c r="Q1039" s="12">
        <v>468</v>
      </c>
      <c r="R1039" s="12">
        <v>162.5</v>
      </c>
      <c r="S1039" t="s">
        <v>1246</v>
      </c>
      <c r="T1039" t="s">
        <v>110</v>
      </c>
      <c r="U1039" t="s">
        <v>1205</v>
      </c>
    </row>
    <row r="1040" spans="1:21" x14ac:dyDescent="0.25">
      <c r="A1040" t="s">
        <v>2887</v>
      </c>
      <c r="B1040" s="8">
        <v>46000</v>
      </c>
      <c r="C1040" t="s">
        <v>2329</v>
      </c>
      <c r="D1040" t="s">
        <v>634</v>
      </c>
      <c r="E1040" t="s">
        <v>218</v>
      </c>
      <c r="F1040">
        <v>62</v>
      </c>
      <c r="G1040" t="s">
        <v>16</v>
      </c>
      <c r="H1040" t="s">
        <v>15</v>
      </c>
      <c r="I1040" t="s">
        <v>32</v>
      </c>
      <c r="J1040" t="s">
        <v>29</v>
      </c>
      <c r="K1040" t="s">
        <v>22</v>
      </c>
      <c r="L1040">
        <v>2</v>
      </c>
      <c r="M1040" s="12">
        <v>9500</v>
      </c>
      <c r="N1040" s="12">
        <v>6650</v>
      </c>
      <c r="O1040">
        <v>17</v>
      </c>
      <c r="P1040" s="12">
        <v>15770</v>
      </c>
      <c r="Q1040" s="12">
        <v>13300</v>
      </c>
      <c r="R1040" s="12">
        <v>2470</v>
      </c>
      <c r="S1040" t="s">
        <v>113</v>
      </c>
      <c r="T1040" t="s">
        <v>107</v>
      </c>
      <c r="U1040" t="s">
        <v>1194</v>
      </c>
    </row>
    <row r="1041" spans="1:21" x14ac:dyDescent="0.25">
      <c r="A1041" t="s">
        <v>2888</v>
      </c>
      <c r="B1041" s="8">
        <v>45944</v>
      </c>
      <c r="C1041" t="s">
        <v>3095</v>
      </c>
      <c r="D1041" t="s">
        <v>804</v>
      </c>
      <c r="E1041" t="s">
        <v>198</v>
      </c>
      <c r="F1041">
        <v>31</v>
      </c>
      <c r="G1041" t="s">
        <v>2</v>
      </c>
      <c r="H1041" t="s">
        <v>3</v>
      </c>
      <c r="I1041" t="s">
        <v>55</v>
      </c>
      <c r="J1041" t="s">
        <v>65</v>
      </c>
      <c r="K1041" t="s">
        <v>64</v>
      </c>
      <c r="L1041">
        <v>5</v>
      </c>
      <c r="M1041" s="12">
        <v>80</v>
      </c>
      <c r="N1041" s="12">
        <v>56</v>
      </c>
      <c r="O1041">
        <v>2</v>
      </c>
      <c r="P1041" s="12">
        <v>392</v>
      </c>
      <c r="Q1041" s="12">
        <v>280</v>
      </c>
      <c r="R1041" s="12">
        <v>112</v>
      </c>
      <c r="S1041" t="s">
        <v>1246</v>
      </c>
      <c r="T1041" t="s">
        <v>108</v>
      </c>
      <c r="U1041" t="s">
        <v>1199</v>
      </c>
    </row>
    <row r="1042" spans="1:21" x14ac:dyDescent="0.25">
      <c r="A1042" t="s">
        <v>2889</v>
      </c>
      <c r="B1042" s="8">
        <v>45989</v>
      </c>
      <c r="C1042" t="s">
        <v>2158</v>
      </c>
      <c r="D1042" t="s">
        <v>483</v>
      </c>
      <c r="E1042" t="s">
        <v>218</v>
      </c>
      <c r="F1042">
        <v>23</v>
      </c>
      <c r="G1042" t="s">
        <v>9</v>
      </c>
      <c r="H1042" t="s">
        <v>8</v>
      </c>
      <c r="I1042" t="s">
        <v>57</v>
      </c>
      <c r="J1042" t="s">
        <v>67</v>
      </c>
      <c r="K1042" t="s">
        <v>64</v>
      </c>
      <c r="L1042">
        <v>2</v>
      </c>
      <c r="M1042" s="12">
        <v>150</v>
      </c>
      <c r="N1042" s="12">
        <v>97.5</v>
      </c>
      <c r="O1042">
        <v>6</v>
      </c>
      <c r="P1042" s="12">
        <v>282</v>
      </c>
      <c r="Q1042" s="12">
        <v>195</v>
      </c>
      <c r="R1042" s="12">
        <v>87</v>
      </c>
      <c r="S1042" t="s">
        <v>113</v>
      </c>
      <c r="T1042" t="s">
        <v>108</v>
      </c>
      <c r="U1042" t="s">
        <v>1205</v>
      </c>
    </row>
    <row r="1043" spans="1:21" x14ac:dyDescent="0.25">
      <c r="A1043" t="s">
        <v>2891</v>
      </c>
      <c r="B1043" s="8">
        <v>45797</v>
      </c>
      <c r="C1043" t="s">
        <v>1724</v>
      </c>
      <c r="D1043" t="s">
        <v>685</v>
      </c>
      <c r="E1043" t="s">
        <v>198</v>
      </c>
      <c r="F1043">
        <v>35</v>
      </c>
      <c r="G1043" t="s">
        <v>289</v>
      </c>
      <c r="H1043" t="s">
        <v>3</v>
      </c>
      <c r="I1043" t="s">
        <v>26</v>
      </c>
      <c r="J1043" t="s">
        <v>27</v>
      </c>
      <c r="K1043" t="s">
        <v>22</v>
      </c>
      <c r="L1043">
        <v>4</v>
      </c>
      <c r="M1043" s="12">
        <v>27499</v>
      </c>
      <c r="N1043" s="12">
        <v>23374.149999999998</v>
      </c>
      <c r="O1043">
        <v>9</v>
      </c>
      <c r="P1043" s="12">
        <v>100096.36</v>
      </c>
      <c r="Q1043" s="12">
        <v>93496.599999999991</v>
      </c>
      <c r="R1043" s="12">
        <v>6599.7600000000093</v>
      </c>
      <c r="S1043" t="s">
        <v>1246</v>
      </c>
      <c r="T1043" t="s">
        <v>109</v>
      </c>
      <c r="U1043" t="s">
        <v>1201</v>
      </c>
    </row>
    <row r="1044" spans="1:21" x14ac:dyDescent="0.25">
      <c r="A1044" t="s">
        <v>2892</v>
      </c>
      <c r="B1044" s="8">
        <v>45875</v>
      </c>
      <c r="C1044" t="s">
        <v>2807</v>
      </c>
      <c r="D1044" t="s">
        <v>475</v>
      </c>
      <c r="E1044" t="s">
        <v>218</v>
      </c>
      <c r="F1044">
        <v>55</v>
      </c>
      <c r="G1044" t="s">
        <v>4</v>
      </c>
      <c r="H1044" t="s">
        <v>3</v>
      </c>
      <c r="I1044" t="s">
        <v>30</v>
      </c>
      <c r="J1044" t="s">
        <v>41</v>
      </c>
      <c r="K1044" t="s">
        <v>22</v>
      </c>
      <c r="L1044">
        <v>4</v>
      </c>
      <c r="M1044" s="12">
        <v>13749</v>
      </c>
      <c r="N1044" s="12">
        <v>10999.2</v>
      </c>
      <c r="O1044">
        <v>5</v>
      </c>
      <c r="P1044" s="12">
        <v>52246.2</v>
      </c>
      <c r="Q1044" s="12">
        <v>43996.800000000003</v>
      </c>
      <c r="R1044" s="12">
        <v>8249.3999999999942</v>
      </c>
      <c r="S1044" t="s">
        <v>1246</v>
      </c>
      <c r="T1044" t="s">
        <v>109</v>
      </c>
      <c r="U1044" t="s">
        <v>1194</v>
      </c>
    </row>
    <row r="1045" spans="1:21" x14ac:dyDescent="0.25">
      <c r="A1045" t="s">
        <v>2894</v>
      </c>
      <c r="B1045" s="8">
        <v>45969</v>
      </c>
      <c r="C1045" t="s">
        <v>2630</v>
      </c>
      <c r="D1045" t="s">
        <v>437</v>
      </c>
      <c r="E1045" t="s">
        <v>198</v>
      </c>
      <c r="F1045">
        <v>36</v>
      </c>
      <c r="G1045" t="s">
        <v>16</v>
      </c>
      <c r="H1045" t="s">
        <v>15</v>
      </c>
      <c r="I1045" t="s">
        <v>40</v>
      </c>
      <c r="J1045" t="s">
        <v>39</v>
      </c>
      <c r="K1045" t="s">
        <v>22</v>
      </c>
      <c r="L1045">
        <v>5</v>
      </c>
      <c r="M1045" s="12">
        <v>1100</v>
      </c>
      <c r="N1045" s="12">
        <v>715</v>
      </c>
      <c r="O1045">
        <v>15</v>
      </c>
      <c r="P1045" s="12">
        <v>4675</v>
      </c>
      <c r="Q1045" s="12">
        <v>3575</v>
      </c>
      <c r="R1045" s="12">
        <v>1100</v>
      </c>
      <c r="S1045" t="s">
        <v>1246</v>
      </c>
      <c r="T1045" t="s">
        <v>108</v>
      </c>
      <c r="U1045" t="s">
        <v>1198</v>
      </c>
    </row>
    <row r="1046" spans="1:21" x14ac:dyDescent="0.25">
      <c r="A1046" t="s">
        <v>2896</v>
      </c>
      <c r="B1046" s="8">
        <v>45679</v>
      </c>
      <c r="C1046" t="s">
        <v>2572</v>
      </c>
      <c r="D1046" t="s">
        <v>635</v>
      </c>
      <c r="E1046" t="s">
        <v>198</v>
      </c>
      <c r="F1046">
        <v>53</v>
      </c>
      <c r="G1046" t="s">
        <v>17</v>
      </c>
      <c r="H1046" t="s">
        <v>15</v>
      </c>
      <c r="I1046" t="s">
        <v>40</v>
      </c>
      <c r="J1046" t="s">
        <v>39</v>
      </c>
      <c r="K1046" t="s">
        <v>22</v>
      </c>
      <c r="L1046">
        <v>2</v>
      </c>
      <c r="M1046" s="12">
        <v>1100</v>
      </c>
      <c r="N1046" s="12">
        <v>715</v>
      </c>
      <c r="O1046">
        <v>10</v>
      </c>
      <c r="P1046" s="12">
        <v>1980</v>
      </c>
      <c r="Q1046" s="12">
        <v>1430</v>
      </c>
      <c r="R1046" s="12">
        <v>550</v>
      </c>
      <c r="S1046" t="s">
        <v>113</v>
      </c>
      <c r="T1046" t="s">
        <v>108</v>
      </c>
      <c r="U1046" t="s">
        <v>1194</v>
      </c>
    </row>
    <row r="1047" spans="1:21" x14ac:dyDescent="0.25">
      <c r="A1047" t="s">
        <v>2897</v>
      </c>
      <c r="B1047" s="8">
        <v>45867</v>
      </c>
      <c r="C1047" t="s">
        <v>1421</v>
      </c>
      <c r="D1047" t="s">
        <v>1035</v>
      </c>
      <c r="E1047" t="s">
        <v>198</v>
      </c>
      <c r="F1047">
        <v>32</v>
      </c>
      <c r="G1047" t="s">
        <v>289</v>
      </c>
      <c r="H1047" t="s">
        <v>3</v>
      </c>
      <c r="I1047" t="s">
        <v>45</v>
      </c>
      <c r="J1047" t="s">
        <v>46</v>
      </c>
      <c r="K1047" t="s">
        <v>43</v>
      </c>
      <c r="L1047">
        <v>1</v>
      </c>
      <c r="M1047" s="12">
        <v>11999</v>
      </c>
      <c r="N1047" s="12">
        <v>8999.25</v>
      </c>
      <c r="O1047">
        <v>6</v>
      </c>
      <c r="P1047" s="12">
        <v>11279.06</v>
      </c>
      <c r="Q1047" s="12">
        <v>8999.25</v>
      </c>
      <c r="R1047" s="12">
        <v>2279.8099999999995</v>
      </c>
      <c r="S1047" t="s">
        <v>1246</v>
      </c>
      <c r="T1047" t="s">
        <v>107</v>
      </c>
      <c r="U1047" t="s">
        <v>1198</v>
      </c>
    </row>
    <row r="1048" spans="1:21" x14ac:dyDescent="0.25">
      <c r="A1048" t="s">
        <v>2899</v>
      </c>
      <c r="B1048" s="8">
        <v>45727</v>
      </c>
      <c r="C1048" t="s">
        <v>1470</v>
      </c>
      <c r="D1048" t="s">
        <v>706</v>
      </c>
      <c r="E1048" t="s">
        <v>198</v>
      </c>
      <c r="F1048">
        <v>19</v>
      </c>
      <c r="G1048" t="s">
        <v>11</v>
      </c>
      <c r="H1048" t="s">
        <v>12</v>
      </c>
      <c r="I1048" t="s">
        <v>30</v>
      </c>
      <c r="J1048" t="s">
        <v>41</v>
      </c>
      <c r="K1048" t="s">
        <v>22</v>
      </c>
      <c r="L1048">
        <v>4</v>
      </c>
      <c r="M1048" s="12">
        <v>13749</v>
      </c>
      <c r="N1048" s="12">
        <v>10999.2</v>
      </c>
      <c r="O1048">
        <v>5</v>
      </c>
      <c r="P1048" s="12">
        <v>52246.2</v>
      </c>
      <c r="Q1048" s="12">
        <v>43996.800000000003</v>
      </c>
      <c r="R1048" s="12">
        <v>8249.3999999999942</v>
      </c>
      <c r="S1048" t="s">
        <v>1246</v>
      </c>
      <c r="T1048" t="s">
        <v>109</v>
      </c>
      <c r="U1048" t="s">
        <v>1201</v>
      </c>
    </row>
    <row r="1049" spans="1:21" x14ac:dyDescent="0.25">
      <c r="A1049" t="s">
        <v>2900</v>
      </c>
      <c r="B1049" s="8">
        <v>45802</v>
      </c>
      <c r="C1049" t="s">
        <v>4015</v>
      </c>
      <c r="D1049" t="s">
        <v>406</v>
      </c>
      <c r="E1049" t="s">
        <v>218</v>
      </c>
      <c r="F1049">
        <v>21</v>
      </c>
      <c r="G1049" t="s">
        <v>11</v>
      </c>
      <c r="H1049" t="s">
        <v>12</v>
      </c>
      <c r="I1049" t="s">
        <v>28</v>
      </c>
      <c r="J1049" t="s">
        <v>35</v>
      </c>
      <c r="K1049" t="s">
        <v>22</v>
      </c>
      <c r="L1049">
        <v>4</v>
      </c>
      <c r="M1049" s="12">
        <v>16499</v>
      </c>
      <c r="N1049" s="12">
        <v>14519.12</v>
      </c>
      <c r="O1049">
        <v>5</v>
      </c>
      <c r="P1049" s="12">
        <v>62696.2</v>
      </c>
      <c r="Q1049" s="12">
        <v>58076.480000000003</v>
      </c>
      <c r="R1049" s="12">
        <v>4619.7199999999939</v>
      </c>
      <c r="S1049" t="s">
        <v>113</v>
      </c>
      <c r="T1049" t="s">
        <v>107</v>
      </c>
      <c r="U1049" t="s">
        <v>1203</v>
      </c>
    </row>
    <row r="1050" spans="1:21" x14ac:dyDescent="0.25">
      <c r="A1050" t="s">
        <v>2901</v>
      </c>
      <c r="B1050" s="8">
        <v>45957</v>
      </c>
      <c r="C1050" t="s">
        <v>1314</v>
      </c>
      <c r="D1050" t="s">
        <v>773</v>
      </c>
      <c r="E1050" t="s">
        <v>198</v>
      </c>
      <c r="F1050">
        <v>34</v>
      </c>
      <c r="G1050" t="s">
        <v>7</v>
      </c>
      <c r="H1050" t="s">
        <v>8</v>
      </c>
      <c r="I1050" t="s">
        <v>57</v>
      </c>
      <c r="J1050" t="s">
        <v>67</v>
      </c>
      <c r="K1050" t="s">
        <v>64</v>
      </c>
      <c r="L1050">
        <v>2</v>
      </c>
      <c r="M1050" s="12">
        <v>150</v>
      </c>
      <c r="N1050" s="12">
        <v>97.5</v>
      </c>
      <c r="O1050">
        <v>3</v>
      </c>
      <c r="P1050" s="12">
        <v>291</v>
      </c>
      <c r="Q1050" s="12">
        <v>195</v>
      </c>
      <c r="R1050" s="12">
        <v>96</v>
      </c>
      <c r="S1050" t="s">
        <v>1249</v>
      </c>
      <c r="T1050" t="s">
        <v>107</v>
      </c>
      <c r="U1050" t="s">
        <v>1211</v>
      </c>
    </row>
    <row r="1051" spans="1:21" x14ac:dyDescent="0.25">
      <c r="A1051" t="s">
        <v>2903</v>
      </c>
      <c r="B1051" s="8">
        <v>45910</v>
      </c>
      <c r="C1051" t="s">
        <v>1310</v>
      </c>
      <c r="D1051" t="s">
        <v>1154</v>
      </c>
      <c r="E1051" t="s">
        <v>198</v>
      </c>
      <c r="F1051">
        <v>57</v>
      </c>
      <c r="G1051" t="s">
        <v>289</v>
      </c>
      <c r="H1051" t="s">
        <v>3</v>
      </c>
      <c r="I1051" t="s">
        <v>53</v>
      </c>
      <c r="J1051" t="s">
        <v>48</v>
      </c>
      <c r="K1051" t="s">
        <v>43</v>
      </c>
      <c r="L1051">
        <v>3</v>
      </c>
      <c r="M1051" s="12">
        <v>6499</v>
      </c>
      <c r="N1051" s="12">
        <v>4549.2999999999993</v>
      </c>
      <c r="O1051">
        <v>9</v>
      </c>
      <c r="P1051" s="12">
        <v>17742.27</v>
      </c>
      <c r="Q1051" s="12">
        <v>13647.899999999998</v>
      </c>
      <c r="R1051" s="12">
        <v>4094.3700000000026</v>
      </c>
      <c r="S1051" t="s">
        <v>113</v>
      </c>
      <c r="T1051" t="s">
        <v>107</v>
      </c>
      <c r="U1051" t="s">
        <v>1205</v>
      </c>
    </row>
    <row r="1052" spans="1:21" x14ac:dyDescent="0.25">
      <c r="A1052" t="s">
        <v>2904</v>
      </c>
      <c r="B1052" s="8">
        <v>45888</v>
      </c>
      <c r="C1052" t="s">
        <v>4230</v>
      </c>
      <c r="D1052" t="s">
        <v>989</v>
      </c>
      <c r="E1052" t="s">
        <v>198</v>
      </c>
      <c r="F1052">
        <v>57</v>
      </c>
      <c r="G1052" t="s">
        <v>10</v>
      </c>
      <c r="H1052" t="s">
        <v>8</v>
      </c>
      <c r="I1052" t="s">
        <v>59</v>
      </c>
      <c r="J1052" t="s">
        <v>73</v>
      </c>
      <c r="K1052" t="s">
        <v>64</v>
      </c>
      <c r="L1052">
        <v>2</v>
      </c>
      <c r="M1052" s="12">
        <v>120</v>
      </c>
      <c r="N1052" s="12">
        <v>81.599999999999994</v>
      </c>
      <c r="O1052">
        <v>3</v>
      </c>
      <c r="P1052" s="12">
        <v>232.79999999999998</v>
      </c>
      <c r="Q1052" s="12">
        <v>163.19999999999999</v>
      </c>
      <c r="R1052" s="12">
        <v>69.599999999999994</v>
      </c>
      <c r="S1052" t="s">
        <v>113</v>
      </c>
      <c r="T1052" t="s">
        <v>111</v>
      </c>
      <c r="U1052" t="s">
        <v>1209</v>
      </c>
    </row>
    <row r="1053" spans="1:21" x14ac:dyDescent="0.25">
      <c r="A1053" t="s">
        <v>2906</v>
      </c>
      <c r="B1053" s="8">
        <v>45658</v>
      </c>
      <c r="C1053" t="s">
        <v>3137</v>
      </c>
      <c r="D1053" t="s">
        <v>531</v>
      </c>
      <c r="E1053" t="s">
        <v>198</v>
      </c>
      <c r="F1053">
        <v>34</v>
      </c>
      <c r="G1053" t="s">
        <v>7</v>
      </c>
      <c r="H1053" t="s">
        <v>8</v>
      </c>
      <c r="I1053" t="s">
        <v>59</v>
      </c>
      <c r="J1053" t="s">
        <v>73</v>
      </c>
      <c r="K1053" t="s">
        <v>64</v>
      </c>
      <c r="L1053">
        <v>3</v>
      </c>
      <c r="M1053" s="12">
        <v>120</v>
      </c>
      <c r="N1053" s="12">
        <v>81.599999999999994</v>
      </c>
      <c r="O1053">
        <v>8</v>
      </c>
      <c r="P1053" s="12">
        <v>331.2</v>
      </c>
      <c r="Q1053" s="12">
        <v>244.79999999999998</v>
      </c>
      <c r="R1053" s="12">
        <v>86.4</v>
      </c>
      <c r="S1053" t="s">
        <v>1246</v>
      </c>
      <c r="T1053" t="s">
        <v>111</v>
      </c>
      <c r="U1053" t="s">
        <v>1205</v>
      </c>
    </row>
    <row r="1054" spans="1:21" x14ac:dyDescent="0.25">
      <c r="A1054" t="s">
        <v>2907</v>
      </c>
      <c r="B1054" s="8">
        <v>45744</v>
      </c>
      <c r="C1054" t="s">
        <v>2663</v>
      </c>
      <c r="D1054" t="s">
        <v>403</v>
      </c>
      <c r="E1054" t="s">
        <v>218</v>
      </c>
      <c r="F1054">
        <v>60</v>
      </c>
      <c r="G1054" t="s">
        <v>290</v>
      </c>
      <c r="H1054" t="s">
        <v>3</v>
      </c>
      <c r="I1054" t="s">
        <v>32</v>
      </c>
      <c r="J1054" t="s">
        <v>29</v>
      </c>
      <c r="K1054" t="s">
        <v>22</v>
      </c>
      <c r="L1054">
        <v>2</v>
      </c>
      <c r="M1054" s="12">
        <v>9500</v>
      </c>
      <c r="N1054" s="12">
        <v>6650</v>
      </c>
      <c r="O1054">
        <v>4</v>
      </c>
      <c r="P1054" s="12">
        <v>18240</v>
      </c>
      <c r="Q1054" s="12">
        <v>13300</v>
      </c>
      <c r="R1054" s="12">
        <v>4940</v>
      </c>
      <c r="S1054" t="s">
        <v>113</v>
      </c>
      <c r="T1054" t="s">
        <v>107</v>
      </c>
      <c r="U1054" t="s">
        <v>1207</v>
      </c>
    </row>
    <row r="1055" spans="1:21" x14ac:dyDescent="0.25">
      <c r="A1055" t="s">
        <v>2908</v>
      </c>
      <c r="B1055" s="8">
        <v>45971</v>
      </c>
      <c r="C1055" t="s">
        <v>2464</v>
      </c>
      <c r="D1055" t="s">
        <v>432</v>
      </c>
      <c r="E1055" t="s">
        <v>218</v>
      </c>
      <c r="F1055">
        <v>54</v>
      </c>
      <c r="G1055" t="s">
        <v>17</v>
      </c>
      <c r="H1055" t="s">
        <v>15</v>
      </c>
      <c r="I1055" t="s">
        <v>26</v>
      </c>
      <c r="J1055" t="s">
        <v>27</v>
      </c>
      <c r="K1055" t="s">
        <v>22</v>
      </c>
      <c r="L1055">
        <v>1</v>
      </c>
      <c r="M1055" s="12">
        <v>27499</v>
      </c>
      <c r="N1055" s="12">
        <v>23374.149999999998</v>
      </c>
      <c r="O1055">
        <v>17</v>
      </c>
      <c r="P1055" s="12">
        <v>22824.17</v>
      </c>
      <c r="Q1055" s="12">
        <v>23374.149999999998</v>
      </c>
      <c r="R1055" s="12">
        <v>-549.97999999999956</v>
      </c>
      <c r="S1055" t="s">
        <v>113</v>
      </c>
      <c r="T1055" t="s">
        <v>109</v>
      </c>
      <c r="U1055" t="s">
        <v>1203</v>
      </c>
    </row>
    <row r="1056" spans="1:21" x14ac:dyDescent="0.25">
      <c r="A1056" t="s">
        <v>2910</v>
      </c>
      <c r="B1056" s="8">
        <v>45889</v>
      </c>
      <c r="C1056" t="s">
        <v>4886</v>
      </c>
      <c r="D1056" t="s">
        <v>725</v>
      </c>
      <c r="E1056" t="s">
        <v>198</v>
      </c>
      <c r="F1056">
        <v>64</v>
      </c>
      <c r="G1056" t="s">
        <v>11</v>
      </c>
      <c r="H1056" t="s">
        <v>12</v>
      </c>
      <c r="I1056" t="s">
        <v>21</v>
      </c>
      <c r="J1056" t="s">
        <v>23</v>
      </c>
      <c r="K1056" t="s">
        <v>22</v>
      </c>
      <c r="L1056">
        <v>5</v>
      </c>
      <c r="M1056" s="12">
        <v>54999</v>
      </c>
      <c r="N1056" s="12">
        <v>45099.18</v>
      </c>
      <c r="O1056">
        <v>5</v>
      </c>
      <c r="P1056" s="12">
        <v>261245.25</v>
      </c>
      <c r="Q1056" s="12">
        <v>225495.9</v>
      </c>
      <c r="R1056" s="12">
        <v>35749.350000000006</v>
      </c>
      <c r="S1056" t="s">
        <v>113</v>
      </c>
      <c r="T1056" t="s">
        <v>111</v>
      </c>
      <c r="U1056" t="s">
        <v>1196</v>
      </c>
    </row>
    <row r="1057" spans="1:21" x14ac:dyDescent="0.25">
      <c r="A1057" t="s">
        <v>2911</v>
      </c>
      <c r="B1057" s="8">
        <v>45703</v>
      </c>
      <c r="C1057" t="s">
        <v>2820</v>
      </c>
      <c r="D1057" t="s">
        <v>770</v>
      </c>
      <c r="E1057" t="s">
        <v>218</v>
      </c>
      <c r="F1057">
        <v>29</v>
      </c>
      <c r="G1057" t="s">
        <v>2</v>
      </c>
      <c r="H1057" t="s">
        <v>3</v>
      </c>
      <c r="I1057" t="s">
        <v>36</v>
      </c>
      <c r="J1057" t="s">
        <v>136</v>
      </c>
      <c r="K1057" t="s">
        <v>22</v>
      </c>
      <c r="L1057">
        <v>1</v>
      </c>
      <c r="M1057" s="12">
        <v>3590</v>
      </c>
      <c r="N1057" s="12">
        <v>2333.5</v>
      </c>
      <c r="O1057">
        <v>7</v>
      </c>
      <c r="P1057" s="12">
        <v>3338.7</v>
      </c>
      <c r="Q1057" s="12">
        <v>2333.5</v>
      </c>
      <c r="R1057" s="12">
        <v>1005.1999999999998</v>
      </c>
      <c r="S1057" t="s">
        <v>1246</v>
      </c>
      <c r="T1057" t="s">
        <v>110</v>
      </c>
      <c r="U1057" t="s">
        <v>1196</v>
      </c>
    </row>
    <row r="1058" spans="1:21" x14ac:dyDescent="0.25">
      <c r="A1058" t="s">
        <v>2912</v>
      </c>
      <c r="B1058" s="8">
        <v>45682</v>
      </c>
      <c r="C1058" t="s">
        <v>1675</v>
      </c>
      <c r="D1058" t="s">
        <v>1029</v>
      </c>
      <c r="E1058" t="s">
        <v>198</v>
      </c>
      <c r="F1058">
        <v>48</v>
      </c>
      <c r="G1058" t="s">
        <v>10</v>
      </c>
      <c r="H1058" t="s">
        <v>8</v>
      </c>
      <c r="I1058" t="s">
        <v>30</v>
      </c>
      <c r="J1058" t="s">
        <v>41</v>
      </c>
      <c r="K1058" t="s">
        <v>22</v>
      </c>
      <c r="L1058">
        <v>5</v>
      </c>
      <c r="M1058" s="12">
        <v>13749</v>
      </c>
      <c r="N1058" s="12">
        <v>10999.2</v>
      </c>
      <c r="O1058">
        <v>6</v>
      </c>
      <c r="P1058" s="12">
        <v>64620.299999999996</v>
      </c>
      <c r="Q1058" s="12">
        <v>54996</v>
      </c>
      <c r="R1058" s="12">
        <v>9624.2999999999956</v>
      </c>
      <c r="S1058" t="s">
        <v>1246</v>
      </c>
      <c r="T1058" t="s">
        <v>107</v>
      </c>
      <c r="U1058" t="s">
        <v>1209</v>
      </c>
    </row>
    <row r="1059" spans="1:21" x14ac:dyDescent="0.25">
      <c r="A1059" t="s">
        <v>2913</v>
      </c>
      <c r="B1059" s="8">
        <v>45870</v>
      </c>
      <c r="C1059" t="s">
        <v>3093</v>
      </c>
      <c r="D1059" t="s">
        <v>722</v>
      </c>
      <c r="E1059" t="s">
        <v>218</v>
      </c>
      <c r="F1059">
        <v>44</v>
      </c>
      <c r="G1059" t="s">
        <v>4</v>
      </c>
      <c r="H1059" t="s">
        <v>3</v>
      </c>
      <c r="I1059" t="s">
        <v>28</v>
      </c>
      <c r="J1059" t="s">
        <v>35</v>
      </c>
      <c r="K1059" t="s">
        <v>22</v>
      </c>
      <c r="L1059">
        <v>2</v>
      </c>
      <c r="M1059" s="12">
        <v>16499</v>
      </c>
      <c r="N1059" s="12">
        <v>14519.12</v>
      </c>
      <c r="O1059">
        <v>3</v>
      </c>
      <c r="P1059" s="12">
        <v>32008.059999999998</v>
      </c>
      <c r="Q1059" s="12">
        <v>29038.240000000002</v>
      </c>
      <c r="R1059" s="12">
        <v>2969.8199999999961</v>
      </c>
      <c r="S1059" t="s">
        <v>113</v>
      </c>
      <c r="T1059" t="s">
        <v>109</v>
      </c>
      <c r="U1059" t="s">
        <v>1203</v>
      </c>
    </row>
    <row r="1060" spans="1:21" x14ac:dyDescent="0.25">
      <c r="A1060" t="s">
        <v>2915</v>
      </c>
      <c r="B1060" s="8">
        <v>45672</v>
      </c>
      <c r="C1060" t="s">
        <v>5097</v>
      </c>
      <c r="D1060" t="s">
        <v>1109</v>
      </c>
      <c r="E1060" t="s">
        <v>218</v>
      </c>
      <c r="F1060">
        <v>44</v>
      </c>
      <c r="G1060" t="s">
        <v>16</v>
      </c>
      <c r="H1060" t="s">
        <v>15</v>
      </c>
      <c r="I1060" t="s">
        <v>24</v>
      </c>
      <c r="J1060" t="s">
        <v>25</v>
      </c>
      <c r="K1060" t="s">
        <v>22</v>
      </c>
      <c r="L1060">
        <v>3</v>
      </c>
      <c r="M1060" s="12">
        <v>35800</v>
      </c>
      <c r="N1060" s="12">
        <v>28640</v>
      </c>
      <c r="O1060">
        <v>10</v>
      </c>
      <c r="P1060" s="12">
        <v>96660</v>
      </c>
      <c r="Q1060" s="12">
        <v>85920</v>
      </c>
      <c r="R1060" s="12">
        <v>10740</v>
      </c>
      <c r="S1060" t="s">
        <v>1246</v>
      </c>
      <c r="T1060" t="s">
        <v>108</v>
      </c>
      <c r="U1060" t="s">
        <v>1199</v>
      </c>
    </row>
    <row r="1061" spans="1:21" x14ac:dyDescent="0.25">
      <c r="A1061" t="s">
        <v>2916</v>
      </c>
      <c r="B1061" s="8">
        <v>45993</v>
      </c>
      <c r="C1061" t="s">
        <v>2129</v>
      </c>
      <c r="D1061" t="s">
        <v>368</v>
      </c>
      <c r="E1061" t="s">
        <v>198</v>
      </c>
      <c r="F1061">
        <v>40</v>
      </c>
      <c r="G1061" t="s">
        <v>16</v>
      </c>
      <c r="H1061" t="s">
        <v>15</v>
      </c>
      <c r="I1061" t="s">
        <v>36</v>
      </c>
      <c r="J1061" t="s">
        <v>136</v>
      </c>
      <c r="K1061" t="s">
        <v>22</v>
      </c>
      <c r="L1061">
        <v>5</v>
      </c>
      <c r="M1061" s="12">
        <v>3590</v>
      </c>
      <c r="N1061" s="12">
        <v>2333.5</v>
      </c>
      <c r="O1061">
        <v>12</v>
      </c>
      <c r="P1061" s="12">
        <v>15796</v>
      </c>
      <c r="Q1061" s="12">
        <v>11667.5</v>
      </c>
      <c r="R1061" s="12">
        <v>4128.5</v>
      </c>
      <c r="S1061" t="s">
        <v>113</v>
      </c>
      <c r="T1061" t="s">
        <v>108</v>
      </c>
      <c r="U1061" t="s">
        <v>1203</v>
      </c>
    </row>
    <row r="1062" spans="1:21" x14ac:dyDescent="0.25">
      <c r="A1062" t="s">
        <v>2917</v>
      </c>
      <c r="B1062" s="8">
        <v>45676</v>
      </c>
      <c r="C1062" t="s">
        <v>4754</v>
      </c>
      <c r="D1062" t="s">
        <v>969</v>
      </c>
      <c r="E1062" t="s">
        <v>218</v>
      </c>
      <c r="F1062">
        <v>39</v>
      </c>
      <c r="G1062" t="s">
        <v>5</v>
      </c>
      <c r="H1062" t="s">
        <v>3</v>
      </c>
      <c r="I1062" t="s">
        <v>38</v>
      </c>
      <c r="J1062" t="s">
        <v>37</v>
      </c>
      <c r="K1062" t="s">
        <v>22</v>
      </c>
      <c r="L1062">
        <v>4</v>
      </c>
      <c r="M1062" s="12">
        <v>1650</v>
      </c>
      <c r="N1062" s="12">
        <v>990</v>
      </c>
      <c r="O1062">
        <v>6</v>
      </c>
      <c r="P1062" s="12">
        <v>6204</v>
      </c>
      <c r="Q1062" s="12">
        <v>3960</v>
      </c>
      <c r="R1062" s="12">
        <v>2244</v>
      </c>
      <c r="S1062" t="s">
        <v>113</v>
      </c>
      <c r="T1062" t="s">
        <v>110</v>
      </c>
      <c r="U1062" t="s">
        <v>1211</v>
      </c>
    </row>
    <row r="1063" spans="1:21" x14ac:dyDescent="0.25">
      <c r="A1063" t="s">
        <v>2918</v>
      </c>
      <c r="B1063" s="8">
        <v>45659</v>
      </c>
      <c r="C1063" t="s">
        <v>5096</v>
      </c>
      <c r="D1063" t="s">
        <v>701</v>
      </c>
      <c r="E1063" t="s">
        <v>198</v>
      </c>
      <c r="F1063">
        <v>20</v>
      </c>
      <c r="G1063" t="s">
        <v>14</v>
      </c>
      <c r="H1063" t="s">
        <v>15</v>
      </c>
      <c r="I1063" t="s">
        <v>59</v>
      </c>
      <c r="J1063" t="s">
        <v>73</v>
      </c>
      <c r="K1063" t="s">
        <v>64</v>
      </c>
      <c r="L1063">
        <v>2</v>
      </c>
      <c r="M1063" s="12">
        <v>120</v>
      </c>
      <c r="N1063" s="12">
        <v>81.599999999999994</v>
      </c>
      <c r="O1063">
        <v>8</v>
      </c>
      <c r="P1063" s="12">
        <v>220.8</v>
      </c>
      <c r="Q1063" s="12">
        <v>163.19999999999999</v>
      </c>
      <c r="R1063" s="12">
        <v>57.600000000000023</v>
      </c>
      <c r="S1063" t="s">
        <v>1246</v>
      </c>
      <c r="T1063" t="s">
        <v>107</v>
      </c>
      <c r="U1063" t="s">
        <v>1201</v>
      </c>
    </row>
    <row r="1064" spans="1:21" x14ac:dyDescent="0.25">
      <c r="A1064" t="s">
        <v>2919</v>
      </c>
      <c r="B1064" s="8">
        <v>45731</v>
      </c>
      <c r="C1064" t="s">
        <v>1772</v>
      </c>
      <c r="D1064" t="s">
        <v>695</v>
      </c>
      <c r="E1064" t="s">
        <v>198</v>
      </c>
      <c r="F1064">
        <v>21</v>
      </c>
      <c r="G1064" t="s">
        <v>14</v>
      </c>
      <c r="H1064" t="s">
        <v>15</v>
      </c>
      <c r="I1064" t="s">
        <v>45</v>
      </c>
      <c r="J1064" t="s">
        <v>46</v>
      </c>
      <c r="K1064" t="s">
        <v>43</v>
      </c>
      <c r="L1064">
        <v>4</v>
      </c>
      <c r="M1064" s="12">
        <v>11999</v>
      </c>
      <c r="N1064" s="12">
        <v>8999.25</v>
      </c>
      <c r="O1064">
        <v>7</v>
      </c>
      <c r="P1064" s="12">
        <v>44636.28</v>
      </c>
      <c r="Q1064" s="12">
        <v>35997</v>
      </c>
      <c r="R1064" s="12">
        <v>8639.2799999999988</v>
      </c>
      <c r="S1064" t="s">
        <v>1246</v>
      </c>
      <c r="T1064" t="s">
        <v>109</v>
      </c>
      <c r="U1064" t="s">
        <v>1201</v>
      </c>
    </row>
    <row r="1065" spans="1:21" x14ac:dyDescent="0.25">
      <c r="A1065" t="s">
        <v>2920</v>
      </c>
      <c r="B1065" s="8">
        <v>45725</v>
      </c>
      <c r="C1065" t="s">
        <v>1337</v>
      </c>
      <c r="D1065" t="s">
        <v>1183</v>
      </c>
      <c r="E1065" t="s">
        <v>198</v>
      </c>
      <c r="F1065">
        <v>37</v>
      </c>
      <c r="G1065" t="s">
        <v>11</v>
      </c>
      <c r="H1065" t="s">
        <v>12</v>
      </c>
      <c r="I1065" t="s">
        <v>55</v>
      </c>
      <c r="J1065" t="s">
        <v>65</v>
      </c>
      <c r="K1065" t="s">
        <v>64</v>
      </c>
      <c r="L1065">
        <v>5</v>
      </c>
      <c r="M1065" s="12">
        <v>80</v>
      </c>
      <c r="N1065" s="12">
        <v>56</v>
      </c>
      <c r="O1065">
        <v>1</v>
      </c>
      <c r="P1065" s="12">
        <v>396</v>
      </c>
      <c r="Q1065" s="12">
        <v>280</v>
      </c>
      <c r="R1065" s="12">
        <v>116</v>
      </c>
      <c r="S1065" t="s">
        <v>113</v>
      </c>
      <c r="T1065" t="s">
        <v>110</v>
      </c>
      <c r="U1065" t="s">
        <v>1198</v>
      </c>
    </row>
    <row r="1066" spans="1:21" x14ac:dyDescent="0.25">
      <c r="A1066" t="s">
        <v>2921</v>
      </c>
      <c r="B1066" s="8">
        <v>45910</v>
      </c>
      <c r="C1066" t="s">
        <v>3634</v>
      </c>
      <c r="D1066" t="s">
        <v>1052</v>
      </c>
      <c r="E1066" t="s">
        <v>198</v>
      </c>
      <c r="F1066">
        <v>64</v>
      </c>
      <c r="G1066" t="s">
        <v>7</v>
      </c>
      <c r="H1066" t="s">
        <v>8</v>
      </c>
      <c r="I1066" t="s">
        <v>24</v>
      </c>
      <c r="J1066" t="s">
        <v>25</v>
      </c>
      <c r="K1066" t="s">
        <v>22</v>
      </c>
      <c r="L1066">
        <v>5</v>
      </c>
      <c r="M1066" s="12">
        <v>35800</v>
      </c>
      <c r="N1066" s="12">
        <v>28640</v>
      </c>
      <c r="O1066">
        <v>4</v>
      </c>
      <c r="P1066" s="12">
        <v>171840</v>
      </c>
      <c r="Q1066" s="12">
        <v>143200</v>
      </c>
      <c r="R1066" s="12">
        <v>28640</v>
      </c>
      <c r="S1066" t="s">
        <v>1246</v>
      </c>
      <c r="T1066" t="s">
        <v>107</v>
      </c>
      <c r="U1066" t="s">
        <v>1199</v>
      </c>
    </row>
    <row r="1067" spans="1:21" x14ac:dyDescent="0.25">
      <c r="A1067" t="s">
        <v>2923</v>
      </c>
      <c r="B1067" s="8">
        <v>45818</v>
      </c>
      <c r="C1067" t="s">
        <v>1513</v>
      </c>
      <c r="D1067" t="s">
        <v>647</v>
      </c>
      <c r="E1067" t="s">
        <v>198</v>
      </c>
      <c r="F1067">
        <v>47</v>
      </c>
      <c r="G1067" t="s">
        <v>289</v>
      </c>
      <c r="H1067" t="s">
        <v>3</v>
      </c>
      <c r="I1067" t="s">
        <v>45</v>
      </c>
      <c r="J1067" t="s">
        <v>46</v>
      </c>
      <c r="K1067" t="s">
        <v>43</v>
      </c>
      <c r="L1067">
        <v>4</v>
      </c>
      <c r="M1067" s="12">
        <v>11999</v>
      </c>
      <c r="N1067" s="12">
        <v>8999.25</v>
      </c>
      <c r="O1067">
        <v>4</v>
      </c>
      <c r="P1067" s="12">
        <v>46076.159999999996</v>
      </c>
      <c r="Q1067" s="12">
        <v>35997</v>
      </c>
      <c r="R1067" s="12">
        <v>10079.159999999996</v>
      </c>
      <c r="S1067" t="s">
        <v>113</v>
      </c>
      <c r="T1067" t="s">
        <v>107</v>
      </c>
      <c r="U1067" t="s">
        <v>1205</v>
      </c>
    </row>
    <row r="1068" spans="1:21" x14ac:dyDescent="0.25">
      <c r="A1068" t="s">
        <v>2925</v>
      </c>
      <c r="B1068" s="8">
        <v>45838</v>
      </c>
      <c r="C1068" t="s">
        <v>4666</v>
      </c>
      <c r="D1068" t="s">
        <v>1173</v>
      </c>
      <c r="E1068" t="s">
        <v>218</v>
      </c>
      <c r="F1068">
        <v>18</v>
      </c>
      <c r="G1068" t="s">
        <v>11</v>
      </c>
      <c r="H1068" t="s">
        <v>12</v>
      </c>
      <c r="I1068" t="s">
        <v>36</v>
      </c>
      <c r="J1068" t="s">
        <v>136</v>
      </c>
      <c r="K1068" t="s">
        <v>22</v>
      </c>
      <c r="L1068">
        <v>4</v>
      </c>
      <c r="M1068" s="12">
        <v>3590</v>
      </c>
      <c r="N1068" s="12">
        <v>2333.5</v>
      </c>
      <c r="O1068">
        <v>8</v>
      </c>
      <c r="P1068" s="12">
        <v>13211.2</v>
      </c>
      <c r="Q1068" s="12">
        <v>9334</v>
      </c>
      <c r="R1068" s="12">
        <v>3877.2000000000007</v>
      </c>
      <c r="S1068" t="s">
        <v>1249</v>
      </c>
      <c r="T1068" t="s">
        <v>108</v>
      </c>
      <c r="U1068" t="s">
        <v>1209</v>
      </c>
    </row>
    <row r="1069" spans="1:21" x14ac:dyDescent="0.25">
      <c r="A1069" t="s">
        <v>2927</v>
      </c>
      <c r="B1069" s="8">
        <v>45803</v>
      </c>
      <c r="C1069" t="s">
        <v>2369</v>
      </c>
      <c r="D1069" t="s">
        <v>816</v>
      </c>
      <c r="E1069" t="s">
        <v>218</v>
      </c>
      <c r="F1069">
        <v>30</v>
      </c>
      <c r="G1069" t="s">
        <v>2</v>
      </c>
      <c r="H1069" t="s">
        <v>3</v>
      </c>
      <c r="I1069" t="s">
        <v>40</v>
      </c>
      <c r="J1069" t="s">
        <v>39</v>
      </c>
      <c r="K1069" t="s">
        <v>22</v>
      </c>
      <c r="L1069">
        <v>4</v>
      </c>
      <c r="M1069" s="12">
        <v>1100</v>
      </c>
      <c r="N1069" s="12">
        <v>715</v>
      </c>
      <c r="O1069">
        <v>7</v>
      </c>
      <c r="P1069" s="12">
        <v>4091.9999999999995</v>
      </c>
      <c r="Q1069" s="12">
        <v>2860</v>
      </c>
      <c r="R1069" s="12">
        <v>1231.9999999999995</v>
      </c>
      <c r="S1069" t="s">
        <v>1246</v>
      </c>
      <c r="T1069" t="s">
        <v>107</v>
      </c>
      <c r="U1069" t="s">
        <v>1209</v>
      </c>
    </row>
    <row r="1070" spans="1:21" x14ac:dyDescent="0.25">
      <c r="A1070" t="s">
        <v>2928</v>
      </c>
      <c r="B1070" s="8">
        <v>45821</v>
      </c>
      <c r="C1070" t="s">
        <v>1959</v>
      </c>
      <c r="D1070" t="s">
        <v>425</v>
      </c>
      <c r="E1070" t="s">
        <v>218</v>
      </c>
      <c r="F1070">
        <v>40</v>
      </c>
      <c r="G1070" t="s">
        <v>7</v>
      </c>
      <c r="H1070" t="s">
        <v>8</v>
      </c>
      <c r="I1070" t="s">
        <v>36</v>
      </c>
      <c r="J1070" t="s">
        <v>136</v>
      </c>
      <c r="K1070" t="s">
        <v>22</v>
      </c>
      <c r="L1070">
        <v>1</v>
      </c>
      <c r="M1070" s="12">
        <v>3590</v>
      </c>
      <c r="N1070" s="12">
        <v>2333.5</v>
      </c>
      <c r="O1070">
        <v>8</v>
      </c>
      <c r="P1070" s="12">
        <v>3302.8</v>
      </c>
      <c r="Q1070" s="12">
        <v>2333.5</v>
      </c>
      <c r="R1070" s="12">
        <v>969.30000000000018</v>
      </c>
      <c r="S1070" t="s">
        <v>113</v>
      </c>
      <c r="T1070" t="s">
        <v>108</v>
      </c>
      <c r="U1070" t="s">
        <v>1199</v>
      </c>
    </row>
    <row r="1071" spans="1:21" x14ac:dyDescent="0.25">
      <c r="A1071" t="s">
        <v>2930</v>
      </c>
      <c r="B1071" s="8">
        <v>45743</v>
      </c>
      <c r="C1071" t="s">
        <v>4935</v>
      </c>
      <c r="D1071" t="s">
        <v>1182</v>
      </c>
      <c r="E1071" t="s">
        <v>218</v>
      </c>
      <c r="F1071">
        <v>24</v>
      </c>
      <c r="G1071" t="s">
        <v>4</v>
      </c>
      <c r="H1071" t="s">
        <v>3</v>
      </c>
      <c r="I1071" t="s">
        <v>38</v>
      </c>
      <c r="J1071" t="s">
        <v>37</v>
      </c>
      <c r="K1071" t="s">
        <v>22</v>
      </c>
      <c r="L1071">
        <v>2</v>
      </c>
      <c r="M1071" s="12">
        <v>1650</v>
      </c>
      <c r="N1071" s="12">
        <v>990</v>
      </c>
      <c r="O1071">
        <v>4</v>
      </c>
      <c r="P1071" s="12">
        <v>3168</v>
      </c>
      <c r="Q1071" s="12">
        <v>1980</v>
      </c>
      <c r="R1071" s="12">
        <v>1188</v>
      </c>
      <c r="S1071" t="s">
        <v>1246</v>
      </c>
      <c r="T1071" t="s">
        <v>108</v>
      </c>
      <c r="U1071" t="s">
        <v>1211</v>
      </c>
    </row>
    <row r="1072" spans="1:21" x14ac:dyDescent="0.25">
      <c r="A1072" t="s">
        <v>2932</v>
      </c>
      <c r="B1072" s="8">
        <v>45669</v>
      </c>
      <c r="C1072" t="s">
        <v>3701</v>
      </c>
      <c r="D1072" t="s">
        <v>372</v>
      </c>
      <c r="E1072" t="s">
        <v>218</v>
      </c>
      <c r="F1072">
        <v>28</v>
      </c>
      <c r="G1072" t="s">
        <v>289</v>
      </c>
      <c r="H1072" t="s">
        <v>3</v>
      </c>
      <c r="I1072" t="s">
        <v>21</v>
      </c>
      <c r="J1072" t="s">
        <v>23</v>
      </c>
      <c r="K1072" t="s">
        <v>22</v>
      </c>
      <c r="L1072">
        <v>5</v>
      </c>
      <c r="M1072" s="12">
        <v>54999</v>
      </c>
      <c r="N1072" s="12">
        <v>45099.18</v>
      </c>
      <c r="O1072">
        <v>6</v>
      </c>
      <c r="P1072" s="12">
        <v>258495.3</v>
      </c>
      <c r="Q1072" s="12">
        <v>225495.9</v>
      </c>
      <c r="R1072" s="12">
        <v>32999.399999999994</v>
      </c>
      <c r="S1072" t="s">
        <v>113</v>
      </c>
      <c r="T1072" t="s">
        <v>107</v>
      </c>
      <c r="U1072" t="s">
        <v>1201</v>
      </c>
    </row>
    <row r="1073" spans="1:21" x14ac:dyDescent="0.25">
      <c r="A1073" t="s">
        <v>2934</v>
      </c>
      <c r="B1073" s="8">
        <v>45825</v>
      </c>
      <c r="C1073" t="s">
        <v>3037</v>
      </c>
      <c r="D1073" t="s">
        <v>677</v>
      </c>
      <c r="E1073" t="s">
        <v>198</v>
      </c>
      <c r="F1073">
        <v>57</v>
      </c>
      <c r="G1073" t="s">
        <v>4</v>
      </c>
      <c r="H1073" t="s">
        <v>3</v>
      </c>
      <c r="I1073" t="s">
        <v>49</v>
      </c>
      <c r="J1073" t="s">
        <v>56</v>
      </c>
      <c r="K1073" t="s">
        <v>43</v>
      </c>
      <c r="L1073">
        <v>4</v>
      </c>
      <c r="M1073" s="12">
        <v>31999</v>
      </c>
      <c r="N1073" s="12">
        <v>25599.200000000001</v>
      </c>
      <c r="O1073">
        <v>5</v>
      </c>
      <c r="P1073" s="12">
        <v>121596.2</v>
      </c>
      <c r="Q1073" s="12">
        <v>102396.8</v>
      </c>
      <c r="R1073" s="12">
        <v>19199.399999999994</v>
      </c>
      <c r="S1073" t="s">
        <v>1246</v>
      </c>
      <c r="T1073" t="s">
        <v>110</v>
      </c>
      <c r="U1073" t="s">
        <v>1194</v>
      </c>
    </row>
    <row r="1074" spans="1:21" x14ac:dyDescent="0.25">
      <c r="A1074" t="s">
        <v>2936</v>
      </c>
      <c r="B1074" s="8">
        <v>45947</v>
      </c>
      <c r="C1074" t="s">
        <v>1722</v>
      </c>
      <c r="D1074" t="s">
        <v>373</v>
      </c>
      <c r="E1074" t="s">
        <v>198</v>
      </c>
      <c r="F1074">
        <v>32</v>
      </c>
      <c r="G1074" t="s">
        <v>9</v>
      </c>
      <c r="H1074" t="s">
        <v>8</v>
      </c>
      <c r="I1074" t="s">
        <v>38</v>
      </c>
      <c r="J1074" t="s">
        <v>37</v>
      </c>
      <c r="K1074" t="s">
        <v>22</v>
      </c>
      <c r="L1074">
        <v>1</v>
      </c>
      <c r="M1074" s="12">
        <v>1650</v>
      </c>
      <c r="N1074" s="12">
        <v>990</v>
      </c>
      <c r="O1074">
        <v>3</v>
      </c>
      <c r="P1074" s="12">
        <v>1600.5</v>
      </c>
      <c r="Q1074" s="12">
        <v>990</v>
      </c>
      <c r="R1074" s="12">
        <v>610.5</v>
      </c>
      <c r="S1074" t="s">
        <v>1246</v>
      </c>
      <c r="T1074" t="s">
        <v>107</v>
      </c>
      <c r="U1074" t="s">
        <v>1203</v>
      </c>
    </row>
    <row r="1075" spans="1:21" x14ac:dyDescent="0.25">
      <c r="A1075" t="s">
        <v>2937</v>
      </c>
      <c r="B1075" s="8">
        <v>45869</v>
      </c>
      <c r="C1075" t="s">
        <v>2240</v>
      </c>
      <c r="D1075" t="s">
        <v>1096</v>
      </c>
      <c r="E1075" t="s">
        <v>218</v>
      </c>
      <c r="F1075">
        <v>19</v>
      </c>
      <c r="G1075" t="s">
        <v>289</v>
      </c>
      <c r="H1075" t="s">
        <v>3</v>
      </c>
      <c r="I1075" t="s">
        <v>49</v>
      </c>
      <c r="J1075" t="s">
        <v>56</v>
      </c>
      <c r="K1075" t="s">
        <v>43</v>
      </c>
      <c r="L1075">
        <v>4</v>
      </c>
      <c r="M1075" s="12">
        <v>31999</v>
      </c>
      <c r="N1075" s="12">
        <v>25599.200000000001</v>
      </c>
      <c r="O1075">
        <v>6</v>
      </c>
      <c r="P1075" s="12">
        <v>120316.23999999999</v>
      </c>
      <c r="Q1075" s="12">
        <v>102396.8</v>
      </c>
      <c r="R1075" s="12">
        <v>17919.439999999988</v>
      </c>
      <c r="S1075" t="s">
        <v>1246</v>
      </c>
      <c r="T1075" t="s">
        <v>109</v>
      </c>
      <c r="U1075" t="s">
        <v>1207</v>
      </c>
    </row>
    <row r="1076" spans="1:21" x14ac:dyDescent="0.25">
      <c r="A1076" t="s">
        <v>2938</v>
      </c>
      <c r="B1076" s="8">
        <v>45679</v>
      </c>
      <c r="C1076" t="s">
        <v>2842</v>
      </c>
      <c r="D1076" t="s">
        <v>397</v>
      </c>
      <c r="E1076" t="s">
        <v>198</v>
      </c>
      <c r="F1076">
        <v>31</v>
      </c>
      <c r="G1076" t="s">
        <v>10</v>
      </c>
      <c r="H1076" t="s">
        <v>8</v>
      </c>
      <c r="I1076" t="s">
        <v>59</v>
      </c>
      <c r="J1076" t="s">
        <v>73</v>
      </c>
      <c r="K1076" t="s">
        <v>64</v>
      </c>
      <c r="L1076">
        <v>2</v>
      </c>
      <c r="M1076" s="12">
        <v>120</v>
      </c>
      <c r="N1076" s="12">
        <v>81.599999999999994</v>
      </c>
      <c r="O1076">
        <v>12</v>
      </c>
      <c r="P1076" s="12">
        <v>211.2</v>
      </c>
      <c r="Q1076" s="12">
        <v>163.19999999999999</v>
      </c>
      <c r="R1076" s="12">
        <v>48</v>
      </c>
      <c r="S1076" t="s">
        <v>113</v>
      </c>
      <c r="T1076" t="s">
        <v>108</v>
      </c>
      <c r="U1076" t="s">
        <v>1205</v>
      </c>
    </row>
    <row r="1077" spans="1:21" x14ac:dyDescent="0.25">
      <c r="A1077" t="s">
        <v>2939</v>
      </c>
      <c r="B1077" s="8">
        <v>45787</v>
      </c>
      <c r="C1077" t="s">
        <v>1376</v>
      </c>
      <c r="D1077" t="s">
        <v>1011</v>
      </c>
      <c r="E1077" t="s">
        <v>218</v>
      </c>
      <c r="F1077">
        <v>51</v>
      </c>
      <c r="G1077" t="s">
        <v>7</v>
      </c>
      <c r="H1077" t="s">
        <v>8</v>
      </c>
      <c r="I1077" t="s">
        <v>42</v>
      </c>
      <c r="J1077" t="s">
        <v>44</v>
      </c>
      <c r="K1077" t="s">
        <v>43</v>
      </c>
      <c r="L1077">
        <v>5</v>
      </c>
      <c r="M1077" s="12">
        <v>8999</v>
      </c>
      <c r="N1077" s="12">
        <v>6479.28</v>
      </c>
      <c r="O1077">
        <v>3</v>
      </c>
      <c r="P1077" s="12">
        <v>43645.15</v>
      </c>
      <c r="Q1077" s="12">
        <v>32396.399999999998</v>
      </c>
      <c r="R1077" s="12">
        <v>11248.750000000004</v>
      </c>
      <c r="S1077" t="s">
        <v>1246</v>
      </c>
      <c r="T1077" t="s">
        <v>110</v>
      </c>
      <c r="U1077" t="s">
        <v>1196</v>
      </c>
    </row>
    <row r="1078" spans="1:21" x14ac:dyDescent="0.25">
      <c r="A1078" t="s">
        <v>2940</v>
      </c>
      <c r="B1078" s="8">
        <v>45724</v>
      </c>
      <c r="C1078" t="s">
        <v>2627</v>
      </c>
      <c r="D1078" t="s">
        <v>970</v>
      </c>
      <c r="E1078" t="s">
        <v>198</v>
      </c>
      <c r="F1078">
        <v>58</v>
      </c>
      <c r="G1078" t="s">
        <v>16</v>
      </c>
      <c r="H1078" t="s">
        <v>15</v>
      </c>
      <c r="I1078" t="s">
        <v>21</v>
      </c>
      <c r="J1078" t="s">
        <v>23</v>
      </c>
      <c r="K1078" t="s">
        <v>22</v>
      </c>
      <c r="L1078">
        <v>1</v>
      </c>
      <c r="M1078" s="12">
        <v>54999</v>
      </c>
      <c r="N1078" s="12">
        <v>45099.18</v>
      </c>
      <c r="O1078">
        <v>4</v>
      </c>
      <c r="P1078" s="12">
        <v>52799.040000000001</v>
      </c>
      <c r="Q1078" s="12">
        <v>45099.18</v>
      </c>
      <c r="R1078" s="12">
        <v>7699.8600000000006</v>
      </c>
      <c r="S1078" t="s">
        <v>1246</v>
      </c>
      <c r="T1078" t="s">
        <v>108</v>
      </c>
      <c r="U1078" t="s">
        <v>1207</v>
      </c>
    </row>
    <row r="1079" spans="1:21" x14ac:dyDescent="0.25">
      <c r="A1079" t="s">
        <v>2942</v>
      </c>
      <c r="B1079" s="8">
        <v>45990</v>
      </c>
      <c r="C1079" t="s">
        <v>1682</v>
      </c>
      <c r="D1079" t="s">
        <v>410</v>
      </c>
      <c r="E1079" t="s">
        <v>198</v>
      </c>
      <c r="F1079">
        <v>43</v>
      </c>
      <c r="G1079" t="s">
        <v>10</v>
      </c>
      <c r="H1079" t="s">
        <v>8</v>
      </c>
      <c r="I1079" t="s">
        <v>61</v>
      </c>
      <c r="J1079" t="s">
        <v>146</v>
      </c>
      <c r="K1079" t="s">
        <v>64</v>
      </c>
      <c r="L1079">
        <v>5</v>
      </c>
      <c r="M1079" s="12">
        <v>250</v>
      </c>
      <c r="N1079" s="12">
        <v>155</v>
      </c>
      <c r="O1079">
        <v>8</v>
      </c>
      <c r="P1079" s="12">
        <v>1150</v>
      </c>
      <c r="Q1079" s="12">
        <v>775</v>
      </c>
      <c r="R1079" s="12">
        <v>375</v>
      </c>
      <c r="S1079" t="s">
        <v>1246</v>
      </c>
      <c r="T1079" t="s">
        <v>107</v>
      </c>
      <c r="U1079" t="s">
        <v>1194</v>
      </c>
    </row>
    <row r="1080" spans="1:21" x14ac:dyDescent="0.25">
      <c r="A1080" t="s">
        <v>2944</v>
      </c>
      <c r="B1080" s="8">
        <v>45802</v>
      </c>
      <c r="C1080" t="s">
        <v>2729</v>
      </c>
      <c r="D1080" t="s">
        <v>1037</v>
      </c>
      <c r="E1080" t="s">
        <v>218</v>
      </c>
      <c r="F1080">
        <v>62</v>
      </c>
      <c r="G1080" t="s">
        <v>10</v>
      </c>
      <c r="H1080" t="s">
        <v>8</v>
      </c>
      <c r="I1080" t="s">
        <v>49</v>
      </c>
      <c r="J1080" t="s">
        <v>56</v>
      </c>
      <c r="K1080" t="s">
        <v>43</v>
      </c>
      <c r="L1080">
        <v>5</v>
      </c>
      <c r="M1080" s="12">
        <v>31999</v>
      </c>
      <c r="N1080" s="12">
        <v>25599.200000000001</v>
      </c>
      <c r="O1080">
        <v>2</v>
      </c>
      <c r="P1080" s="12">
        <v>156795.1</v>
      </c>
      <c r="Q1080" s="12">
        <v>127996</v>
      </c>
      <c r="R1080" s="12">
        <v>28799.100000000006</v>
      </c>
      <c r="S1080" t="s">
        <v>113</v>
      </c>
      <c r="T1080" t="s">
        <v>108</v>
      </c>
      <c r="U1080" t="s">
        <v>1205</v>
      </c>
    </row>
    <row r="1081" spans="1:21" x14ac:dyDescent="0.25">
      <c r="A1081" t="s">
        <v>2945</v>
      </c>
      <c r="B1081" s="8">
        <v>45671</v>
      </c>
      <c r="C1081" t="s">
        <v>1632</v>
      </c>
      <c r="D1081" t="s">
        <v>590</v>
      </c>
      <c r="E1081" t="s">
        <v>218</v>
      </c>
      <c r="F1081">
        <v>53</v>
      </c>
      <c r="G1081" t="s">
        <v>9</v>
      </c>
      <c r="H1081" t="s">
        <v>8</v>
      </c>
      <c r="I1081" t="s">
        <v>57</v>
      </c>
      <c r="J1081" t="s">
        <v>67</v>
      </c>
      <c r="K1081" t="s">
        <v>64</v>
      </c>
      <c r="L1081">
        <v>1</v>
      </c>
      <c r="M1081" s="12">
        <v>150</v>
      </c>
      <c r="N1081" s="12">
        <v>97.5</v>
      </c>
      <c r="O1081">
        <v>8</v>
      </c>
      <c r="P1081" s="12">
        <v>138</v>
      </c>
      <c r="Q1081" s="12">
        <v>97.5</v>
      </c>
      <c r="R1081" s="12">
        <v>40.5</v>
      </c>
      <c r="S1081" t="s">
        <v>1246</v>
      </c>
      <c r="T1081" t="s">
        <v>109</v>
      </c>
      <c r="U1081" t="s">
        <v>1194</v>
      </c>
    </row>
    <row r="1082" spans="1:21" x14ac:dyDescent="0.25">
      <c r="A1082" t="s">
        <v>2946</v>
      </c>
      <c r="B1082" s="8">
        <v>45832</v>
      </c>
      <c r="C1082" t="s">
        <v>5088</v>
      </c>
      <c r="D1082" t="s">
        <v>965</v>
      </c>
      <c r="E1082" t="s">
        <v>198</v>
      </c>
      <c r="F1082">
        <v>54</v>
      </c>
      <c r="G1082" t="s">
        <v>2</v>
      </c>
      <c r="H1082" t="s">
        <v>3</v>
      </c>
      <c r="I1082" t="s">
        <v>57</v>
      </c>
      <c r="J1082" t="s">
        <v>67</v>
      </c>
      <c r="K1082" t="s">
        <v>64</v>
      </c>
      <c r="L1082">
        <v>3</v>
      </c>
      <c r="M1082" s="12">
        <v>150</v>
      </c>
      <c r="N1082" s="12">
        <v>97.5</v>
      </c>
      <c r="O1082">
        <v>10</v>
      </c>
      <c r="P1082" s="12">
        <v>405</v>
      </c>
      <c r="Q1082" s="12">
        <v>292.5</v>
      </c>
      <c r="R1082" s="12">
        <v>112.5</v>
      </c>
      <c r="S1082" t="s">
        <v>113</v>
      </c>
      <c r="T1082" t="s">
        <v>108</v>
      </c>
      <c r="U1082" t="s">
        <v>1201</v>
      </c>
    </row>
    <row r="1083" spans="1:21" x14ac:dyDescent="0.25">
      <c r="A1083" t="s">
        <v>2947</v>
      </c>
      <c r="B1083" s="8">
        <v>45893</v>
      </c>
      <c r="C1083" t="s">
        <v>2878</v>
      </c>
      <c r="D1083" t="s">
        <v>525</v>
      </c>
      <c r="E1083" t="s">
        <v>198</v>
      </c>
      <c r="F1083">
        <v>24</v>
      </c>
      <c r="G1083" t="s">
        <v>16</v>
      </c>
      <c r="H1083" t="s">
        <v>15</v>
      </c>
      <c r="I1083" t="s">
        <v>40</v>
      </c>
      <c r="J1083" t="s">
        <v>39</v>
      </c>
      <c r="K1083" t="s">
        <v>22</v>
      </c>
      <c r="L1083">
        <v>5</v>
      </c>
      <c r="M1083" s="12">
        <v>1100</v>
      </c>
      <c r="N1083" s="12">
        <v>715</v>
      </c>
      <c r="O1083">
        <v>4</v>
      </c>
      <c r="P1083" s="12">
        <v>5280</v>
      </c>
      <c r="Q1083" s="12">
        <v>3575</v>
      </c>
      <c r="R1083" s="12">
        <v>1705</v>
      </c>
      <c r="S1083" t="s">
        <v>1246</v>
      </c>
      <c r="T1083" t="s">
        <v>108</v>
      </c>
      <c r="U1083" t="s">
        <v>1209</v>
      </c>
    </row>
    <row r="1084" spans="1:21" x14ac:dyDescent="0.25">
      <c r="A1084" t="s">
        <v>2948</v>
      </c>
      <c r="B1084" s="8">
        <v>45968</v>
      </c>
      <c r="C1084" t="s">
        <v>2199</v>
      </c>
      <c r="D1084" t="s">
        <v>1161</v>
      </c>
      <c r="E1084" t="s">
        <v>218</v>
      </c>
      <c r="F1084">
        <v>58</v>
      </c>
      <c r="G1084" t="s">
        <v>7</v>
      </c>
      <c r="H1084" t="s">
        <v>8</v>
      </c>
      <c r="I1084" t="s">
        <v>24</v>
      </c>
      <c r="J1084" t="s">
        <v>25</v>
      </c>
      <c r="K1084" t="s">
        <v>22</v>
      </c>
      <c r="L1084">
        <v>1</v>
      </c>
      <c r="M1084" s="12">
        <v>35800</v>
      </c>
      <c r="N1084" s="12">
        <v>28640</v>
      </c>
      <c r="O1084">
        <v>18</v>
      </c>
      <c r="P1084" s="12">
        <v>29356.000000000004</v>
      </c>
      <c r="Q1084" s="12">
        <v>28640</v>
      </c>
      <c r="R1084" s="12">
        <v>716.00000000000364</v>
      </c>
      <c r="S1084" t="s">
        <v>1246</v>
      </c>
      <c r="T1084" t="s">
        <v>108</v>
      </c>
      <c r="U1084" t="s">
        <v>1203</v>
      </c>
    </row>
    <row r="1085" spans="1:21" x14ac:dyDescent="0.25">
      <c r="A1085" t="s">
        <v>2949</v>
      </c>
      <c r="B1085" s="8">
        <v>45880</v>
      </c>
      <c r="C1085" t="s">
        <v>2003</v>
      </c>
      <c r="D1085" t="s">
        <v>1089</v>
      </c>
      <c r="E1085" t="s">
        <v>198</v>
      </c>
      <c r="F1085">
        <v>49</v>
      </c>
      <c r="G1085" t="s">
        <v>4</v>
      </c>
      <c r="H1085" t="s">
        <v>3</v>
      </c>
      <c r="I1085" t="s">
        <v>34</v>
      </c>
      <c r="J1085" t="s">
        <v>137</v>
      </c>
      <c r="K1085" t="s">
        <v>22</v>
      </c>
      <c r="L1085">
        <v>1</v>
      </c>
      <c r="M1085" s="12">
        <v>6900</v>
      </c>
      <c r="N1085" s="12">
        <v>5727</v>
      </c>
      <c r="O1085">
        <v>8</v>
      </c>
      <c r="P1085" s="12">
        <v>6348</v>
      </c>
      <c r="Q1085" s="12">
        <v>5727</v>
      </c>
      <c r="R1085" s="12">
        <v>621</v>
      </c>
      <c r="S1085" t="s">
        <v>113</v>
      </c>
      <c r="T1085" t="s">
        <v>107</v>
      </c>
      <c r="U1085" t="s">
        <v>1198</v>
      </c>
    </row>
    <row r="1086" spans="1:21" x14ac:dyDescent="0.25">
      <c r="A1086" t="s">
        <v>2950</v>
      </c>
      <c r="B1086" s="8">
        <v>45963</v>
      </c>
      <c r="C1086" t="s">
        <v>2881</v>
      </c>
      <c r="D1086" t="s">
        <v>1126</v>
      </c>
      <c r="E1086" t="s">
        <v>218</v>
      </c>
      <c r="F1086">
        <v>45</v>
      </c>
      <c r="G1086" t="s">
        <v>9</v>
      </c>
      <c r="H1086" t="s">
        <v>8</v>
      </c>
      <c r="I1086" t="s">
        <v>59</v>
      </c>
      <c r="J1086" t="s">
        <v>73</v>
      </c>
      <c r="K1086" t="s">
        <v>64</v>
      </c>
      <c r="L1086">
        <v>3</v>
      </c>
      <c r="M1086" s="12">
        <v>120</v>
      </c>
      <c r="N1086" s="12">
        <v>81.599999999999994</v>
      </c>
      <c r="O1086">
        <v>8</v>
      </c>
      <c r="P1086" s="12">
        <v>331.2</v>
      </c>
      <c r="Q1086" s="12">
        <v>244.79999999999998</v>
      </c>
      <c r="R1086" s="12">
        <v>86.4</v>
      </c>
      <c r="S1086" t="s">
        <v>1246</v>
      </c>
      <c r="T1086" t="s">
        <v>109</v>
      </c>
      <c r="U1086" t="s">
        <v>1203</v>
      </c>
    </row>
    <row r="1087" spans="1:21" x14ac:dyDescent="0.25">
      <c r="A1087" t="s">
        <v>2952</v>
      </c>
      <c r="B1087" s="8">
        <v>45709</v>
      </c>
      <c r="C1087" t="s">
        <v>4935</v>
      </c>
      <c r="D1087" t="s">
        <v>1182</v>
      </c>
      <c r="E1087" t="s">
        <v>218</v>
      </c>
      <c r="F1087">
        <v>24</v>
      </c>
      <c r="G1087" t="s">
        <v>4</v>
      </c>
      <c r="H1087" t="s">
        <v>3</v>
      </c>
      <c r="I1087" t="s">
        <v>32</v>
      </c>
      <c r="J1087" t="s">
        <v>29</v>
      </c>
      <c r="K1087" t="s">
        <v>22</v>
      </c>
      <c r="L1087">
        <v>5</v>
      </c>
      <c r="M1087" s="12">
        <v>9500</v>
      </c>
      <c r="N1087" s="12">
        <v>6650</v>
      </c>
      <c r="O1087">
        <v>6</v>
      </c>
      <c r="P1087" s="12">
        <v>44650</v>
      </c>
      <c r="Q1087" s="12">
        <v>33250</v>
      </c>
      <c r="R1087" s="12">
        <v>11400</v>
      </c>
      <c r="S1087" t="s">
        <v>113</v>
      </c>
      <c r="T1087" t="s">
        <v>107</v>
      </c>
      <c r="U1087" t="s">
        <v>1201</v>
      </c>
    </row>
    <row r="1088" spans="1:21" x14ac:dyDescent="0.25">
      <c r="A1088" t="s">
        <v>2953</v>
      </c>
      <c r="B1088" s="8">
        <v>45759</v>
      </c>
      <c r="C1088" t="s">
        <v>4569</v>
      </c>
      <c r="D1088" t="s">
        <v>1079</v>
      </c>
      <c r="E1088" t="s">
        <v>218</v>
      </c>
      <c r="F1088">
        <v>65</v>
      </c>
      <c r="G1088" t="s">
        <v>4</v>
      </c>
      <c r="H1088" t="s">
        <v>3</v>
      </c>
      <c r="I1088" t="s">
        <v>32</v>
      </c>
      <c r="J1088" t="s">
        <v>29</v>
      </c>
      <c r="K1088" t="s">
        <v>22</v>
      </c>
      <c r="L1088">
        <v>2</v>
      </c>
      <c r="M1088" s="12">
        <v>9500</v>
      </c>
      <c r="N1088" s="12">
        <v>6650</v>
      </c>
      <c r="O1088">
        <v>8</v>
      </c>
      <c r="P1088" s="12">
        <v>17480</v>
      </c>
      <c r="Q1088" s="12">
        <v>13300</v>
      </c>
      <c r="R1088" s="12">
        <v>4180</v>
      </c>
      <c r="S1088" t="s">
        <v>1246</v>
      </c>
      <c r="T1088" t="s">
        <v>107</v>
      </c>
      <c r="U1088" t="s">
        <v>1203</v>
      </c>
    </row>
    <row r="1089" spans="1:21" x14ac:dyDescent="0.25">
      <c r="A1089" t="s">
        <v>2954</v>
      </c>
      <c r="B1089" s="8">
        <v>45852</v>
      </c>
      <c r="C1089" t="s">
        <v>2630</v>
      </c>
      <c r="D1089" t="s">
        <v>437</v>
      </c>
      <c r="E1089" t="s">
        <v>198</v>
      </c>
      <c r="F1089">
        <v>36</v>
      </c>
      <c r="G1089" t="s">
        <v>16</v>
      </c>
      <c r="H1089" t="s">
        <v>15</v>
      </c>
      <c r="I1089" t="s">
        <v>59</v>
      </c>
      <c r="J1089" t="s">
        <v>73</v>
      </c>
      <c r="K1089" t="s">
        <v>64</v>
      </c>
      <c r="L1089">
        <v>4</v>
      </c>
      <c r="M1089" s="12">
        <v>120</v>
      </c>
      <c r="N1089" s="12">
        <v>81.599999999999994</v>
      </c>
      <c r="O1089">
        <v>1</v>
      </c>
      <c r="P1089" s="12">
        <v>475.2</v>
      </c>
      <c r="Q1089" s="12">
        <v>326.39999999999998</v>
      </c>
      <c r="R1089" s="12">
        <v>148.80000000000001</v>
      </c>
      <c r="S1089" t="s">
        <v>1246</v>
      </c>
      <c r="T1089" t="s">
        <v>107</v>
      </c>
      <c r="U1089" t="s">
        <v>1205</v>
      </c>
    </row>
    <row r="1090" spans="1:21" x14ac:dyDescent="0.25">
      <c r="A1090" t="s">
        <v>2955</v>
      </c>
      <c r="B1090" s="8">
        <v>45717</v>
      </c>
      <c r="C1090" t="s">
        <v>3185</v>
      </c>
      <c r="D1090" t="s">
        <v>848</v>
      </c>
      <c r="E1090" t="s">
        <v>218</v>
      </c>
      <c r="F1090">
        <v>47</v>
      </c>
      <c r="G1090" t="s">
        <v>10</v>
      </c>
      <c r="H1090" t="s">
        <v>8</v>
      </c>
      <c r="I1090" t="s">
        <v>57</v>
      </c>
      <c r="J1090" t="s">
        <v>67</v>
      </c>
      <c r="K1090" t="s">
        <v>64</v>
      </c>
      <c r="L1090">
        <v>4</v>
      </c>
      <c r="M1090" s="12">
        <v>150</v>
      </c>
      <c r="N1090" s="12">
        <v>97.5</v>
      </c>
      <c r="O1090">
        <v>4</v>
      </c>
      <c r="P1090" s="12">
        <v>576</v>
      </c>
      <c r="Q1090" s="12">
        <v>390</v>
      </c>
      <c r="R1090" s="12">
        <v>186</v>
      </c>
      <c r="S1090" t="s">
        <v>1246</v>
      </c>
      <c r="T1090" t="s">
        <v>110</v>
      </c>
      <c r="U1090" t="s">
        <v>1198</v>
      </c>
    </row>
    <row r="1091" spans="1:21" x14ac:dyDescent="0.25">
      <c r="A1091" t="s">
        <v>2956</v>
      </c>
      <c r="B1091" s="8">
        <v>45766</v>
      </c>
      <c r="C1091" t="s">
        <v>2587</v>
      </c>
      <c r="D1091" t="s">
        <v>978</v>
      </c>
      <c r="E1091" t="s">
        <v>198</v>
      </c>
      <c r="F1091">
        <v>55</v>
      </c>
      <c r="G1091" t="s">
        <v>9</v>
      </c>
      <c r="H1091" t="s">
        <v>8</v>
      </c>
      <c r="I1091" t="s">
        <v>53</v>
      </c>
      <c r="J1091" t="s">
        <v>48</v>
      </c>
      <c r="K1091" t="s">
        <v>43</v>
      </c>
      <c r="L1091">
        <v>1</v>
      </c>
      <c r="M1091" s="12">
        <v>6499</v>
      </c>
      <c r="N1091" s="12">
        <v>4549.2999999999993</v>
      </c>
      <c r="O1091">
        <v>8</v>
      </c>
      <c r="P1091" s="12">
        <v>5979.08</v>
      </c>
      <c r="Q1091" s="12">
        <v>4549.2999999999993</v>
      </c>
      <c r="R1091" s="12">
        <v>1429.7800000000007</v>
      </c>
      <c r="S1091" t="s">
        <v>113</v>
      </c>
      <c r="T1091" t="s">
        <v>108</v>
      </c>
      <c r="U1091" t="s">
        <v>1207</v>
      </c>
    </row>
    <row r="1092" spans="1:21" x14ac:dyDescent="0.25">
      <c r="A1092" t="s">
        <v>2958</v>
      </c>
      <c r="B1092" s="8">
        <v>45669</v>
      </c>
      <c r="C1092" t="s">
        <v>3796</v>
      </c>
      <c r="D1092" t="s">
        <v>710</v>
      </c>
      <c r="E1092" t="s">
        <v>218</v>
      </c>
      <c r="F1092">
        <v>41</v>
      </c>
      <c r="G1092" t="s">
        <v>17</v>
      </c>
      <c r="H1092" t="s">
        <v>15</v>
      </c>
      <c r="I1092" t="s">
        <v>40</v>
      </c>
      <c r="J1092" t="s">
        <v>39</v>
      </c>
      <c r="K1092" t="s">
        <v>22</v>
      </c>
      <c r="L1092">
        <v>2</v>
      </c>
      <c r="M1092" s="12">
        <v>1100</v>
      </c>
      <c r="N1092" s="12">
        <v>715</v>
      </c>
      <c r="O1092">
        <v>6</v>
      </c>
      <c r="P1092" s="12">
        <v>2068</v>
      </c>
      <c r="Q1092" s="12">
        <v>1430</v>
      </c>
      <c r="R1092" s="12">
        <v>638</v>
      </c>
      <c r="S1092" t="s">
        <v>1246</v>
      </c>
      <c r="T1092" t="s">
        <v>108</v>
      </c>
      <c r="U1092" t="s">
        <v>1198</v>
      </c>
    </row>
    <row r="1093" spans="1:21" x14ac:dyDescent="0.25">
      <c r="A1093" t="s">
        <v>2959</v>
      </c>
      <c r="B1093" s="8">
        <v>45748</v>
      </c>
      <c r="C1093" t="s">
        <v>4382</v>
      </c>
      <c r="D1093" t="s">
        <v>365</v>
      </c>
      <c r="E1093" t="s">
        <v>218</v>
      </c>
      <c r="F1093">
        <v>61</v>
      </c>
      <c r="G1093" t="s">
        <v>7</v>
      </c>
      <c r="H1093" t="s">
        <v>8</v>
      </c>
      <c r="I1093" t="s">
        <v>42</v>
      </c>
      <c r="J1093" t="s">
        <v>44</v>
      </c>
      <c r="K1093" t="s">
        <v>43</v>
      </c>
      <c r="L1093">
        <v>5</v>
      </c>
      <c r="M1093" s="12">
        <v>8999</v>
      </c>
      <c r="N1093" s="12">
        <v>6479.28</v>
      </c>
      <c r="O1093">
        <v>6</v>
      </c>
      <c r="P1093" s="12">
        <v>42295.299999999996</v>
      </c>
      <c r="Q1093" s="12">
        <v>32396.399999999998</v>
      </c>
      <c r="R1093" s="12">
        <v>9898.8999999999978</v>
      </c>
      <c r="S1093" t="s">
        <v>113</v>
      </c>
      <c r="T1093" t="s">
        <v>108</v>
      </c>
      <c r="U1093" t="s">
        <v>1203</v>
      </c>
    </row>
    <row r="1094" spans="1:21" x14ac:dyDescent="0.25">
      <c r="A1094" t="s">
        <v>2960</v>
      </c>
      <c r="B1094" s="8">
        <v>45977</v>
      </c>
      <c r="C1094" t="s">
        <v>3710</v>
      </c>
      <c r="D1094" t="s">
        <v>901</v>
      </c>
      <c r="E1094" t="s">
        <v>218</v>
      </c>
      <c r="F1094">
        <v>59</v>
      </c>
      <c r="G1094" t="s">
        <v>289</v>
      </c>
      <c r="H1094" t="s">
        <v>3</v>
      </c>
      <c r="I1094" t="s">
        <v>24</v>
      </c>
      <c r="J1094" t="s">
        <v>25</v>
      </c>
      <c r="K1094" t="s">
        <v>22</v>
      </c>
      <c r="L1094">
        <v>4</v>
      </c>
      <c r="M1094" s="12">
        <v>35800</v>
      </c>
      <c r="N1094" s="12">
        <v>28640</v>
      </c>
      <c r="O1094">
        <v>16</v>
      </c>
      <c r="P1094" s="12">
        <v>120288</v>
      </c>
      <c r="Q1094" s="12">
        <v>114560</v>
      </c>
      <c r="R1094" s="12">
        <v>5728</v>
      </c>
      <c r="S1094" t="s">
        <v>113</v>
      </c>
      <c r="T1094" t="s">
        <v>108</v>
      </c>
      <c r="U1094" t="s">
        <v>1207</v>
      </c>
    </row>
    <row r="1095" spans="1:21" x14ac:dyDescent="0.25">
      <c r="A1095" t="s">
        <v>2961</v>
      </c>
      <c r="B1095" s="8">
        <v>45676</v>
      </c>
      <c r="C1095" t="s">
        <v>1398</v>
      </c>
      <c r="D1095" t="s">
        <v>684</v>
      </c>
      <c r="E1095" t="s">
        <v>218</v>
      </c>
      <c r="F1095">
        <v>18</v>
      </c>
      <c r="G1095" t="s">
        <v>17</v>
      </c>
      <c r="H1095" t="s">
        <v>15</v>
      </c>
      <c r="I1095" t="s">
        <v>51</v>
      </c>
      <c r="J1095" t="s">
        <v>54</v>
      </c>
      <c r="K1095" t="s">
        <v>43</v>
      </c>
      <c r="L1095">
        <v>2</v>
      </c>
      <c r="M1095" s="12">
        <v>27499</v>
      </c>
      <c r="N1095" s="12">
        <v>21724.210000000003</v>
      </c>
      <c r="O1095">
        <v>5</v>
      </c>
      <c r="P1095" s="12">
        <v>52248.1</v>
      </c>
      <c r="Q1095" s="12">
        <v>43448.420000000006</v>
      </c>
      <c r="R1095" s="12">
        <v>8799.679999999993</v>
      </c>
      <c r="S1095" t="s">
        <v>113</v>
      </c>
      <c r="T1095" t="s">
        <v>107</v>
      </c>
      <c r="U1095" t="s">
        <v>1194</v>
      </c>
    </row>
    <row r="1096" spans="1:21" x14ac:dyDescent="0.25">
      <c r="A1096" t="s">
        <v>2963</v>
      </c>
      <c r="B1096" s="8">
        <v>45875</v>
      </c>
      <c r="C1096" t="s">
        <v>1396</v>
      </c>
      <c r="D1096" t="s">
        <v>1153</v>
      </c>
      <c r="E1096" t="s">
        <v>218</v>
      </c>
      <c r="F1096">
        <v>49</v>
      </c>
      <c r="G1096" t="s">
        <v>10</v>
      </c>
      <c r="H1096" t="s">
        <v>8</v>
      </c>
      <c r="I1096" t="s">
        <v>21</v>
      </c>
      <c r="J1096" t="s">
        <v>23</v>
      </c>
      <c r="K1096" t="s">
        <v>22</v>
      </c>
      <c r="L1096">
        <v>3</v>
      </c>
      <c r="M1096" s="12">
        <v>54999</v>
      </c>
      <c r="N1096" s="12">
        <v>45099.18</v>
      </c>
      <c r="O1096">
        <v>8</v>
      </c>
      <c r="P1096" s="12">
        <v>151797.24000000002</v>
      </c>
      <c r="Q1096" s="12">
        <v>135297.54</v>
      </c>
      <c r="R1096" s="12">
        <v>16499.700000000012</v>
      </c>
      <c r="S1096" t="s">
        <v>113</v>
      </c>
      <c r="T1096" t="s">
        <v>107</v>
      </c>
      <c r="U1096" t="s">
        <v>1205</v>
      </c>
    </row>
    <row r="1097" spans="1:21" x14ac:dyDescent="0.25">
      <c r="A1097" t="s">
        <v>2965</v>
      </c>
      <c r="B1097" s="8">
        <v>45945</v>
      </c>
      <c r="C1097" t="s">
        <v>1783</v>
      </c>
      <c r="D1097" t="s">
        <v>441</v>
      </c>
      <c r="E1097" t="s">
        <v>198</v>
      </c>
      <c r="F1097">
        <v>22</v>
      </c>
      <c r="G1097" t="s">
        <v>5</v>
      </c>
      <c r="H1097" t="s">
        <v>3</v>
      </c>
      <c r="I1097" t="s">
        <v>49</v>
      </c>
      <c r="J1097" t="s">
        <v>56</v>
      </c>
      <c r="K1097" t="s">
        <v>43</v>
      </c>
      <c r="L1097">
        <v>4</v>
      </c>
      <c r="M1097" s="12">
        <v>31999</v>
      </c>
      <c r="N1097" s="12">
        <v>25599.200000000001</v>
      </c>
      <c r="O1097">
        <v>9</v>
      </c>
      <c r="P1097" s="12">
        <v>116476.36</v>
      </c>
      <c r="Q1097" s="12">
        <v>102396.8</v>
      </c>
      <c r="R1097" s="12">
        <v>14079.559999999998</v>
      </c>
      <c r="S1097" t="s">
        <v>1246</v>
      </c>
      <c r="T1097" t="s">
        <v>111</v>
      </c>
      <c r="U1097" t="s">
        <v>1198</v>
      </c>
    </row>
    <row r="1098" spans="1:21" x14ac:dyDescent="0.25">
      <c r="A1098" t="s">
        <v>2966</v>
      </c>
      <c r="B1098" s="8">
        <v>45663</v>
      </c>
      <c r="C1098" t="s">
        <v>5086</v>
      </c>
      <c r="D1098" t="s">
        <v>560</v>
      </c>
      <c r="E1098" t="s">
        <v>198</v>
      </c>
      <c r="F1098">
        <v>21</v>
      </c>
      <c r="G1098" t="s">
        <v>290</v>
      </c>
      <c r="H1098" t="s">
        <v>3</v>
      </c>
      <c r="I1098" t="s">
        <v>24</v>
      </c>
      <c r="J1098" t="s">
        <v>25</v>
      </c>
      <c r="K1098" t="s">
        <v>22</v>
      </c>
      <c r="L1098">
        <v>4</v>
      </c>
      <c r="M1098" s="12">
        <v>35800</v>
      </c>
      <c r="N1098" s="12">
        <v>28640</v>
      </c>
      <c r="O1098">
        <v>10</v>
      </c>
      <c r="P1098" s="12">
        <v>128880</v>
      </c>
      <c r="Q1098" s="12">
        <v>114560</v>
      </c>
      <c r="R1098" s="12">
        <v>14320</v>
      </c>
      <c r="S1098" t="s">
        <v>1246</v>
      </c>
      <c r="T1098" t="s">
        <v>107</v>
      </c>
      <c r="U1098" t="s">
        <v>1207</v>
      </c>
    </row>
    <row r="1099" spans="1:21" x14ac:dyDescent="0.25">
      <c r="A1099" t="s">
        <v>2967</v>
      </c>
      <c r="B1099" s="8">
        <v>45943</v>
      </c>
      <c r="C1099" t="s">
        <v>2509</v>
      </c>
      <c r="D1099" t="s">
        <v>832</v>
      </c>
      <c r="E1099" t="s">
        <v>218</v>
      </c>
      <c r="F1099">
        <v>55</v>
      </c>
      <c r="G1099" t="s">
        <v>10</v>
      </c>
      <c r="H1099" t="s">
        <v>8</v>
      </c>
      <c r="I1099" t="s">
        <v>55</v>
      </c>
      <c r="J1099" t="s">
        <v>65</v>
      </c>
      <c r="K1099" t="s">
        <v>64</v>
      </c>
      <c r="L1099">
        <v>2</v>
      </c>
      <c r="M1099" s="12">
        <v>80</v>
      </c>
      <c r="N1099" s="12">
        <v>56</v>
      </c>
      <c r="O1099">
        <v>2</v>
      </c>
      <c r="P1099" s="12">
        <v>156.80000000000001</v>
      </c>
      <c r="Q1099" s="12">
        <v>112</v>
      </c>
      <c r="R1099" s="12">
        <v>44.800000000000011</v>
      </c>
      <c r="S1099" t="s">
        <v>113</v>
      </c>
      <c r="T1099" t="s">
        <v>107</v>
      </c>
      <c r="U1099" t="s">
        <v>1207</v>
      </c>
    </row>
    <row r="1100" spans="1:21" x14ac:dyDescent="0.25">
      <c r="A1100" t="s">
        <v>2968</v>
      </c>
      <c r="B1100" s="8">
        <v>45736</v>
      </c>
      <c r="C1100" t="s">
        <v>1448</v>
      </c>
      <c r="D1100" t="s">
        <v>413</v>
      </c>
      <c r="E1100" t="s">
        <v>218</v>
      </c>
      <c r="F1100">
        <v>56</v>
      </c>
      <c r="G1100" t="s">
        <v>4</v>
      </c>
      <c r="H1100" t="s">
        <v>3</v>
      </c>
      <c r="I1100" t="s">
        <v>32</v>
      </c>
      <c r="J1100" t="s">
        <v>29</v>
      </c>
      <c r="K1100" t="s">
        <v>22</v>
      </c>
      <c r="L1100">
        <v>2</v>
      </c>
      <c r="M1100" s="12">
        <v>9500</v>
      </c>
      <c r="N1100" s="12">
        <v>6650</v>
      </c>
      <c r="O1100">
        <v>5</v>
      </c>
      <c r="P1100" s="12">
        <v>18050</v>
      </c>
      <c r="Q1100" s="12">
        <v>13300</v>
      </c>
      <c r="R1100" s="12">
        <v>4750</v>
      </c>
      <c r="S1100" t="s">
        <v>113</v>
      </c>
      <c r="T1100" t="s">
        <v>107</v>
      </c>
      <c r="U1100" t="s">
        <v>1201</v>
      </c>
    </row>
    <row r="1101" spans="1:21" x14ac:dyDescent="0.25">
      <c r="A1101" t="s">
        <v>2970</v>
      </c>
      <c r="B1101" s="8">
        <v>45775</v>
      </c>
      <c r="C1101" t="s">
        <v>3612</v>
      </c>
      <c r="D1101" t="s">
        <v>515</v>
      </c>
      <c r="E1101" t="s">
        <v>218</v>
      </c>
      <c r="F1101">
        <v>41</v>
      </c>
      <c r="G1101" t="s">
        <v>289</v>
      </c>
      <c r="H1101" t="s">
        <v>3</v>
      </c>
      <c r="I1101" t="s">
        <v>32</v>
      </c>
      <c r="J1101" t="s">
        <v>29</v>
      </c>
      <c r="K1101" t="s">
        <v>22</v>
      </c>
      <c r="L1101">
        <v>1</v>
      </c>
      <c r="M1101" s="12">
        <v>9500</v>
      </c>
      <c r="N1101" s="12">
        <v>6650</v>
      </c>
      <c r="O1101">
        <v>8</v>
      </c>
      <c r="P1101" s="12">
        <v>8740</v>
      </c>
      <c r="Q1101" s="12">
        <v>6650</v>
      </c>
      <c r="R1101" s="12">
        <v>2090</v>
      </c>
      <c r="S1101" t="s">
        <v>1246</v>
      </c>
      <c r="T1101" t="s">
        <v>111</v>
      </c>
      <c r="U1101" t="s">
        <v>1205</v>
      </c>
    </row>
    <row r="1102" spans="1:21" x14ac:dyDescent="0.25">
      <c r="A1102" t="s">
        <v>2972</v>
      </c>
      <c r="B1102" s="8">
        <v>45941</v>
      </c>
      <c r="C1102" t="s">
        <v>2501</v>
      </c>
      <c r="D1102" t="s">
        <v>1027</v>
      </c>
      <c r="E1102" t="s">
        <v>198</v>
      </c>
      <c r="F1102">
        <v>60</v>
      </c>
      <c r="G1102" t="s">
        <v>16</v>
      </c>
      <c r="H1102" t="s">
        <v>15</v>
      </c>
      <c r="I1102" t="s">
        <v>55</v>
      </c>
      <c r="J1102" t="s">
        <v>65</v>
      </c>
      <c r="K1102" t="s">
        <v>64</v>
      </c>
      <c r="L1102">
        <v>1</v>
      </c>
      <c r="M1102" s="12">
        <v>80</v>
      </c>
      <c r="N1102" s="12">
        <v>56</v>
      </c>
      <c r="O1102">
        <v>4</v>
      </c>
      <c r="P1102" s="12">
        <v>76.8</v>
      </c>
      <c r="Q1102" s="12">
        <v>56</v>
      </c>
      <c r="R1102" s="12">
        <v>20.799999999999997</v>
      </c>
      <c r="S1102" t="s">
        <v>1246</v>
      </c>
      <c r="T1102" t="s">
        <v>107</v>
      </c>
      <c r="U1102" t="s">
        <v>1196</v>
      </c>
    </row>
    <row r="1103" spans="1:21" x14ac:dyDescent="0.25">
      <c r="A1103" t="s">
        <v>2973</v>
      </c>
      <c r="B1103" s="8">
        <v>46009</v>
      </c>
      <c r="C1103" t="s">
        <v>1611</v>
      </c>
      <c r="D1103" t="s">
        <v>699</v>
      </c>
      <c r="E1103" t="s">
        <v>218</v>
      </c>
      <c r="F1103">
        <v>43</v>
      </c>
      <c r="G1103" t="s">
        <v>17</v>
      </c>
      <c r="H1103" t="s">
        <v>15</v>
      </c>
      <c r="I1103" t="s">
        <v>53</v>
      </c>
      <c r="J1103" t="s">
        <v>48</v>
      </c>
      <c r="K1103" t="s">
        <v>43</v>
      </c>
      <c r="L1103">
        <v>2</v>
      </c>
      <c r="M1103" s="12">
        <v>6499</v>
      </c>
      <c r="N1103" s="12">
        <v>4549.2999999999993</v>
      </c>
      <c r="O1103">
        <v>19</v>
      </c>
      <c r="P1103" s="12">
        <v>10528.380000000001</v>
      </c>
      <c r="Q1103" s="12">
        <v>9098.5999999999985</v>
      </c>
      <c r="R1103" s="12">
        <v>1429.7800000000025</v>
      </c>
      <c r="S1103" t="s">
        <v>113</v>
      </c>
      <c r="T1103" t="s">
        <v>108</v>
      </c>
      <c r="U1103" t="s">
        <v>1203</v>
      </c>
    </row>
    <row r="1104" spans="1:21" x14ac:dyDescent="0.25">
      <c r="A1104" t="s">
        <v>2974</v>
      </c>
      <c r="B1104" s="8">
        <v>45776</v>
      </c>
      <c r="C1104" t="s">
        <v>1802</v>
      </c>
      <c r="D1104" t="s">
        <v>932</v>
      </c>
      <c r="E1104" t="s">
        <v>198</v>
      </c>
      <c r="F1104">
        <v>42</v>
      </c>
      <c r="G1104" t="s">
        <v>289</v>
      </c>
      <c r="H1104" t="s">
        <v>3</v>
      </c>
      <c r="I1104" t="s">
        <v>42</v>
      </c>
      <c r="J1104" t="s">
        <v>44</v>
      </c>
      <c r="K1104" t="s">
        <v>43</v>
      </c>
      <c r="L1104">
        <v>2</v>
      </c>
      <c r="M1104" s="12">
        <v>8999</v>
      </c>
      <c r="N1104" s="12">
        <v>6479.28</v>
      </c>
      <c r="O1104">
        <v>9</v>
      </c>
      <c r="P1104" s="12">
        <v>16378.18</v>
      </c>
      <c r="Q1104" s="12">
        <v>12958.56</v>
      </c>
      <c r="R1104" s="12">
        <v>3419.6200000000008</v>
      </c>
      <c r="S1104" t="s">
        <v>1246</v>
      </c>
      <c r="T1104" t="s">
        <v>107</v>
      </c>
      <c r="U1104" t="s">
        <v>1205</v>
      </c>
    </row>
    <row r="1105" spans="1:21" x14ac:dyDescent="0.25">
      <c r="A1105" t="s">
        <v>2975</v>
      </c>
      <c r="B1105" s="8">
        <v>45866</v>
      </c>
      <c r="C1105" t="s">
        <v>2587</v>
      </c>
      <c r="D1105" t="s">
        <v>978</v>
      </c>
      <c r="E1105" t="s">
        <v>198</v>
      </c>
      <c r="F1105">
        <v>55</v>
      </c>
      <c r="G1105" t="s">
        <v>9</v>
      </c>
      <c r="H1105" t="s">
        <v>8</v>
      </c>
      <c r="I1105" t="s">
        <v>51</v>
      </c>
      <c r="J1105" t="s">
        <v>54</v>
      </c>
      <c r="K1105" t="s">
        <v>43</v>
      </c>
      <c r="L1105">
        <v>1</v>
      </c>
      <c r="M1105" s="12">
        <v>27499</v>
      </c>
      <c r="N1105" s="12">
        <v>21724.210000000003</v>
      </c>
      <c r="O1105">
        <v>8</v>
      </c>
      <c r="P1105" s="12">
        <v>25299.08</v>
      </c>
      <c r="Q1105" s="12">
        <v>21724.210000000003</v>
      </c>
      <c r="R1105" s="12">
        <v>3574.869999999999</v>
      </c>
      <c r="S1105" t="s">
        <v>113</v>
      </c>
      <c r="T1105" t="s">
        <v>110</v>
      </c>
      <c r="U1105" t="s">
        <v>1207</v>
      </c>
    </row>
    <row r="1106" spans="1:21" x14ac:dyDescent="0.25">
      <c r="A1106" t="s">
        <v>2976</v>
      </c>
      <c r="B1106" s="8">
        <v>45789</v>
      </c>
      <c r="C1106" t="s">
        <v>1398</v>
      </c>
      <c r="D1106" t="s">
        <v>684</v>
      </c>
      <c r="E1106" t="s">
        <v>218</v>
      </c>
      <c r="F1106">
        <v>18</v>
      </c>
      <c r="G1106" t="s">
        <v>17</v>
      </c>
      <c r="H1106" t="s">
        <v>15</v>
      </c>
      <c r="I1106" t="s">
        <v>47</v>
      </c>
      <c r="J1106" t="s">
        <v>52</v>
      </c>
      <c r="K1106" t="s">
        <v>43</v>
      </c>
      <c r="L1106">
        <v>4</v>
      </c>
      <c r="M1106" s="12">
        <v>42999</v>
      </c>
      <c r="N1106" s="12">
        <v>33539.22</v>
      </c>
      <c r="O1106">
        <v>2</v>
      </c>
      <c r="P1106" s="12">
        <v>168556.08</v>
      </c>
      <c r="Q1106" s="12">
        <v>134156.88</v>
      </c>
      <c r="R1106" s="12">
        <v>34399.199999999983</v>
      </c>
      <c r="S1106" t="s">
        <v>1249</v>
      </c>
      <c r="T1106" t="s">
        <v>108</v>
      </c>
      <c r="U1106" t="s">
        <v>1211</v>
      </c>
    </row>
    <row r="1107" spans="1:21" x14ac:dyDescent="0.25">
      <c r="A1107" t="s">
        <v>2977</v>
      </c>
      <c r="B1107" s="8">
        <v>45681</v>
      </c>
      <c r="C1107" t="s">
        <v>1351</v>
      </c>
      <c r="D1107" t="s">
        <v>726</v>
      </c>
      <c r="E1107" t="s">
        <v>198</v>
      </c>
      <c r="F1107">
        <v>54</v>
      </c>
      <c r="G1107" t="s">
        <v>2</v>
      </c>
      <c r="H1107" t="s">
        <v>3</v>
      </c>
      <c r="I1107" t="s">
        <v>51</v>
      </c>
      <c r="J1107" t="s">
        <v>54</v>
      </c>
      <c r="K1107" t="s">
        <v>43</v>
      </c>
      <c r="L1107">
        <v>1</v>
      </c>
      <c r="M1107" s="12">
        <v>27499</v>
      </c>
      <c r="N1107" s="12">
        <v>21724.210000000003</v>
      </c>
      <c r="O1107">
        <v>4</v>
      </c>
      <c r="P1107" s="12">
        <v>26399.039999999997</v>
      </c>
      <c r="Q1107" s="12">
        <v>21724.210000000003</v>
      </c>
      <c r="R1107" s="12">
        <v>4674.8299999999945</v>
      </c>
      <c r="S1107" t="s">
        <v>113</v>
      </c>
      <c r="T1107" t="s">
        <v>108</v>
      </c>
      <c r="U1107" t="s">
        <v>1207</v>
      </c>
    </row>
    <row r="1108" spans="1:21" x14ac:dyDescent="0.25">
      <c r="A1108" t="s">
        <v>2978</v>
      </c>
      <c r="B1108" s="8">
        <v>45779</v>
      </c>
      <c r="C1108" t="s">
        <v>1454</v>
      </c>
      <c r="D1108" t="s">
        <v>1043</v>
      </c>
      <c r="E1108" t="s">
        <v>218</v>
      </c>
      <c r="F1108">
        <v>57</v>
      </c>
      <c r="G1108" t="s">
        <v>10</v>
      </c>
      <c r="H1108" t="s">
        <v>8</v>
      </c>
      <c r="I1108" t="s">
        <v>61</v>
      </c>
      <c r="J1108" t="s">
        <v>146</v>
      </c>
      <c r="K1108" t="s">
        <v>64</v>
      </c>
      <c r="L1108">
        <v>1</v>
      </c>
      <c r="M1108" s="12">
        <v>250</v>
      </c>
      <c r="N1108" s="12">
        <v>155</v>
      </c>
      <c r="O1108">
        <v>11</v>
      </c>
      <c r="P1108" s="12">
        <v>222.5</v>
      </c>
      <c r="Q1108" s="12">
        <v>155</v>
      </c>
      <c r="R1108" s="12">
        <v>67.5</v>
      </c>
      <c r="S1108" t="s">
        <v>1246</v>
      </c>
      <c r="T1108" t="s">
        <v>107</v>
      </c>
      <c r="U1108" t="s">
        <v>1194</v>
      </c>
    </row>
    <row r="1109" spans="1:21" x14ac:dyDescent="0.25">
      <c r="A1109" t="s">
        <v>2979</v>
      </c>
      <c r="B1109" s="8">
        <v>45990</v>
      </c>
      <c r="C1109" t="s">
        <v>3773</v>
      </c>
      <c r="D1109" t="s">
        <v>618</v>
      </c>
      <c r="E1109" t="s">
        <v>218</v>
      </c>
      <c r="F1109">
        <v>26</v>
      </c>
      <c r="G1109" t="s">
        <v>289</v>
      </c>
      <c r="H1109" t="s">
        <v>3</v>
      </c>
      <c r="I1109" t="s">
        <v>38</v>
      </c>
      <c r="J1109" t="s">
        <v>37</v>
      </c>
      <c r="K1109" t="s">
        <v>22</v>
      </c>
      <c r="L1109">
        <v>3</v>
      </c>
      <c r="M1109" s="12">
        <v>1650</v>
      </c>
      <c r="N1109" s="12">
        <v>990</v>
      </c>
      <c r="O1109">
        <v>14</v>
      </c>
      <c r="P1109" s="12">
        <v>4257</v>
      </c>
      <c r="Q1109" s="12">
        <v>2970</v>
      </c>
      <c r="R1109" s="12">
        <v>1287</v>
      </c>
      <c r="S1109" t="s">
        <v>113</v>
      </c>
      <c r="T1109" t="s">
        <v>107</v>
      </c>
      <c r="U1109" t="s">
        <v>1209</v>
      </c>
    </row>
    <row r="1110" spans="1:21" x14ac:dyDescent="0.25">
      <c r="A1110" t="s">
        <v>2980</v>
      </c>
      <c r="B1110" s="8">
        <v>46013</v>
      </c>
      <c r="C1110" t="s">
        <v>1326</v>
      </c>
      <c r="D1110" t="s">
        <v>967</v>
      </c>
      <c r="E1110" t="s">
        <v>198</v>
      </c>
      <c r="F1110">
        <v>53</v>
      </c>
      <c r="G1110" t="s">
        <v>289</v>
      </c>
      <c r="H1110" t="s">
        <v>3</v>
      </c>
      <c r="I1110" t="s">
        <v>26</v>
      </c>
      <c r="J1110" t="s">
        <v>27</v>
      </c>
      <c r="K1110" t="s">
        <v>22</v>
      </c>
      <c r="L1110">
        <v>5</v>
      </c>
      <c r="M1110" s="12">
        <v>27499</v>
      </c>
      <c r="N1110" s="12">
        <v>23374.149999999998</v>
      </c>
      <c r="O1110">
        <v>16</v>
      </c>
      <c r="P1110" s="12">
        <v>115495.8</v>
      </c>
      <c r="Q1110" s="12">
        <v>116870.74999999999</v>
      </c>
      <c r="R1110" s="12">
        <v>-1374.9499999999825</v>
      </c>
      <c r="S1110" t="s">
        <v>113</v>
      </c>
      <c r="T1110" t="s">
        <v>109</v>
      </c>
      <c r="U1110" t="s">
        <v>1209</v>
      </c>
    </row>
    <row r="1111" spans="1:21" x14ac:dyDescent="0.25">
      <c r="A1111" t="s">
        <v>2981</v>
      </c>
      <c r="B1111" s="8">
        <v>45983</v>
      </c>
      <c r="C1111" t="s">
        <v>2216</v>
      </c>
      <c r="D1111" t="s">
        <v>876</v>
      </c>
      <c r="E1111" t="s">
        <v>198</v>
      </c>
      <c r="F1111">
        <v>61</v>
      </c>
      <c r="G1111" t="s">
        <v>2</v>
      </c>
      <c r="H1111" t="s">
        <v>3</v>
      </c>
      <c r="I1111" t="s">
        <v>63</v>
      </c>
      <c r="J1111" t="s">
        <v>77</v>
      </c>
      <c r="K1111" t="s">
        <v>64</v>
      </c>
      <c r="L1111">
        <v>3</v>
      </c>
      <c r="M1111" s="12">
        <v>650</v>
      </c>
      <c r="N1111" s="12">
        <v>468</v>
      </c>
      <c r="O1111">
        <v>6</v>
      </c>
      <c r="P1111" s="12">
        <v>1833</v>
      </c>
      <c r="Q1111" s="12">
        <v>1404</v>
      </c>
      <c r="R1111" s="12">
        <v>429</v>
      </c>
      <c r="S1111" t="s">
        <v>113</v>
      </c>
      <c r="T1111" t="s">
        <v>107</v>
      </c>
      <c r="U1111" t="s">
        <v>1205</v>
      </c>
    </row>
    <row r="1112" spans="1:21" x14ac:dyDescent="0.25">
      <c r="A1112" t="s">
        <v>2982</v>
      </c>
      <c r="B1112" s="8">
        <v>45855</v>
      </c>
      <c r="C1112" t="s">
        <v>2268</v>
      </c>
      <c r="D1112" t="s">
        <v>892</v>
      </c>
      <c r="E1112" t="s">
        <v>218</v>
      </c>
      <c r="F1112">
        <v>35</v>
      </c>
      <c r="G1112" t="s">
        <v>9</v>
      </c>
      <c r="H1112" t="s">
        <v>8</v>
      </c>
      <c r="I1112" t="s">
        <v>21</v>
      </c>
      <c r="J1112" t="s">
        <v>23</v>
      </c>
      <c r="K1112" t="s">
        <v>22</v>
      </c>
      <c r="L1112">
        <v>5</v>
      </c>
      <c r="M1112" s="12">
        <v>54999</v>
      </c>
      <c r="N1112" s="12">
        <v>45099.18</v>
      </c>
      <c r="O1112">
        <v>8</v>
      </c>
      <c r="P1112" s="12">
        <v>252995.40000000002</v>
      </c>
      <c r="Q1112" s="12">
        <v>225495.9</v>
      </c>
      <c r="R1112" s="12">
        <v>27499.500000000029</v>
      </c>
      <c r="S1112" t="s">
        <v>1246</v>
      </c>
      <c r="T1112" t="s">
        <v>108</v>
      </c>
      <c r="U1112" t="s">
        <v>1209</v>
      </c>
    </row>
    <row r="1113" spans="1:21" x14ac:dyDescent="0.25">
      <c r="A1113" t="s">
        <v>2984</v>
      </c>
      <c r="B1113" s="8">
        <v>45680</v>
      </c>
      <c r="C1113" t="s">
        <v>1415</v>
      </c>
      <c r="D1113" t="s">
        <v>1103</v>
      </c>
      <c r="E1113" t="s">
        <v>198</v>
      </c>
      <c r="F1113">
        <v>36</v>
      </c>
      <c r="G1113" t="s">
        <v>16</v>
      </c>
      <c r="H1113" t="s">
        <v>15</v>
      </c>
      <c r="I1113" t="s">
        <v>59</v>
      </c>
      <c r="J1113" t="s">
        <v>73</v>
      </c>
      <c r="K1113" t="s">
        <v>64</v>
      </c>
      <c r="L1113">
        <v>5</v>
      </c>
      <c r="M1113" s="12">
        <v>120</v>
      </c>
      <c r="N1113" s="12">
        <v>81.599999999999994</v>
      </c>
      <c r="O1113">
        <v>10</v>
      </c>
      <c r="P1113" s="12">
        <v>540</v>
      </c>
      <c r="Q1113" s="12">
        <v>408</v>
      </c>
      <c r="R1113" s="12">
        <v>132</v>
      </c>
      <c r="S1113" t="s">
        <v>1246</v>
      </c>
      <c r="T1113" t="s">
        <v>107</v>
      </c>
      <c r="U1113" t="s">
        <v>1194</v>
      </c>
    </row>
    <row r="1114" spans="1:21" x14ac:dyDescent="0.25">
      <c r="A1114" t="s">
        <v>2985</v>
      </c>
      <c r="B1114" s="8">
        <v>45965</v>
      </c>
      <c r="C1114" t="s">
        <v>1701</v>
      </c>
      <c r="D1114" t="s">
        <v>475</v>
      </c>
      <c r="E1114" t="s">
        <v>218</v>
      </c>
      <c r="F1114">
        <v>18</v>
      </c>
      <c r="G1114" t="s">
        <v>7</v>
      </c>
      <c r="H1114" t="s">
        <v>8</v>
      </c>
      <c r="I1114" t="s">
        <v>53</v>
      </c>
      <c r="J1114" t="s">
        <v>48</v>
      </c>
      <c r="K1114" t="s">
        <v>43</v>
      </c>
      <c r="L1114">
        <v>2</v>
      </c>
      <c r="M1114" s="12">
        <v>6499</v>
      </c>
      <c r="N1114" s="12">
        <v>4549.2999999999993</v>
      </c>
      <c r="O1114">
        <v>15</v>
      </c>
      <c r="P1114" s="12">
        <v>11048.3</v>
      </c>
      <c r="Q1114" s="12">
        <v>9098.5999999999985</v>
      </c>
      <c r="R1114" s="12">
        <v>1949.7000000000007</v>
      </c>
      <c r="S1114" t="s">
        <v>113</v>
      </c>
      <c r="T1114" t="s">
        <v>110</v>
      </c>
      <c r="U1114" t="s">
        <v>1211</v>
      </c>
    </row>
    <row r="1115" spans="1:21" x14ac:dyDescent="0.25">
      <c r="A1115" t="s">
        <v>2986</v>
      </c>
      <c r="B1115" s="8">
        <v>45812</v>
      </c>
      <c r="C1115" t="s">
        <v>4738</v>
      </c>
      <c r="D1115" t="s">
        <v>855</v>
      </c>
      <c r="E1115" t="s">
        <v>218</v>
      </c>
      <c r="F1115">
        <v>62</v>
      </c>
      <c r="G1115" t="s">
        <v>9</v>
      </c>
      <c r="H1115" t="s">
        <v>8</v>
      </c>
      <c r="I1115" t="s">
        <v>55</v>
      </c>
      <c r="J1115" t="s">
        <v>65</v>
      </c>
      <c r="K1115" t="s">
        <v>64</v>
      </c>
      <c r="L1115">
        <v>1</v>
      </c>
      <c r="M1115" s="12">
        <v>80</v>
      </c>
      <c r="N1115" s="12">
        <v>56</v>
      </c>
      <c r="O1115">
        <v>9</v>
      </c>
      <c r="P1115" s="12">
        <v>72.8</v>
      </c>
      <c r="Q1115" s="12">
        <v>56</v>
      </c>
      <c r="R1115" s="12">
        <v>16.799999999999997</v>
      </c>
      <c r="S1115" t="s">
        <v>113</v>
      </c>
      <c r="T1115" t="s">
        <v>108</v>
      </c>
      <c r="U1115" t="s">
        <v>1203</v>
      </c>
    </row>
    <row r="1116" spans="1:21" x14ac:dyDescent="0.25">
      <c r="A1116" t="s">
        <v>2987</v>
      </c>
      <c r="B1116" s="8">
        <v>45659</v>
      </c>
      <c r="C1116" t="s">
        <v>1396</v>
      </c>
      <c r="D1116" t="s">
        <v>1153</v>
      </c>
      <c r="E1116" t="s">
        <v>218</v>
      </c>
      <c r="F1116">
        <v>49</v>
      </c>
      <c r="G1116" t="s">
        <v>10</v>
      </c>
      <c r="H1116" t="s">
        <v>8</v>
      </c>
      <c r="I1116" t="s">
        <v>21</v>
      </c>
      <c r="J1116" t="s">
        <v>23</v>
      </c>
      <c r="K1116" t="s">
        <v>22</v>
      </c>
      <c r="L1116">
        <v>4</v>
      </c>
      <c r="M1116" s="12">
        <v>54999</v>
      </c>
      <c r="N1116" s="12">
        <v>45099.18</v>
      </c>
      <c r="O1116">
        <v>10</v>
      </c>
      <c r="P1116" s="12">
        <v>197996.4</v>
      </c>
      <c r="Q1116" s="12">
        <v>180396.72</v>
      </c>
      <c r="R1116" s="12">
        <v>17599.679999999993</v>
      </c>
      <c r="S1116" t="s">
        <v>1246</v>
      </c>
      <c r="T1116" t="s">
        <v>111</v>
      </c>
      <c r="U1116" t="s">
        <v>1199</v>
      </c>
    </row>
    <row r="1117" spans="1:21" x14ac:dyDescent="0.25">
      <c r="A1117" t="s">
        <v>2988</v>
      </c>
      <c r="B1117" s="8">
        <v>45781</v>
      </c>
      <c r="C1117" t="s">
        <v>1251</v>
      </c>
      <c r="D1117" t="s">
        <v>585</v>
      </c>
      <c r="E1117" t="s">
        <v>218</v>
      </c>
      <c r="F1117">
        <v>20</v>
      </c>
      <c r="G1117" t="s">
        <v>2</v>
      </c>
      <c r="H1117" t="s">
        <v>3</v>
      </c>
      <c r="I1117" t="s">
        <v>59</v>
      </c>
      <c r="J1117" t="s">
        <v>73</v>
      </c>
      <c r="K1117" t="s">
        <v>64</v>
      </c>
      <c r="L1117">
        <v>5</v>
      </c>
      <c r="M1117" s="12">
        <v>120</v>
      </c>
      <c r="N1117" s="12">
        <v>81.599999999999994</v>
      </c>
      <c r="O1117">
        <v>11</v>
      </c>
      <c r="P1117" s="12">
        <v>534</v>
      </c>
      <c r="Q1117" s="12">
        <v>408</v>
      </c>
      <c r="R1117" s="12">
        <v>126</v>
      </c>
      <c r="S1117" t="s">
        <v>1249</v>
      </c>
      <c r="T1117" t="s">
        <v>107</v>
      </c>
      <c r="U1117" t="s">
        <v>1196</v>
      </c>
    </row>
    <row r="1118" spans="1:21" x14ac:dyDescent="0.25">
      <c r="A1118" t="s">
        <v>2989</v>
      </c>
      <c r="B1118" s="8">
        <v>45989</v>
      </c>
      <c r="C1118" t="s">
        <v>2202</v>
      </c>
      <c r="D1118" t="s">
        <v>412</v>
      </c>
      <c r="E1118" t="s">
        <v>218</v>
      </c>
      <c r="F1118">
        <v>57</v>
      </c>
      <c r="G1118" t="s">
        <v>9</v>
      </c>
      <c r="H1118" t="s">
        <v>8</v>
      </c>
      <c r="I1118" t="s">
        <v>53</v>
      </c>
      <c r="J1118" t="s">
        <v>48</v>
      </c>
      <c r="K1118" t="s">
        <v>43</v>
      </c>
      <c r="L1118">
        <v>4</v>
      </c>
      <c r="M1118" s="12">
        <v>6499</v>
      </c>
      <c r="N1118" s="12">
        <v>4549.2999999999993</v>
      </c>
      <c r="O1118">
        <v>20</v>
      </c>
      <c r="P1118" s="12">
        <v>20796.800000000003</v>
      </c>
      <c r="Q1118" s="12">
        <v>18197.199999999997</v>
      </c>
      <c r="R1118" s="12">
        <v>2599.6000000000058</v>
      </c>
      <c r="S1118" t="s">
        <v>113</v>
      </c>
      <c r="T1118" t="s">
        <v>107</v>
      </c>
      <c r="U1118" t="s">
        <v>1205</v>
      </c>
    </row>
    <row r="1119" spans="1:21" x14ac:dyDescent="0.25">
      <c r="A1119" t="s">
        <v>2990</v>
      </c>
      <c r="B1119" s="8">
        <v>45907</v>
      </c>
      <c r="C1119" t="s">
        <v>1736</v>
      </c>
      <c r="D1119" t="s">
        <v>524</v>
      </c>
      <c r="E1119" t="s">
        <v>198</v>
      </c>
      <c r="F1119">
        <v>42</v>
      </c>
      <c r="G1119" t="s">
        <v>5</v>
      </c>
      <c r="H1119" t="s">
        <v>3</v>
      </c>
      <c r="I1119" t="s">
        <v>28</v>
      </c>
      <c r="J1119" t="s">
        <v>35</v>
      </c>
      <c r="K1119" t="s">
        <v>22</v>
      </c>
      <c r="L1119">
        <v>5</v>
      </c>
      <c r="M1119" s="12">
        <v>16499</v>
      </c>
      <c r="N1119" s="12">
        <v>14519.12</v>
      </c>
      <c r="O1119">
        <v>6</v>
      </c>
      <c r="P1119" s="12">
        <v>77545.299999999988</v>
      </c>
      <c r="Q1119" s="12">
        <v>72595.600000000006</v>
      </c>
      <c r="R1119" s="12">
        <v>4949.6999999999825</v>
      </c>
      <c r="S1119" t="s">
        <v>1246</v>
      </c>
      <c r="T1119" t="s">
        <v>108</v>
      </c>
      <c r="U1119" t="s">
        <v>1207</v>
      </c>
    </row>
    <row r="1120" spans="1:21" x14ac:dyDescent="0.25">
      <c r="A1120" t="s">
        <v>2992</v>
      </c>
      <c r="B1120" s="8">
        <v>45666</v>
      </c>
      <c r="C1120" t="s">
        <v>5086</v>
      </c>
      <c r="D1120" t="s">
        <v>560</v>
      </c>
      <c r="E1120" t="s">
        <v>198</v>
      </c>
      <c r="F1120">
        <v>21</v>
      </c>
      <c r="G1120" t="s">
        <v>290</v>
      </c>
      <c r="H1120" t="s">
        <v>3</v>
      </c>
      <c r="I1120" t="s">
        <v>59</v>
      </c>
      <c r="J1120" t="s">
        <v>73</v>
      </c>
      <c r="K1120" t="s">
        <v>64</v>
      </c>
      <c r="L1120">
        <v>2</v>
      </c>
      <c r="M1120" s="12">
        <v>120</v>
      </c>
      <c r="N1120" s="12">
        <v>81.599999999999994</v>
      </c>
      <c r="O1120">
        <v>14</v>
      </c>
      <c r="P1120" s="12">
        <v>206.4</v>
      </c>
      <c r="Q1120" s="12">
        <v>163.19999999999999</v>
      </c>
      <c r="R1120" s="12">
        <v>43.200000000000017</v>
      </c>
      <c r="S1120" t="s">
        <v>1246</v>
      </c>
      <c r="T1120" t="s">
        <v>109</v>
      </c>
      <c r="U1120" t="s">
        <v>1194</v>
      </c>
    </row>
    <row r="1121" spans="1:21" x14ac:dyDescent="0.25">
      <c r="A1121" t="s">
        <v>2994</v>
      </c>
      <c r="B1121" s="8">
        <v>46002</v>
      </c>
      <c r="C1121" t="s">
        <v>2870</v>
      </c>
      <c r="D1121" t="s">
        <v>990</v>
      </c>
      <c r="E1121" t="s">
        <v>198</v>
      </c>
      <c r="F1121">
        <v>63</v>
      </c>
      <c r="G1121" t="s">
        <v>290</v>
      </c>
      <c r="H1121" t="s">
        <v>3</v>
      </c>
      <c r="I1121" t="s">
        <v>34</v>
      </c>
      <c r="J1121" t="s">
        <v>137</v>
      </c>
      <c r="K1121" t="s">
        <v>22</v>
      </c>
      <c r="L1121">
        <v>2</v>
      </c>
      <c r="M1121" s="12">
        <v>6900</v>
      </c>
      <c r="N1121" s="12">
        <v>5727</v>
      </c>
      <c r="O1121">
        <v>10</v>
      </c>
      <c r="P1121" s="12">
        <v>12420</v>
      </c>
      <c r="Q1121" s="12">
        <v>11454</v>
      </c>
      <c r="R1121" s="12">
        <v>966</v>
      </c>
      <c r="S1121" t="s">
        <v>113</v>
      </c>
      <c r="T1121" t="s">
        <v>107</v>
      </c>
      <c r="U1121" t="s">
        <v>1203</v>
      </c>
    </row>
    <row r="1122" spans="1:21" x14ac:dyDescent="0.25">
      <c r="A1122" t="s">
        <v>2995</v>
      </c>
      <c r="B1122" s="8">
        <v>45754</v>
      </c>
      <c r="C1122" t="s">
        <v>1452</v>
      </c>
      <c r="D1122" t="s">
        <v>661</v>
      </c>
      <c r="E1122" t="s">
        <v>198</v>
      </c>
      <c r="F1122">
        <v>56</v>
      </c>
      <c r="G1122" t="s">
        <v>5</v>
      </c>
      <c r="H1122" t="s">
        <v>3</v>
      </c>
      <c r="I1122" t="s">
        <v>47</v>
      </c>
      <c r="J1122" t="s">
        <v>52</v>
      </c>
      <c r="K1122" t="s">
        <v>43</v>
      </c>
      <c r="L1122">
        <v>3</v>
      </c>
      <c r="M1122" s="12">
        <v>42999</v>
      </c>
      <c r="N1122" s="12">
        <v>33539.22</v>
      </c>
      <c r="O1122">
        <v>9</v>
      </c>
      <c r="P1122" s="12">
        <v>117387.27</v>
      </c>
      <c r="Q1122" s="12">
        <v>100617.66</v>
      </c>
      <c r="R1122" s="12">
        <v>16769.61</v>
      </c>
      <c r="S1122" t="s">
        <v>1249</v>
      </c>
      <c r="T1122" t="s">
        <v>108</v>
      </c>
      <c r="U1122" t="s">
        <v>1209</v>
      </c>
    </row>
    <row r="1123" spans="1:21" x14ac:dyDescent="0.25">
      <c r="A1123" t="s">
        <v>2996</v>
      </c>
      <c r="B1123" s="8">
        <v>45895</v>
      </c>
      <c r="C1123" t="s">
        <v>3333</v>
      </c>
      <c r="D1123" t="s">
        <v>392</v>
      </c>
      <c r="E1123" t="s">
        <v>198</v>
      </c>
      <c r="F1123">
        <v>19</v>
      </c>
      <c r="G1123" t="s">
        <v>14</v>
      </c>
      <c r="H1123" t="s">
        <v>15</v>
      </c>
      <c r="I1123" t="s">
        <v>30</v>
      </c>
      <c r="J1123" t="s">
        <v>41</v>
      </c>
      <c r="K1123" t="s">
        <v>22</v>
      </c>
      <c r="L1123">
        <v>3</v>
      </c>
      <c r="M1123" s="12">
        <v>13749</v>
      </c>
      <c r="N1123" s="12">
        <v>10999.2</v>
      </c>
      <c r="O1123">
        <v>7</v>
      </c>
      <c r="P1123" s="12">
        <v>38359.71</v>
      </c>
      <c r="Q1123" s="12">
        <v>32997.600000000006</v>
      </c>
      <c r="R1123" s="12">
        <v>5362.1099999999933</v>
      </c>
      <c r="S1123" t="s">
        <v>1246</v>
      </c>
      <c r="T1123" t="s">
        <v>107</v>
      </c>
      <c r="U1123" t="s">
        <v>1205</v>
      </c>
    </row>
    <row r="1124" spans="1:21" x14ac:dyDescent="0.25">
      <c r="A1124" t="s">
        <v>2998</v>
      </c>
      <c r="B1124" s="8">
        <v>45996</v>
      </c>
      <c r="C1124" t="s">
        <v>2905</v>
      </c>
      <c r="D1124" t="s">
        <v>471</v>
      </c>
      <c r="E1124" t="s">
        <v>198</v>
      </c>
      <c r="F1124">
        <v>39</v>
      </c>
      <c r="G1124" t="s">
        <v>5</v>
      </c>
      <c r="H1124" t="s">
        <v>3</v>
      </c>
      <c r="I1124" t="s">
        <v>28</v>
      </c>
      <c r="J1124" t="s">
        <v>35</v>
      </c>
      <c r="K1124" t="s">
        <v>22</v>
      </c>
      <c r="L1124">
        <v>1</v>
      </c>
      <c r="M1124" s="12">
        <v>16499</v>
      </c>
      <c r="N1124" s="12">
        <v>14519.12</v>
      </c>
      <c r="O1124">
        <v>15</v>
      </c>
      <c r="P1124" s="12">
        <v>14024.15</v>
      </c>
      <c r="Q1124" s="12">
        <v>14519.12</v>
      </c>
      <c r="R1124" s="12">
        <v>-494.97000000000116</v>
      </c>
      <c r="S1124" t="s">
        <v>113</v>
      </c>
      <c r="T1124" t="s">
        <v>109</v>
      </c>
      <c r="U1124" t="s">
        <v>1205</v>
      </c>
    </row>
    <row r="1125" spans="1:21" x14ac:dyDescent="0.25">
      <c r="A1125" t="s">
        <v>2999</v>
      </c>
      <c r="B1125" s="8">
        <v>45912</v>
      </c>
      <c r="C1125" t="s">
        <v>2852</v>
      </c>
      <c r="D1125" t="s">
        <v>1008</v>
      </c>
      <c r="E1125" t="s">
        <v>198</v>
      </c>
      <c r="F1125">
        <v>56</v>
      </c>
      <c r="G1125" t="s">
        <v>290</v>
      </c>
      <c r="H1125" t="s">
        <v>3</v>
      </c>
      <c r="I1125" t="s">
        <v>24</v>
      </c>
      <c r="J1125" t="s">
        <v>25</v>
      </c>
      <c r="K1125" t="s">
        <v>22</v>
      </c>
      <c r="L1125">
        <v>1</v>
      </c>
      <c r="M1125" s="12">
        <v>35800</v>
      </c>
      <c r="N1125" s="12">
        <v>28640</v>
      </c>
      <c r="O1125">
        <v>3</v>
      </c>
      <c r="P1125" s="12">
        <v>34726</v>
      </c>
      <c r="Q1125" s="12">
        <v>28640</v>
      </c>
      <c r="R1125" s="12">
        <v>6086</v>
      </c>
      <c r="S1125" t="s">
        <v>113</v>
      </c>
      <c r="T1125" t="s">
        <v>107</v>
      </c>
      <c r="U1125" t="s">
        <v>1194</v>
      </c>
    </row>
    <row r="1126" spans="1:21" x14ac:dyDescent="0.25">
      <c r="A1126" t="s">
        <v>3000</v>
      </c>
      <c r="B1126" s="8">
        <v>45890</v>
      </c>
      <c r="C1126" t="s">
        <v>2489</v>
      </c>
      <c r="D1126" t="s">
        <v>649</v>
      </c>
      <c r="E1126" t="s">
        <v>218</v>
      </c>
      <c r="F1126">
        <v>28</v>
      </c>
      <c r="G1126" t="s">
        <v>16</v>
      </c>
      <c r="H1126" t="s">
        <v>15</v>
      </c>
      <c r="I1126" t="s">
        <v>21</v>
      </c>
      <c r="J1126" t="s">
        <v>23</v>
      </c>
      <c r="K1126" t="s">
        <v>22</v>
      </c>
      <c r="L1126">
        <v>5</v>
      </c>
      <c r="M1126" s="12">
        <v>54999</v>
      </c>
      <c r="N1126" s="12">
        <v>45099.18</v>
      </c>
      <c r="O1126">
        <v>4</v>
      </c>
      <c r="P1126" s="12">
        <v>263995.2</v>
      </c>
      <c r="Q1126" s="12">
        <v>225495.9</v>
      </c>
      <c r="R1126" s="12">
        <v>38499.300000000017</v>
      </c>
      <c r="S1126" t="s">
        <v>113</v>
      </c>
      <c r="T1126" t="s">
        <v>108</v>
      </c>
      <c r="U1126" t="s">
        <v>1205</v>
      </c>
    </row>
    <row r="1127" spans="1:21" x14ac:dyDescent="0.25">
      <c r="A1127" t="s">
        <v>3002</v>
      </c>
      <c r="B1127" s="8">
        <v>45913</v>
      </c>
      <c r="C1127" t="s">
        <v>2615</v>
      </c>
      <c r="D1127" t="s">
        <v>766</v>
      </c>
      <c r="E1127" t="s">
        <v>218</v>
      </c>
      <c r="F1127">
        <v>18</v>
      </c>
      <c r="G1127" t="s">
        <v>5</v>
      </c>
      <c r="H1127" t="s">
        <v>3</v>
      </c>
      <c r="I1127" t="s">
        <v>45</v>
      </c>
      <c r="J1127" t="s">
        <v>46</v>
      </c>
      <c r="K1127" t="s">
        <v>43</v>
      </c>
      <c r="L1127">
        <v>3</v>
      </c>
      <c r="M1127" s="12">
        <v>11999</v>
      </c>
      <c r="N1127" s="12">
        <v>8999.25</v>
      </c>
      <c r="O1127">
        <v>8</v>
      </c>
      <c r="P1127" s="12">
        <v>33117.24</v>
      </c>
      <c r="Q1127" s="12">
        <v>26997.75</v>
      </c>
      <c r="R1127" s="12">
        <v>6119.489999999998</v>
      </c>
      <c r="S1127" t="s">
        <v>113</v>
      </c>
      <c r="T1127" t="s">
        <v>107</v>
      </c>
      <c r="U1127" t="s">
        <v>1201</v>
      </c>
    </row>
    <row r="1128" spans="1:21" x14ac:dyDescent="0.25">
      <c r="A1128" t="s">
        <v>3003</v>
      </c>
      <c r="B1128" s="8">
        <v>45969</v>
      </c>
      <c r="C1128" t="s">
        <v>2852</v>
      </c>
      <c r="D1128" t="s">
        <v>1008</v>
      </c>
      <c r="E1128" t="s">
        <v>198</v>
      </c>
      <c r="F1128">
        <v>56</v>
      </c>
      <c r="G1128" t="s">
        <v>290</v>
      </c>
      <c r="H1128" t="s">
        <v>3</v>
      </c>
      <c r="I1128" t="s">
        <v>38</v>
      </c>
      <c r="J1128" t="s">
        <v>37</v>
      </c>
      <c r="K1128" t="s">
        <v>22</v>
      </c>
      <c r="L1128">
        <v>3</v>
      </c>
      <c r="M1128" s="12">
        <v>1650</v>
      </c>
      <c r="N1128" s="12">
        <v>990</v>
      </c>
      <c r="O1128">
        <v>16</v>
      </c>
      <c r="P1128" s="12">
        <v>4158</v>
      </c>
      <c r="Q1128" s="12">
        <v>2970</v>
      </c>
      <c r="R1128" s="12">
        <v>1188</v>
      </c>
      <c r="S1128" t="s">
        <v>1246</v>
      </c>
      <c r="T1128" t="s">
        <v>111</v>
      </c>
      <c r="U1128" t="s">
        <v>1196</v>
      </c>
    </row>
    <row r="1129" spans="1:21" x14ac:dyDescent="0.25">
      <c r="A1129" t="s">
        <v>3004</v>
      </c>
      <c r="B1129" s="8">
        <v>45699</v>
      </c>
      <c r="C1129" t="s">
        <v>2637</v>
      </c>
      <c r="D1129" t="s">
        <v>730</v>
      </c>
      <c r="E1129" t="s">
        <v>198</v>
      </c>
      <c r="F1129">
        <v>62</v>
      </c>
      <c r="G1129" t="s">
        <v>290</v>
      </c>
      <c r="H1129" t="s">
        <v>3</v>
      </c>
      <c r="I1129" t="s">
        <v>55</v>
      </c>
      <c r="J1129" t="s">
        <v>65</v>
      </c>
      <c r="K1129" t="s">
        <v>64</v>
      </c>
      <c r="L1129">
        <v>1</v>
      </c>
      <c r="M1129" s="12">
        <v>80</v>
      </c>
      <c r="N1129" s="12">
        <v>56</v>
      </c>
      <c r="O1129">
        <v>3</v>
      </c>
      <c r="P1129" s="12">
        <v>77.599999999999994</v>
      </c>
      <c r="Q1129" s="12">
        <v>56</v>
      </c>
      <c r="R1129" s="12">
        <v>21.599999999999994</v>
      </c>
      <c r="S1129" t="s">
        <v>1246</v>
      </c>
      <c r="T1129" t="s">
        <v>108</v>
      </c>
      <c r="U1129" t="s">
        <v>1205</v>
      </c>
    </row>
    <row r="1130" spans="1:21" x14ac:dyDescent="0.25">
      <c r="A1130" t="s">
        <v>3005</v>
      </c>
      <c r="B1130" s="8">
        <v>45862</v>
      </c>
      <c r="C1130" t="s">
        <v>4197</v>
      </c>
      <c r="D1130" t="s">
        <v>1007</v>
      </c>
      <c r="E1130" t="s">
        <v>198</v>
      </c>
      <c r="F1130">
        <v>20</v>
      </c>
      <c r="G1130" t="s">
        <v>10</v>
      </c>
      <c r="H1130" t="s">
        <v>8</v>
      </c>
      <c r="I1130" t="s">
        <v>24</v>
      </c>
      <c r="J1130" t="s">
        <v>25</v>
      </c>
      <c r="K1130" t="s">
        <v>22</v>
      </c>
      <c r="L1130">
        <v>4</v>
      </c>
      <c r="M1130" s="12">
        <v>35800</v>
      </c>
      <c r="N1130" s="12">
        <v>28640</v>
      </c>
      <c r="O1130">
        <v>3</v>
      </c>
      <c r="P1130" s="12">
        <v>138904</v>
      </c>
      <c r="Q1130" s="12">
        <v>114560</v>
      </c>
      <c r="R1130" s="12">
        <v>24344</v>
      </c>
      <c r="S1130" t="s">
        <v>113</v>
      </c>
      <c r="T1130" t="s">
        <v>107</v>
      </c>
      <c r="U1130" t="s">
        <v>1209</v>
      </c>
    </row>
    <row r="1131" spans="1:21" x14ac:dyDescent="0.25">
      <c r="A1131" t="s">
        <v>3007</v>
      </c>
      <c r="B1131" s="8">
        <v>45816</v>
      </c>
      <c r="C1131" t="s">
        <v>1333</v>
      </c>
      <c r="D1131" t="s">
        <v>1049</v>
      </c>
      <c r="E1131" t="s">
        <v>198</v>
      </c>
      <c r="F1131">
        <v>62</v>
      </c>
      <c r="G1131" t="s">
        <v>14</v>
      </c>
      <c r="H1131" t="s">
        <v>15</v>
      </c>
      <c r="I1131" t="s">
        <v>47</v>
      </c>
      <c r="J1131" t="s">
        <v>52</v>
      </c>
      <c r="K1131" t="s">
        <v>43</v>
      </c>
      <c r="L1131">
        <v>3</v>
      </c>
      <c r="M1131" s="12">
        <v>42999</v>
      </c>
      <c r="N1131" s="12">
        <v>33539.22</v>
      </c>
      <c r="O1131">
        <v>4</v>
      </c>
      <c r="P1131" s="12">
        <v>123837.12</v>
      </c>
      <c r="Q1131" s="12">
        <v>100617.66</v>
      </c>
      <c r="R1131" s="12">
        <v>23219.459999999992</v>
      </c>
      <c r="S1131" t="s">
        <v>113</v>
      </c>
      <c r="T1131" t="s">
        <v>108</v>
      </c>
      <c r="U1131" t="s">
        <v>1207</v>
      </c>
    </row>
    <row r="1132" spans="1:21" x14ac:dyDescent="0.25">
      <c r="A1132" t="s">
        <v>3008</v>
      </c>
      <c r="B1132" s="8">
        <v>45669</v>
      </c>
      <c r="C1132" t="s">
        <v>3228</v>
      </c>
      <c r="D1132" t="s">
        <v>1114</v>
      </c>
      <c r="E1132" t="s">
        <v>218</v>
      </c>
      <c r="F1132">
        <v>60</v>
      </c>
      <c r="G1132" t="s">
        <v>7</v>
      </c>
      <c r="H1132" t="s">
        <v>8</v>
      </c>
      <c r="I1132" t="s">
        <v>63</v>
      </c>
      <c r="J1132" t="s">
        <v>77</v>
      </c>
      <c r="K1132" t="s">
        <v>64</v>
      </c>
      <c r="L1132">
        <v>1</v>
      </c>
      <c r="M1132" s="12">
        <v>650</v>
      </c>
      <c r="N1132" s="12">
        <v>468</v>
      </c>
      <c r="O1132">
        <v>8</v>
      </c>
      <c r="P1132" s="12">
        <v>598</v>
      </c>
      <c r="Q1132" s="12">
        <v>468</v>
      </c>
      <c r="R1132" s="12">
        <v>130</v>
      </c>
      <c r="S1132" t="s">
        <v>1246</v>
      </c>
      <c r="T1132" t="s">
        <v>107</v>
      </c>
      <c r="U1132" t="s">
        <v>1198</v>
      </c>
    </row>
    <row r="1133" spans="1:21" x14ac:dyDescent="0.25">
      <c r="A1133" t="s">
        <v>3010</v>
      </c>
      <c r="B1133" s="8">
        <v>46020</v>
      </c>
      <c r="C1133" t="s">
        <v>3690</v>
      </c>
      <c r="D1133" t="s">
        <v>512</v>
      </c>
      <c r="E1133" t="s">
        <v>198</v>
      </c>
      <c r="F1133">
        <v>48</v>
      </c>
      <c r="G1133" t="s">
        <v>16</v>
      </c>
      <c r="H1133" t="s">
        <v>15</v>
      </c>
      <c r="I1133" t="s">
        <v>57</v>
      </c>
      <c r="J1133" t="s">
        <v>67</v>
      </c>
      <c r="K1133" t="s">
        <v>64</v>
      </c>
      <c r="L1133">
        <v>4</v>
      </c>
      <c r="M1133" s="12">
        <v>150</v>
      </c>
      <c r="N1133" s="12">
        <v>97.5</v>
      </c>
      <c r="O1133">
        <v>6</v>
      </c>
      <c r="P1133" s="12">
        <v>564</v>
      </c>
      <c r="Q1133" s="12">
        <v>390</v>
      </c>
      <c r="R1133" s="12">
        <v>174</v>
      </c>
      <c r="S1133" t="s">
        <v>1246</v>
      </c>
      <c r="T1133" t="s">
        <v>107</v>
      </c>
      <c r="U1133" t="s">
        <v>1196</v>
      </c>
    </row>
    <row r="1134" spans="1:21" x14ac:dyDescent="0.25">
      <c r="A1134" t="s">
        <v>3011</v>
      </c>
      <c r="B1134" s="8">
        <v>45990</v>
      </c>
      <c r="C1134" t="s">
        <v>2727</v>
      </c>
      <c r="D1134" t="s">
        <v>813</v>
      </c>
      <c r="E1134" t="s">
        <v>198</v>
      </c>
      <c r="F1134">
        <v>48</v>
      </c>
      <c r="G1134" t="s">
        <v>16</v>
      </c>
      <c r="H1134" t="s">
        <v>15</v>
      </c>
      <c r="I1134" t="s">
        <v>63</v>
      </c>
      <c r="J1134" t="s">
        <v>77</v>
      </c>
      <c r="K1134" t="s">
        <v>64</v>
      </c>
      <c r="L1134">
        <v>5</v>
      </c>
      <c r="M1134" s="12">
        <v>650</v>
      </c>
      <c r="N1134" s="12">
        <v>468</v>
      </c>
      <c r="O1134">
        <v>4</v>
      </c>
      <c r="P1134" s="12">
        <v>3120</v>
      </c>
      <c r="Q1134" s="12">
        <v>2340</v>
      </c>
      <c r="R1134" s="12">
        <v>780</v>
      </c>
      <c r="S1134" t="s">
        <v>1246</v>
      </c>
      <c r="T1134" t="s">
        <v>109</v>
      </c>
      <c r="U1134" t="s">
        <v>1207</v>
      </c>
    </row>
    <row r="1135" spans="1:21" x14ac:dyDescent="0.25">
      <c r="A1135" t="s">
        <v>3013</v>
      </c>
      <c r="B1135" s="8">
        <v>45696</v>
      </c>
      <c r="C1135" t="s">
        <v>3084</v>
      </c>
      <c r="D1135" t="s">
        <v>803</v>
      </c>
      <c r="E1135" t="s">
        <v>218</v>
      </c>
      <c r="F1135">
        <v>47</v>
      </c>
      <c r="G1135" t="s">
        <v>17</v>
      </c>
      <c r="H1135" t="s">
        <v>15</v>
      </c>
      <c r="I1135" t="s">
        <v>38</v>
      </c>
      <c r="J1135" t="s">
        <v>37</v>
      </c>
      <c r="K1135" t="s">
        <v>22</v>
      </c>
      <c r="L1135">
        <v>3</v>
      </c>
      <c r="M1135" s="12">
        <v>1650</v>
      </c>
      <c r="N1135" s="12">
        <v>990</v>
      </c>
      <c r="O1135">
        <v>3</v>
      </c>
      <c r="P1135" s="12">
        <v>4801.5</v>
      </c>
      <c r="Q1135" s="12">
        <v>2970</v>
      </c>
      <c r="R1135" s="12">
        <v>1831.5</v>
      </c>
      <c r="S1135" t="s">
        <v>113</v>
      </c>
      <c r="T1135" t="s">
        <v>109</v>
      </c>
      <c r="U1135" t="s">
        <v>1209</v>
      </c>
    </row>
    <row r="1136" spans="1:21" x14ac:dyDescent="0.25">
      <c r="A1136" t="s">
        <v>3015</v>
      </c>
      <c r="B1136" s="8">
        <v>45889</v>
      </c>
      <c r="C1136" t="s">
        <v>1318</v>
      </c>
      <c r="D1136" t="s">
        <v>653</v>
      </c>
      <c r="E1136" t="s">
        <v>218</v>
      </c>
      <c r="F1136">
        <v>41</v>
      </c>
      <c r="G1136" t="s">
        <v>10</v>
      </c>
      <c r="H1136" t="s">
        <v>8</v>
      </c>
      <c r="I1136" t="s">
        <v>40</v>
      </c>
      <c r="J1136" t="s">
        <v>39</v>
      </c>
      <c r="K1136" t="s">
        <v>22</v>
      </c>
      <c r="L1136">
        <v>5</v>
      </c>
      <c r="M1136" s="12">
        <v>1100</v>
      </c>
      <c r="N1136" s="12">
        <v>715</v>
      </c>
      <c r="O1136">
        <v>6</v>
      </c>
      <c r="P1136" s="12">
        <v>5170</v>
      </c>
      <c r="Q1136" s="12">
        <v>3575</v>
      </c>
      <c r="R1136" s="12">
        <v>1595</v>
      </c>
      <c r="S1136" t="s">
        <v>113</v>
      </c>
      <c r="T1136" t="s">
        <v>108</v>
      </c>
      <c r="U1136" t="s">
        <v>1198</v>
      </c>
    </row>
    <row r="1137" spans="1:21" x14ac:dyDescent="0.25">
      <c r="A1137" t="s">
        <v>3016</v>
      </c>
      <c r="B1137" s="8">
        <v>45704</v>
      </c>
      <c r="C1137" t="s">
        <v>2669</v>
      </c>
      <c r="D1137" t="s">
        <v>461</v>
      </c>
      <c r="E1137" t="s">
        <v>218</v>
      </c>
      <c r="F1137">
        <v>24</v>
      </c>
      <c r="G1137" t="s">
        <v>11</v>
      </c>
      <c r="H1137" t="s">
        <v>12</v>
      </c>
      <c r="I1137" t="s">
        <v>47</v>
      </c>
      <c r="J1137" t="s">
        <v>52</v>
      </c>
      <c r="K1137" t="s">
        <v>43</v>
      </c>
      <c r="L1137">
        <v>1</v>
      </c>
      <c r="M1137" s="12">
        <v>42999</v>
      </c>
      <c r="N1137" s="12">
        <v>33539.22</v>
      </c>
      <c r="O1137">
        <v>8</v>
      </c>
      <c r="P1137" s="12">
        <v>39559.08</v>
      </c>
      <c r="Q1137" s="12">
        <v>33539.22</v>
      </c>
      <c r="R1137" s="12">
        <v>6019.8600000000006</v>
      </c>
      <c r="S1137" t="s">
        <v>1246</v>
      </c>
      <c r="T1137" t="s">
        <v>108</v>
      </c>
      <c r="U1137" t="s">
        <v>1211</v>
      </c>
    </row>
    <row r="1138" spans="1:21" x14ac:dyDescent="0.25">
      <c r="A1138" t="s">
        <v>3017</v>
      </c>
      <c r="B1138" s="8">
        <v>45766</v>
      </c>
      <c r="C1138" t="s">
        <v>2498</v>
      </c>
      <c r="D1138" t="s">
        <v>738</v>
      </c>
      <c r="E1138" t="s">
        <v>198</v>
      </c>
      <c r="F1138">
        <v>32</v>
      </c>
      <c r="G1138" t="s">
        <v>11</v>
      </c>
      <c r="H1138" t="s">
        <v>12</v>
      </c>
      <c r="I1138" t="s">
        <v>32</v>
      </c>
      <c r="J1138" t="s">
        <v>29</v>
      </c>
      <c r="K1138" t="s">
        <v>22</v>
      </c>
      <c r="L1138">
        <v>3</v>
      </c>
      <c r="M1138" s="12">
        <v>9500</v>
      </c>
      <c r="N1138" s="12">
        <v>6650</v>
      </c>
      <c r="O1138">
        <v>7</v>
      </c>
      <c r="P1138" s="12">
        <v>26505</v>
      </c>
      <c r="Q1138" s="12">
        <v>19950</v>
      </c>
      <c r="R1138" s="12">
        <v>6555</v>
      </c>
      <c r="S1138" t="s">
        <v>1246</v>
      </c>
      <c r="T1138" t="s">
        <v>110</v>
      </c>
      <c r="U1138" t="s">
        <v>1198</v>
      </c>
    </row>
    <row r="1139" spans="1:21" x14ac:dyDescent="0.25">
      <c r="A1139" t="s">
        <v>3019</v>
      </c>
      <c r="B1139" s="8">
        <v>45680</v>
      </c>
      <c r="C1139" t="s">
        <v>2272</v>
      </c>
      <c r="D1139" t="s">
        <v>371</v>
      </c>
      <c r="E1139" t="s">
        <v>218</v>
      </c>
      <c r="F1139">
        <v>50</v>
      </c>
      <c r="G1139" t="s">
        <v>290</v>
      </c>
      <c r="H1139" t="s">
        <v>3</v>
      </c>
      <c r="I1139" t="s">
        <v>49</v>
      </c>
      <c r="J1139" t="s">
        <v>56</v>
      </c>
      <c r="K1139" t="s">
        <v>43</v>
      </c>
      <c r="L1139">
        <v>1</v>
      </c>
      <c r="M1139" s="12">
        <v>31999</v>
      </c>
      <c r="N1139" s="12">
        <v>25599.200000000001</v>
      </c>
      <c r="O1139">
        <v>5</v>
      </c>
      <c r="P1139" s="12">
        <v>30399.05</v>
      </c>
      <c r="Q1139" s="12">
        <v>25599.200000000001</v>
      </c>
      <c r="R1139" s="12">
        <v>4799.8499999999985</v>
      </c>
      <c r="S1139" t="s">
        <v>113</v>
      </c>
      <c r="T1139" t="s">
        <v>111</v>
      </c>
      <c r="U1139" t="s">
        <v>1203</v>
      </c>
    </row>
    <row r="1140" spans="1:21" x14ac:dyDescent="0.25">
      <c r="A1140" t="s">
        <v>3020</v>
      </c>
      <c r="B1140" s="8">
        <v>45721</v>
      </c>
      <c r="C1140" t="s">
        <v>4374</v>
      </c>
      <c r="D1140" t="s">
        <v>791</v>
      </c>
      <c r="E1140" t="s">
        <v>198</v>
      </c>
      <c r="F1140">
        <v>21</v>
      </c>
      <c r="G1140" t="s">
        <v>16</v>
      </c>
      <c r="H1140" t="s">
        <v>15</v>
      </c>
      <c r="I1140" t="s">
        <v>26</v>
      </c>
      <c r="J1140" t="s">
        <v>27</v>
      </c>
      <c r="K1140" t="s">
        <v>22</v>
      </c>
      <c r="L1140">
        <v>3</v>
      </c>
      <c r="M1140" s="12">
        <v>27499</v>
      </c>
      <c r="N1140" s="12">
        <v>23374.149999999998</v>
      </c>
      <c r="O1140">
        <v>8</v>
      </c>
      <c r="P1140" s="12">
        <v>75897.240000000005</v>
      </c>
      <c r="Q1140" s="12">
        <v>70122.45</v>
      </c>
      <c r="R1140" s="12">
        <v>5774.7900000000081</v>
      </c>
      <c r="S1140" t="s">
        <v>1246</v>
      </c>
      <c r="T1140" t="s">
        <v>107</v>
      </c>
      <c r="U1140" t="s">
        <v>1198</v>
      </c>
    </row>
    <row r="1141" spans="1:21" x14ac:dyDescent="0.25">
      <c r="A1141" t="s">
        <v>3021</v>
      </c>
      <c r="B1141" s="8">
        <v>45755</v>
      </c>
      <c r="C1141" t="s">
        <v>1287</v>
      </c>
      <c r="D1141" t="s">
        <v>394</v>
      </c>
      <c r="E1141" t="s">
        <v>218</v>
      </c>
      <c r="F1141">
        <v>59</v>
      </c>
      <c r="G1141" t="s">
        <v>10</v>
      </c>
      <c r="H1141" t="s">
        <v>8</v>
      </c>
      <c r="I1141" t="s">
        <v>40</v>
      </c>
      <c r="J1141" t="s">
        <v>39</v>
      </c>
      <c r="K1141" t="s">
        <v>22</v>
      </c>
      <c r="L1141">
        <v>1</v>
      </c>
      <c r="M1141" s="12">
        <v>1100</v>
      </c>
      <c r="N1141" s="12">
        <v>715</v>
      </c>
      <c r="O1141">
        <v>7</v>
      </c>
      <c r="P1141" s="12">
        <v>1022.9999999999999</v>
      </c>
      <c r="Q1141" s="12">
        <v>715</v>
      </c>
      <c r="R1141" s="12">
        <v>307.99999999999989</v>
      </c>
      <c r="S1141" t="s">
        <v>1246</v>
      </c>
      <c r="T1141" t="s">
        <v>110</v>
      </c>
      <c r="U1141" t="s">
        <v>1201</v>
      </c>
    </row>
    <row r="1142" spans="1:21" x14ac:dyDescent="0.25">
      <c r="A1142" t="s">
        <v>3022</v>
      </c>
      <c r="B1142" s="8">
        <v>46007</v>
      </c>
      <c r="C1142" t="s">
        <v>2537</v>
      </c>
      <c r="D1142" t="s">
        <v>1057</v>
      </c>
      <c r="E1142" t="s">
        <v>218</v>
      </c>
      <c r="F1142">
        <v>19</v>
      </c>
      <c r="G1142" t="s">
        <v>11</v>
      </c>
      <c r="H1142" t="s">
        <v>12</v>
      </c>
      <c r="I1142" t="s">
        <v>26</v>
      </c>
      <c r="J1142" t="s">
        <v>27</v>
      </c>
      <c r="K1142" t="s">
        <v>22</v>
      </c>
      <c r="L1142">
        <v>3</v>
      </c>
      <c r="M1142" s="12">
        <v>27499</v>
      </c>
      <c r="N1142" s="12">
        <v>23374.149999999998</v>
      </c>
      <c r="O1142">
        <v>18</v>
      </c>
      <c r="P1142" s="12">
        <v>67647.540000000008</v>
      </c>
      <c r="Q1142" s="12">
        <v>70122.45</v>
      </c>
      <c r="R1142" s="12">
        <v>-2474.9099999999889</v>
      </c>
      <c r="S1142" t="s">
        <v>113</v>
      </c>
      <c r="T1142" t="s">
        <v>108</v>
      </c>
      <c r="U1142" t="s">
        <v>1201</v>
      </c>
    </row>
    <row r="1143" spans="1:21" x14ac:dyDescent="0.25">
      <c r="A1143" t="s">
        <v>3023</v>
      </c>
      <c r="B1143" s="8">
        <v>45660</v>
      </c>
      <c r="C1143" t="s">
        <v>2121</v>
      </c>
      <c r="D1143" t="s">
        <v>1112</v>
      </c>
      <c r="E1143" t="s">
        <v>218</v>
      </c>
      <c r="F1143">
        <v>43</v>
      </c>
      <c r="G1143" t="s">
        <v>290</v>
      </c>
      <c r="H1143" t="s">
        <v>3</v>
      </c>
      <c r="I1143" t="s">
        <v>59</v>
      </c>
      <c r="J1143" t="s">
        <v>73</v>
      </c>
      <c r="K1143" t="s">
        <v>64</v>
      </c>
      <c r="L1143">
        <v>4</v>
      </c>
      <c r="M1143" s="12">
        <v>120</v>
      </c>
      <c r="N1143" s="12">
        <v>81.599999999999994</v>
      </c>
      <c r="O1143">
        <v>9</v>
      </c>
      <c r="P1143" s="12">
        <v>436.8</v>
      </c>
      <c r="Q1143" s="12">
        <v>326.39999999999998</v>
      </c>
      <c r="R1143" s="12">
        <v>110.40000000000003</v>
      </c>
      <c r="S1143" t="s">
        <v>1246</v>
      </c>
      <c r="T1143" t="s">
        <v>109</v>
      </c>
      <c r="U1143" t="s">
        <v>1205</v>
      </c>
    </row>
    <row r="1144" spans="1:21" x14ac:dyDescent="0.25">
      <c r="A1144" t="s">
        <v>3024</v>
      </c>
      <c r="B1144" s="8">
        <v>46011</v>
      </c>
      <c r="C1144" t="s">
        <v>2715</v>
      </c>
      <c r="D1144" t="s">
        <v>841</v>
      </c>
      <c r="E1144" t="s">
        <v>218</v>
      </c>
      <c r="F1144">
        <v>61</v>
      </c>
      <c r="G1144" t="s">
        <v>10</v>
      </c>
      <c r="H1144" t="s">
        <v>8</v>
      </c>
      <c r="I1144" t="s">
        <v>61</v>
      </c>
      <c r="J1144" t="s">
        <v>146</v>
      </c>
      <c r="K1144" t="s">
        <v>64</v>
      </c>
      <c r="L1144">
        <v>4</v>
      </c>
      <c r="M1144" s="12">
        <v>250</v>
      </c>
      <c r="N1144" s="12">
        <v>155</v>
      </c>
      <c r="O1144">
        <v>5</v>
      </c>
      <c r="P1144" s="12">
        <v>950</v>
      </c>
      <c r="Q1144" s="12">
        <v>620</v>
      </c>
      <c r="R1144" s="12">
        <v>330</v>
      </c>
      <c r="S1144" t="s">
        <v>1246</v>
      </c>
      <c r="T1144" t="s">
        <v>108</v>
      </c>
      <c r="U1144" t="s">
        <v>1194</v>
      </c>
    </row>
    <row r="1145" spans="1:21" x14ac:dyDescent="0.25">
      <c r="A1145" t="s">
        <v>3026</v>
      </c>
      <c r="B1145" s="8">
        <v>45891</v>
      </c>
      <c r="C1145" t="s">
        <v>3698</v>
      </c>
      <c r="D1145" t="s">
        <v>1177</v>
      </c>
      <c r="E1145" t="s">
        <v>218</v>
      </c>
      <c r="F1145">
        <v>47</v>
      </c>
      <c r="G1145" t="s">
        <v>17</v>
      </c>
      <c r="H1145" t="s">
        <v>15</v>
      </c>
      <c r="I1145" t="s">
        <v>28</v>
      </c>
      <c r="J1145" t="s">
        <v>35</v>
      </c>
      <c r="K1145" t="s">
        <v>22</v>
      </c>
      <c r="L1145">
        <v>5</v>
      </c>
      <c r="M1145" s="12">
        <v>16499</v>
      </c>
      <c r="N1145" s="12">
        <v>14519.12</v>
      </c>
      <c r="O1145">
        <v>4</v>
      </c>
      <c r="P1145" s="12">
        <v>79195.199999999997</v>
      </c>
      <c r="Q1145" s="12">
        <v>72595.600000000006</v>
      </c>
      <c r="R1145" s="12">
        <v>6599.5999999999913</v>
      </c>
      <c r="S1145" t="s">
        <v>113</v>
      </c>
      <c r="T1145" t="s">
        <v>107</v>
      </c>
      <c r="U1145" t="s">
        <v>1198</v>
      </c>
    </row>
    <row r="1146" spans="1:21" x14ac:dyDescent="0.25">
      <c r="A1146" t="s">
        <v>3027</v>
      </c>
      <c r="B1146" s="8">
        <v>45953</v>
      </c>
      <c r="C1146" t="s">
        <v>1995</v>
      </c>
      <c r="D1146" t="s">
        <v>753</v>
      </c>
      <c r="E1146" t="s">
        <v>218</v>
      </c>
      <c r="F1146">
        <v>25</v>
      </c>
      <c r="G1146" t="s">
        <v>16</v>
      </c>
      <c r="H1146" t="s">
        <v>15</v>
      </c>
      <c r="I1146" t="s">
        <v>63</v>
      </c>
      <c r="J1146" t="s">
        <v>77</v>
      </c>
      <c r="K1146" t="s">
        <v>64</v>
      </c>
      <c r="L1146">
        <v>3</v>
      </c>
      <c r="M1146" s="12">
        <v>650</v>
      </c>
      <c r="N1146" s="12">
        <v>468</v>
      </c>
      <c r="O1146">
        <v>1</v>
      </c>
      <c r="P1146" s="12">
        <v>1930.5</v>
      </c>
      <c r="Q1146" s="12">
        <v>1404</v>
      </c>
      <c r="R1146" s="12">
        <v>526.5</v>
      </c>
      <c r="S1146" t="s">
        <v>113</v>
      </c>
      <c r="T1146" t="s">
        <v>108</v>
      </c>
      <c r="U1146" t="s">
        <v>1203</v>
      </c>
    </row>
    <row r="1147" spans="1:21" x14ac:dyDescent="0.25">
      <c r="A1147" t="s">
        <v>3028</v>
      </c>
      <c r="B1147" s="8">
        <v>45890</v>
      </c>
      <c r="C1147" t="s">
        <v>5098</v>
      </c>
      <c r="D1147" t="s">
        <v>1135</v>
      </c>
      <c r="E1147" t="s">
        <v>218</v>
      </c>
      <c r="F1147">
        <v>46</v>
      </c>
      <c r="G1147" t="s">
        <v>7</v>
      </c>
      <c r="H1147" t="s">
        <v>8</v>
      </c>
      <c r="I1147" t="s">
        <v>57</v>
      </c>
      <c r="J1147" t="s">
        <v>67</v>
      </c>
      <c r="K1147" t="s">
        <v>64</v>
      </c>
      <c r="L1147">
        <v>3</v>
      </c>
      <c r="M1147" s="12">
        <v>150</v>
      </c>
      <c r="N1147" s="12">
        <v>97.5</v>
      </c>
      <c r="O1147">
        <v>2</v>
      </c>
      <c r="P1147" s="12">
        <v>441</v>
      </c>
      <c r="Q1147" s="12">
        <v>292.5</v>
      </c>
      <c r="R1147" s="12">
        <v>148.5</v>
      </c>
      <c r="S1147" t="s">
        <v>1246</v>
      </c>
      <c r="T1147" t="s">
        <v>110</v>
      </c>
      <c r="U1147" t="s">
        <v>1207</v>
      </c>
    </row>
    <row r="1148" spans="1:21" x14ac:dyDescent="0.25">
      <c r="A1148" t="s">
        <v>3029</v>
      </c>
      <c r="B1148" s="8">
        <v>45923</v>
      </c>
      <c r="C1148" t="s">
        <v>3466</v>
      </c>
      <c r="D1148" t="s">
        <v>600</v>
      </c>
      <c r="E1148" t="s">
        <v>218</v>
      </c>
      <c r="F1148">
        <v>23</v>
      </c>
      <c r="G1148" t="s">
        <v>9</v>
      </c>
      <c r="H1148" t="s">
        <v>8</v>
      </c>
      <c r="I1148" t="s">
        <v>32</v>
      </c>
      <c r="J1148" t="s">
        <v>29</v>
      </c>
      <c r="K1148" t="s">
        <v>22</v>
      </c>
      <c r="L1148">
        <v>4</v>
      </c>
      <c r="M1148" s="12">
        <v>9500</v>
      </c>
      <c r="N1148" s="12">
        <v>6650</v>
      </c>
      <c r="O1148">
        <v>5</v>
      </c>
      <c r="P1148" s="12">
        <v>36100</v>
      </c>
      <c r="Q1148" s="12">
        <v>26600</v>
      </c>
      <c r="R1148" s="12">
        <v>9500</v>
      </c>
      <c r="S1148" t="s">
        <v>1246</v>
      </c>
      <c r="T1148" t="s">
        <v>109</v>
      </c>
      <c r="U1148" t="s">
        <v>1196</v>
      </c>
    </row>
    <row r="1149" spans="1:21" x14ac:dyDescent="0.25">
      <c r="A1149" t="s">
        <v>3030</v>
      </c>
      <c r="B1149" s="8">
        <v>45858</v>
      </c>
      <c r="C1149" t="s">
        <v>1774</v>
      </c>
      <c r="D1149" t="s">
        <v>1105</v>
      </c>
      <c r="E1149" t="s">
        <v>218</v>
      </c>
      <c r="F1149">
        <v>50</v>
      </c>
      <c r="G1149" t="s">
        <v>14</v>
      </c>
      <c r="H1149" t="s">
        <v>15</v>
      </c>
      <c r="I1149" t="s">
        <v>24</v>
      </c>
      <c r="J1149" t="s">
        <v>25</v>
      </c>
      <c r="K1149" t="s">
        <v>22</v>
      </c>
      <c r="L1149">
        <v>4</v>
      </c>
      <c r="M1149" s="12">
        <v>35800</v>
      </c>
      <c r="N1149" s="12">
        <v>28640</v>
      </c>
      <c r="O1149">
        <v>6</v>
      </c>
      <c r="P1149" s="12">
        <v>134608</v>
      </c>
      <c r="Q1149" s="12">
        <v>114560</v>
      </c>
      <c r="R1149" s="12">
        <v>20048</v>
      </c>
      <c r="S1149" t="s">
        <v>1249</v>
      </c>
      <c r="T1149" t="s">
        <v>109</v>
      </c>
      <c r="U1149" t="s">
        <v>1201</v>
      </c>
    </row>
    <row r="1150" spans="1:21" x14ac:dyDescent="0.25">
      <c r="A1150" t="s">
        <v>3031</v>
      </c>
      <c r="B1150" s="8">
        <v>45939</v>
      </c>
      <c r="C1150" t="s">
        <v>4425</v>
      </c>
      <c r="D1150" t="s">
        <v>705</v>
      </c>
      <c r="E1150" t="s">
        <v>218</v>
      </c>
      <c r="F1150">
        <v>30</v>
      </c>
      <c r="G1150" t="s">
        <v>16</v>
      </c>
      <c r="H1150" t="s">
        <v>15</v>
      </c>
      <c r="I1150" t="s">
        <v>30</v>
      </c>
      <c r="J1150" t="s">
        <v>41</v>
      </c>
      <c r="K1150" t="s">
        <v>22</v>
      </c>
      <c r="L1150">
        <v>1</v>
      </c>
      <c r="M1150" s="12">
        <v>13749</v>
      </c>
      <c r="N1150" s="12">
        <v>10999.2</v>
      </c>
      <c r="O1150">
        <v>7</v>
      </c>
      <c r="P1150" s="12">
        <v>12786.57</v>
      </c>
      <c r="Q1150" s="12">
        <v>10999.2</v>
      </c>
      <c r="R1150" s="12">
        <v>1787.369999999999</v>
      </c>
      <c r="S1150" t="s">
        <v>1246</v>
      </c>
      <c r="T1150" t="s">
        <v>108</v>
      </c>
      <c r="U1150" t="s">
        <v>1196</v>
      </c>
    </row>
    <row r="1151" spans="1:21" x14ac:dyDescent="0.25">
      <c r="A1151" t="s">
        <v>3032</v>
      </c>
      <c r="B1151" s="8">
        <v>45823</v>
      </c>
      <c r="C1151" t="s">
        <v>2424</v>
      </c>
      <c r="D1151" t="s">
        <v>536</v>
      </c>
      <c r="E1151" t="s">
        <v>198</v>
      </c>
      <c r="F1151">
        <v>59</v>
      </c>
      <c r="G1151" t="s">
        <v>2</v>
      </c>
      <c r="H1151" t="s">
        <v>3</v>
      </c>
      <c r="I1151" t="s">
        <v>59</v>
      </c>
      <c r="J1151" t="s">
        <v>73</v>
      </c>
      <c r="K1151" t="s">
        <v>64</v>
      </c>
      <c r="L1151">
        <v>5</v>
      </c>
      <c r="M1151" s="12">
        <v>120</v>
      </c>
      <c r="N1151" s="12">
        <v>81.599999999999994</v>
      </c>
      <c r="O1151">
        <v>8</v>
      </c>
      <c r="P1151" s="12">
        <v>552</v>
      </c>
      <c r="Q1151" s="12">
        <v>408</v>
      </c>
      <c r="R1151" s="12">
        <v>144</v>
      </c>
      <c r="S1151" t="s">
        <v>1246</v>
      </c>
      <c r="T1151" t="s">
        <v>107</v>
      </c>
      <c r="U1151" t="s">
        <v>1198</v>
      </c>
    </row>
    <row r="1152" spans="1:21" x14ac:dyDescent="0.25">
      <c r="A1152" t="s">
        <v>3034</v>
      </c>
      <c r="B1152" s="8">
        <v>45903</v>
      </c>
      <c r="C1152" t="s">
        <v>3573</v>
      </c>
      <c r="D1152" t="s">
        <v>838</v>
      </c>
      <c r="E1152" t="s">
        <v>218</v>
      </c>
      <c r="F1152">
        <v>59</v>
      </c>
      <c r="G1152" t="s">
        <v>7</v>
      </c>
      <c r="H1152" t="s">
        <v>8</v>
      </c>
      <c r="I1152" t="s">
        <v>26</v>
      </c>
      <c r="J1152" t="s">
        <v>27</v>
      </c>
      <c r="K1152" t="s">
        <v>22</v>
      </c>
      <c r="L1152">
        <v>1</v>
      </c>
      <c r="M1152" s="12">
        <v>27499</v>
      </c>
      <c r="N1152" s="12">
        <v>23374.149999999998</v>
      </c>
      <c r="O1152">
        <v>8</v>
      </c>
      <c r="P1152" s="12">
        <v>25299.08</v>
      </c>
      <c r="Q1152" s="12">
        <v>23374.149999999998</v>
      </c>
      <c r="R1152" s="12">
        <v>1924.9300000000039</v>
      </c>
      <c r="S1152" t="s">
        <v>1246</v>
      </c>
      <c r="T1152" t="s">
        <v>107</v>
      </c>
      <c r="U1152" t="s">
        <v>1199</v>
      </c>
    </row>
    <row r="1153" spans="1:21" x14ac:dyDescent="0.25">
      <c r="A1153" t="s">
        <v>3036</v>
      </c>
      <c r="B1153" s="8">
        <v>45723</v>
      </c>
      <c r="C1153" t="s">
        <v>3466</v>
      </c>
      <c r="D1153" t="s">
        <v>600</v>
      </c>
      <c r="E1153" t="s">
        <v>218</v>
      </c>
      <c r="F1153">
        <v>23</v>
      </c>
      <c r="G1153" t="s">
        <v>9</v>
      </c>
      <c r="H1153" t="s">
        <v>8</v>
      </c>
      <c r="I1153" t="s">
        <v>34</v>
      </c>
      <c r="J1153" t="s">
        <v>137</v>
      </c>
      <c r="K1153" t="s">
        <v>22</v>
      </c>
      <c r="L1153">
        <v>2</v>
      </c>
      <c r="M1153" s="12">
        <v>6900</v>
      </c>
      <c r="N1153" s="12">
        <v>5727</v>
      </c>
      <c r="O1153">
        <v>6</v>
      </c>
      <c r="P1153" s="12">
        <v>12972</v>
      </c>
      <c r="Q1153" s="12">
        <v>11454</v>
      </c>
      <c r="R1153" s="12">
        <v>1518</v>
      </c>
      <c r="S1153" t="s">
        <v>1246</v>
      </c>
      <c r="T1153" t="s">
        <v>109</v>
      </c>
      <c r="U1153" t="s">
        <v>1209</v>
      </c>
    </row>
    <row r="1154" spans="1:21" x14ac:dyDescent="0.25">
      <c r="A1154" t="s">
        <v>3038</v>
      </c>
      <c r="B1154" s="8">
        <v>45959</v>
      </c>
      <c r="C1154" t="s">
        <v>2124</v>
      </c>
      <c r="D1154" t="s">
        <v>1004</v>
      </c>
      <c r="E1154" t="s">
        <v>198</v>
      </c>
      <c r="F1154">
        <v>46</v>
      </c>
      <c r="G1154" t="s">
        <v>5</v>
      </c>
      <c r="H1154" t="s">
        <v>3</v>
      </c>
      <c r="I1154" t="s">
        <v>61</v>
      </c>
      <c r="J1154" t="s">
        <v>146</v>
      </c>
      <c r="K1154" t="s">
        <v>64</v>
      </c>
      <c r="L1154">
        <v>1</v>
      </c>
      <c r="M1154" s="12">
        <v>250</v>
      </c>
      <c r="N1154" s="12">
        <v>155</v>
      </c>
      <c r="O1154">
        <v>1</v>
      </c>
      <c r="P1154" s="12">
        <v>247.5</v>
      </c>
      <c r="Q1154" s="12">
        <v>155</v>
      </c>
      <c r="R1154" s="12">
        <v>92.5</v>
      </c>
      <c r="S1154" t="s">
        <v>1246</v>
      </c>
      <c r="T1154" t="s">
        <v>107</v>
      </c>
      <c r="U1154" t="s">
        <v>1207</v>
      </c>
    </row>
    <row r="1155" spans="1:21" x14ac:dyDescent="0.25">
      <c r="A1155" t="s">
        <v>3039</v>
      </c>
      <c r="B1155" s="8">
        <v>45722</v>
      </c>
      <c r="C1155" t="s">
        <v>5079</v>
      </c>
      <c r="D1155" t="s">
        <v>1136</v>
      </c>
      <c r="E1155" t="s">
        <v>218</v>
      </c>
      <c r="F1155">
        <v>38</v>
      </c>
      <c r="G1155" t="s">
        <v>17</v>
      </c>
      <c r="H1155" t="s">
        <v>15</v>
      </c>
      <c r="I1155" t="s">
        <v>47</v>
      </c>
      <c r="J1155" t="s">
        <v>52</v>
      </c>
      <c r="K1155" t="s">
        <v>43</v>
      </c>
      <c r="L1155">
        <v>4</v>
      </c>
      <c r="M1155" s="12">
        <v>42999</v>
      </c>
      <c r="N1155" s="12">
        <v>33539.22</v>
      </c>
      <c r="O1155">
        <v>10</v>
      </c>
      <c r="P1155" s="12">
        <v>154796.4</v>
      </c>
      <c r="Q1155" s="12">
        <v>134156.88</v>
      </c>
      <c r="R1155" s="12">
        <v>20639.51999999999</v>
      </c>
      <c r="S1155" t="s">
        <v>1246</v>
      </c>
      <c r="T1155" t="s">
        <v>107</v>
      </c>
      <c r="U1155" t="s">
        <v>1196</v>
      </c>
    </row>
    <row r="1156" spans="1:21" x14ac:dyDescent="0.25">
      <c r="A1156" t="s">
        <v>3040</v>
      </c>
      <c r="B1156" s="8">
        <v>45914</v>
      </c>
      <c r="C1156" t="s">
        <v>1621</v>
      </c>
      <c r="D1156" t="s">
        <v>1086</v>
      </c>
      <c r="E1156" t="s">
        <v>218</v>
      </c>
      <c r="F1156">
        <v>24</v>
      </c>
      <c r="G1156" t="s">
        <v>2</v>
      </c>
      <c r="H1156" t="s">
        <v>3</v>
      </c>
      <c r="I1156" t="s">
        <v>59</v>
      </c>
      <c r="J1156" t="s">
        <v>73</v>
      </c>
      <c r="K1156" t="s">
        <v>64</v>
      </c>
      <c r="L1156">
        <v>2</v>
      </c>
      <c r="M1156" s="12">
        <v>120</v>
      </c>
      <c r="N1156" s="12">
        <v>81.599999999999994</v>
      </c>
      <c r="O1156">
        <v>3</v>
      </c>
      <c r="P1156" s="12">
        <v>232.79999999999998</v>
      </c>
      <c r="Q1156" s="12">
        <v>163.19999999999999</v>
      </c>
      <c r="R1156" s="12">
        <v>69.599999999999994</v>
      </c>
      <c r="S1156" t="s">
        <v>1246</v>
      </c>
      <c r="T1156" t="s">
        <v>108</v>
      </c>
      <c r="U1156" t="s">
        <v>1194</v>
      </c>
    </row>
    <row r="1157" spans="1:21" x14ac:dyDescent="0.25">
      <c r="A1157" t="s">
        <v>3042</v>
      </c>
      <c r="B1157" s="8">
        <v>45941</v>
      </c>
      <c r="C1157" t="s">
        <v>3727</v>
      </c>
      <c r="D1157" t="s">
        <v>538</v>
      </c>
      <c r="E1157" t="s">
        <v>198</v>
      </c>
      <c r="F1157">
        <v>32</v>
      </c>
      <c r="G1157" t="s">
        <v>11</v>
      </c>
      <c r="H1157" t="s">
        <v>12</v>
      </c>
      <c r="I1157" t="s">
        <v>45</v>
      </c>
      <c r="J1157" t="s">
        <v>46</v>
      </c>
      <c r="K1157" t="s">
        <v>43</v>
      </c>
      <c r="L1157">
        <v>2</v>
      </c>
      <c r="M1157" s="12">
        <v>11999</v>
      </c>
      <c r="N1157" s="12">
        <v>8999.25</v>
      </c>
      <c r="O1157">
        <v>6</v>
      </c>
      <c r="P1157" s="12">
        <v>22558.12</v>
      </c>
      <c r="Q1157" s="12">
        <v>17998.5</v>
      </c>
      <c r="R1157" s="12">
        <v>4559.619999999999</v>
      </c>
      <c r="S1157" t="s">
        <v>1249</v>
      </c>
      <c r="T1157" t="s">
        <v>108</v>
      </c>
      <c r="U1157" t="s">
        <v>1201</v>
      </c>
    </row>
    <row r="1158" spans="1:21" x14ac:dyDescent="0.25">
      <c r="A1158" t="s">
        <v>3043</v>
      </c>
      <c r="B1158" s="8">
        <v>45766</v>
      </c>
      <c r="C1158" t="s">
        <v>2108</v>
      </c>
      <c r="D1158" t="s">
        <v>362</v>
      </c>
      <c r="E1158" t="s">
        <v>218</v>
      </c>
      <c r="F1158">
        <v>23</v>
      </c>
      <c r="G1158" t="s">
        <v>2</v>
      </c>
      <c r="H1158" t="s">
        <v>3</v>
      </c>
      <c r="I1158" t="s">
        <v>38</v>
      </c>
      <c r="J1158" t="s">
        <v>37</v>
      </c>
      <c r="K1158" t="s">
        <v>22</v>
      </c>
      <c r="L1158">
        <v>2</v>
      </c>
      <c r="M1158" s="12">
        <v>1650</v>
      </c>
      <c r="N1158" s="12">
        <v>990</v>
      </c>
      <c r="O1158">
        <v>5</v>
      </c>
      <c r="P1158" s="12">
        <v>3135</v>
      </c>
      <c r="Q1158" s="12">
        <v>1980</v>
      </c>
      <c r="R1158" s="12">
        <v>1155</v>
      </c>
      <c r="S1158" t="s">
        <v>1246</v>
      </c>
      <c r="T1158" t="s">
        <v>108</v>
      </c>
      <c r="U1158" t="s">
        <v>1199</v>
      </c>
    </row>
    <row r="1159" spans="1:21" x14ac:dyDescent="0.25">
      <c r="A1159" t="s">
        <v>3045</v>
      </c>
      <c r="B1159" s="8">
        <v>45954</v>
      </c>
      <c r="C1159" t="s">
        <v>3018</v>
      </c>
      <c r="D1159" t="s">
        <v>459</v>
      </c>
      <c r="E1159" t="s">
        <v>218</v>
      </c>
      <c r="F1159">
        <v>21</v>
      </c>
      <c r="G1159" t="s">
        <v>5</v>
      </c>
      <c r="H1159" t="s">
        <v>3</v>
      </c>
      <c r="I1159" t="s">
        <v>42</v>
      </c>
      <c r="J1159" t="s">
        <v>44</v>
      </c>
      <c r="K1159" t="s">
        <v>43</v>
      </c>
      <c r="L1159">
        <v>3</v>
      </c>
      <c r="M1159" s="12">
        <v>8999</v>
      </c>
      <c r="N1159" s="12">
        <v>6479.28</v>
      </c>
      <c r="O1159">
        <v>6</v>
      </c>
      <c r="P1159" s="12">
        <v>25377.18</v>
      </c>
      <c r="Q1159" s="12">
        <v>19437.84</v>
      </c>
      <c r="R1159" s="12">
        <v>5939.34</v>
      </c>
      <c r="S1159" t="s">
        <v>1249</v>
      </c>
      <c r="T1159" t="s">
        <v>111</v>
      </c>
      <c r="U1159" t="s">
        <v>1198</v>
      </c>
    </row>
    <row r="1160" spans="1:21" x14ac:dyDescent="0.25">
      <c r="A1160" t="s">
        <v>3047</v>
      </c>
      <c r="B1160" s="8">
        <v>45824</v>
      </c>
      <c r="C1160" t="s">
        <v>4095</v>
      </c>
      <c r="D1160" t="s">
        <v>1014</v>
      </c>
      <c r="E1160" t="s">
        <v>218</v>
      </c>
      <c r="F1160">
        <v>63</v>
      </c>
      <c r="G1160" t="s">
        <v>290</v>
      </c>
      <c r="H1160" t="s">
        <v>3</v>
      </c>
      <c r="I1160" t="s">
        <v>32</v>
      </c>
      <c r="J1160" t="s">
        <v>29</v>
      </c>
      <c r="K1160" t="s">
        <v>22</v>
      </c>
      <c r="L1160">
        <v>2</v>
      </c>
      <c r="M1160" s="12">
        <v>9500</v>
      </c>
      <c r="N1160" s="12">
        <v>6650</v>
      </c>
      <c r="O1160">
        <v>6</v>
      </c>
      <c r="P1160" s="12">
        <v>17860</v>
      </c>
      <c r="Q1160" s="12">
        <v>13300</v>
      </c>
      <c r="R1160" s="12">
        <v>4560</v>
      </c>
      <c r="S1160" t="s">
        <v>113</v>
      </c>
      <c r="T1160" t="s">
        <v>109</v>
      </c>
      <c r="U1160" t="s">
        <v>1203</v>
      </c>
    </row>
    <row r="1161" spans="1:21" x14ac:dyDescent="0.25">
      <c r="A1161" t="s">
        <v>3048</v>
      </c>
      <c r="B1161" s="8">
        <v>45765</v>
      </c>
      <c r="C1161" t="s">
        <v>3466</v>
      </c>
      <c r="D1161" t="s">
        <v>600</v>
      </c>
      <c r="E1161" t="s">
        <v>218</v>
      </c>
      <c r="F1161">
        <v>23</v>
      </c>
      <c r="G1161" t="s">
        <v>9</v>
      </c>
      <c r="H1161" t="s">
        <v>8</v>
      </c>
      <c r="I1161" t="s">
        <v>38</v>
      </c>
      <c r="J1161" t="s">
        <v>37</v>
      </c>
      <c r="K1161" t="s">
        <v>22</v>
      </c>
      <c r="L1161">
        <v>4</v>
      </c>
      <c r="M1161" s="12">
        <v>1650</v>
      </c>
      <c r="N1161" s="12">
        <v>990</v>
      </c>
      <c r="O1161">
        <v>4</v>
      </c>
      <c r="P1161" s="12">
        <v>6336</v>
      </c>
      <c r="Q1161" s="12">
        <v>3960</v>
      </c>
      <c r="R1161" s="12">
        <v>2376</v>
      </c>
      <c r="S1161" t="s">
        <v>113</v>
      </c>
      <c r="T1161" t="s">
        <v>107</v>
      </c>
      <c r="U1161" t="s">
        <v>1205</v>
      </c>
    </row>
    <row r="1162" spans="1:21" x14ac:dyDescent="0.25">
      <c r="A1162" t="s">
        <v>3049</v>
      </c>
      <c r="B1162" s="8">
        <v>45839</v>
      </c>
      <c r="C1162" t="s">
        <v>4132</v>
      </c>
      <c r="D1162" t="s">
        <v>875</v>
      </c>
      <c r="E1162" t="s">
        <v>198</v>
      </c>
      <c r="F1162">
        <v>40</v>
      </c>
      <c r="G1162" t="s">
        <v>2</v>
      </c>
      <c r="H1162" t="s">
        <v>3</v>
      </c>
      <c r="I1162" t="s">
        <v>28</v>
      </c>
      <c r="J1162" t="s">
        <v>35</v>
      </c>
      <c r="K1162" t="s">
        <v>22</v>
      </c>
      <c r="L1162">
        <v>3</v>
      </c>
      <c r="M1162" s="12">
        <v>16499</v>
      </c>
      <c r="N1162" s="12">
        <v>14519.12</v>
      </c>
      <c r="O1162">
        <v>4</v>
      </c>
      <c r="P1162" s="12">
        <v>47517.119999999995</v>
      </c>
      <c r="Q1162" s="12">
        <v>43557.36</v>
      </c>
      <c r="R1162" s="12">
        <v>3959.7599999999948</v>
      </c>
      <c r="S1162" t="s">
        <v>113</v>
      </c>
      <c r="T1162" t="s">
        <v>110</v>
      </c>
      <c r="U1162" t="s">
        <v>1209</v>
      </c>
    </row>
    <row r="1163" spans="1:21" x14ac:dyDescent="0.25">
      <c r="A1163" t="s">
        <v>3051</v>
      </c>
      <c r="B1163" s="8">
        <v>45857</v>
      </c>
      <c r="C1163" t="s">
        <v>1837</v>
      </c>
      <c r="D1163" t="s">
        <v>449</v>
      </c>
      <c r="E1163" t="s">
        <v>198</v>
      </c>
      <c r="F1163">
        <v>24</v>
      </c>
      <c r="G1163" t="s">
        <v>14</v>
      </c>
      <c r="H1163" t="s">
        <v>15</v>
      </c>
      <c r="I1163" t="s">
        <v>32</v>
      </c>
      <c r="J1163" t="s">
        <v>29</v>
      </c>
      <c r="K1163" t="s">
        <v>22</v>
      </c>
      <c r="L1163">
        <v>3</v>
      </c>
      <c r="M1163" s="12">
        <v>9500</v>
      </c>
      <c r="N1163" s="12">
        <v>6650</v>
      </c>
      <c r="O1163">
        <v>6</v>
      </c>
      <c r="P1163" s="12">
        <v>26790</v>
      </c>
      <c r="Q1163" s="12">
        <v>19950</v>
      </c>
      <c r="R1163" s="12">
        <v>6840</v>
      </c>
      <c r="S1163" t="s">
        <v>1246</v>
      </c>
      <c r="T1163" t="s">
        <v>108</v>
      </c>
      <c r="U1163" t="s">
        <v>1203</v>
      </c>
    </row>
    <row r="1164" spans="1:21" x14ac:dyDescent="0.25">
      <c r="A1164" t="s">
        <v>3052</v>
      </c>
      <c r="B1164" s="8">
        <v>45827</v>
      </c>
      <c r="C1164" t="s">
        <v>3366</v>
      </c>
      <c r="D1164" t="s">
        <v>385</v>
      </c>
      <c r="E1164" t="s">
        <v>198</v>
      </c>
      <c r="F1164">
        <v>64</v>
      </c>
      <c r="G1164" t="s">
        <v>16</v>
      </c>
      <c r="H1164" t="s">
        <v>15</v>
      </c>
      <c r="I1164" t="s">
        <v>61</v>
      </c>
      <c r="J1164" t="s">
        <v>146</v>
      </c>
      <c r="K1164" t="s">
        <v>64</v>
      </c>
      <c r="L1164">
        <v>1</v>
      </c>
      <c r="M1164" s="12">
        <v>250</v>
      </c>
      <c r="N1164" s="12">
        <v>155</v>
      </c>
      <c r="O1164">
        <v>11</v>
      </c>
      <c r="P1164" s="12">
        <v>222.5</v>
      </c>
      <c r="Q1164" s="12">
        <v>155</v>
      </c>
      <c r="R1164" s="12">
        <v>67.5</v>
      </c>
      <c r="S1164" t="s">
        <v>1246</v>
      </c>
      <c r="T1164" t="s">
        <v>107</v>
      </c>
      <c r="U1164" t="s">
        <v>1194</v>
      </c>
    </row>
    <row r="1165" spans="1:21" x14ac:dyDescent="0.25">
      <c r="A1165" t="s">
        <v>3053</v>
      </c>
      <c r="B1165" s="8">
        <v>45734</v>
      </c>
      <c r="C1165" t="s">
        <v>1753</v>
      </c>
      <c r="D1165" t="s">
        <v>962</v>
      </c>
      <c r="E1165" t="s">
        <v>218</v>
      </c>
      <c r="F1165">
        <v>50</v>
      </c>
      <c r="G1165" t="s">
        <v>11</v>
      </c>
      <c r="H1165" t="s">
        <v>12</v>
      </c>
      <c r="I1165" t="s">
        <v>24</v>
      </c>
      <c r="J1165" t="s">
        <v>25</v>
      </c>
      <c r="K1165" t="s">
        <v>22</v>
      </c>
      <c r="L1165">
        <v>1</v>
      </c>
      <c r="M1165" s="12">
        <v>35800</v>
      </c>
      <c r="N1165" s="12">
        <v>28640</v>
      </c>
      <c r="O1165">
        <v>5</v>
      </c>
      <c r="P1165" s="12">
        <v>34010</v>
      </c>
      <c r="Q1165" s="12">
        <v>28640</v>
      </c>
      <c r="R1165" s="12">
        <v>5370</v>
      </c>
      <c r="S1165" t="s">
        <v>1246</v>
      </c>
      <c r="T1165" t="s">
        <v>111</v>
      </c>
      <c r="U1165" t="s">
        <v>1194</v>
      </c>
    </row>
    <row r="1166" spans="1:21" x14ac:dyDescent="0.25">
      <c r="A1166" t="s">
        <v>3054</v>
      </c>
      <c r="B1166" s="8">
        <v>45727</v>
      </c>
      <c r="C1166" t="s">
        <v>1621</v>
      </c>
      <c r="D1166" t="s">
        <v>1086</v>
      </c>
      <c r="E1166" t="s">
        <v>218</v>
      </c>
      <c r="F1166">
        <v>24</v>
      </c>
      <c r="G1166" t="s">
        <v>2</v>
      </c>
      <c r="H1166" t="s">
        <v>3</v>
      </c>
      <c r="I1166" t="s">
        <v>59</v>
      </c>
      <c r="J1166" t="s">
        <v>73</v>
      </c>
      <c r="K1166" t="s">
        <v>64</v>
      </c>
      <c r="L1166">
        <v>1</v>
      </c>
      <c r="M1166" s="12">
        <v>120</v>
      </c>
      <c r="N1166" s="12">
        <v>81.599999999999994</v>
      </c>
      <c r="O1166">
        <v>0</v>
      </c>
      <c r="P1166" s="12">
        <v>120</v>
      </c>
      <c r="Q1166" s="12">
        <v>81.599999999999994</v>
      </c>
      <c r="R1166" s="12">
        <v>38.400000000000006</v>
      </c>
      <c r="S1166" t="s">
        <v>1246</v>
      </c>
      <c r="T1166" t="s">
        <v>107</v>
      </c>
      <c r="U1166" t="s">
        <v>1194</v>
      </c>
    </row>
    <row r="1167" spans="1:21" x14ac:dyDescent="0.25">
      <c r="A1167" t="s">
        <v>3055</v>
      </c>
      <c r="B1167" s="8">
        <v>45904</v>
      </c>
      <c r="C1167" t="s">
        <v>2025</v>
      </c>
      <c r="D1167" t="s">
        <v>963</v>
      </c>
      <c r="E1167" t="s">
        <v>198</v>
      </c>
      <c r="F1167">
        <v>46</v>
      </c>
      <c r="G1167" t="s">
        <v>9</v>
      </c>
      <c r="H1167" t="s">
        <v>8</v>
      </c>
      <c r="I1167" t="s">
        <v>26</v>
      </c>
      <c r="J1167" t="s">
        <v>27</v>
      </c>
      <c r="K1167" t="s">
        <v>22</v>
      </c>
      <c r="L1167">
        <v>5</v>
      </c>
      <c r="M1167" s="12">
        <v>27499</v>
      </c>
      <c r="N1167" s="12">
        <v>23374.149999999998</v>
      </c>
      <c r="O1167">
        <v>8</v>
      </c>
      <c r="P1167" s="12">
        <v>126495.40000000001</v>
      </c>
      <c r="Q1167" s="12">
        <v>116870.74999999999</v>
      </c>
      <c r="R1167" s="12">
        <v>9624.6500000000233</v>
      </c>
      <c r="S1167" t="s">
        <v>1246</v>
      </c>
      <c r="T1167" t="s">
        <v>110</v>
      </c>
      <c r="U1167" t="s">
        <v>1198</v>
      </c>
    </row>
    <row r="1168" spans="1:21" x14ac:dyDescent="0.25">
      <c r="A1168" t="s">
        <v>3056</v>
      </c>
      <c r="B1168" s="8">
        <v>45953</v>
      </c>
      <c r="C1168" t="s">
        <v>3018</v>
      </c>
      <c r="D1168" t="s">
        <v>459</v>
      </c>
      <c r="E1168" t="s">
        <v>218</v>
      </c>
      <c r="F1168">
        <v>21</v>
      </c>
      <c r="G1168" t="s">
        <v>5</v>
      </c>
      <c r="H1168" t="s">
        <v>3</v>
      </c>
      <c r="I1168" t="s">
        <v>34</v>
      </c>
      <c r="J1168" t="s">
        <v>137</v>
      </c>
      <c r="K1168" t="s">
        <v>22</v>
      </c>
      <c r="L1168">
        <v>4</v>
      </c>
      <c r="M1168" s="12">
        <v>6900</v>
      </c>
      <c r="N1168" s="12">
        <v>5727</v>
      </c>
      <c r="O1168">
        <v>8</v>
      </c>
      <c r="P1168" s="12">
        <v>25392</v>
      </c>
      <c r="Q1168" s="12">
        <v>22908</v>
      </c>
      <c r="R1168" s="12">
        <v>2484</v>
      </c>
      <c r="S1168" t="s">
        <v>113</v>
      </c>
      <c r="T1168" t="s">
        <v>109</v>
      </c>
      <c r="U1168" t="s">
        <v>1199</v>
      </c>
    </row>
    <row r="1169" spans="1:21" x14ac:dyDescent="0.25">
      <c r="A1169" t="s">
        <v>3057</v>
      </c>
      <c r="B1169" s="8">
        <v>45730</v>
      </c>
      <c r="C1169" t="s">
        <v>2787</v>
      </c>
      <c r="D1169" t="s">
        <v>497</v>
      </c>
      <c r="E1169" t="s">
        <v>218</v>
      </c>
      <c r="F1169">
        <v>32</v>
      </c>
      <c r="G1169" t="s">
        <v>17</v>
      </c>
      <c r="H1169" t="s">
        <v>15</v>
      </c>
      <c r="I1169" t="s">
        <v>51</v>
      </c>
      <c r="J1169" t="s">
        <v>54</v>
      </c>
      <c r="K1169" t="s">
        <v>43</v>
      </c>
      <c r="L1169">
        <v>1</v>
      </c>
      <c r="M1169" s="12">
        <v>27499</v>
      </c>
      <c r="N1169" s="12">
        <v>21724.210000000003</v>
      </c>
      <c r="O1169">
        <v>10</v>
      </c>
      <c r="P1169" s="12">
        <v>24749.100000000002</v>
      </c>
      <c r="Q1169" s="12">
        <v>21724.210000000003</v>
      </c>
      <c r="R1169" s="12">
        <v>3024.8899999999994</v>
      </c>
      <c r="S1169" t="s">
        <v>113</v>
      </c>
      <c r="T1169" t="s">
        <v>108</v>
      </c>
      <c r="U1169" t="s">
        <v>1198</v>
      </c>
    </row>
    <row r="1170" spans="1:21" x14ac:dyDescent="0.25">
      <c r="A1170" t="s">
        <v>3058</v>
      </c>
      <c r="B1170" s="8">
        <v>45840</v>
      </c>
      <c r="C1170" t="s">
        <v>4380</v>
      </c>
      <c r="D1170" t="s">
        <v>870</v>
      </c>
      <c r="E1170" t="s">
        <v>218</v>
      </c>
      <c r="F1170">
        <v>24</v>
      </c>
      <c r="G1170" t="s">
        <v>10</v>
      </c>
      <c r="H1170" t="s">
        <v>8</v>
      </c>
      <c r="I1170" t="s">
        <v>21</v>
      </c>
      <c r="J1170" t="s">
        <v>23</v>
      </c>
      <c r="K1170" t="s">
        <v>22</v>
      </c>
      <c r="L1170">
        <v>5</v>
      </c>
      <c r="M1170" s="12">
        <v>54999</v>
      </c>
      <c r="N1170" s="12">
        <v>45099.18</v>
      </c>
      <c r="O1170">
        <v>7</v>
      </c>
      <c r="P1170" s="12">
        <v>255745.34999999998</v>
      </c>
      <c r="Q1170" s="12">
        <v>225495.9</v>
      </c>
      <c r="R1170" s="12">
        <v>30249.449999999983</v>
      </c>
      <c r="S1170" t="s">
        <v>1246</v>
      </c>
      <c r="T1170" t="s">
        <v>109</v>
      </c>
      <c r="U1170" t="s">
        <v>1198</v>
      </c>
    </row>
    <row r="1171" spans="1:21" x14ac:dyDescent="0.25">
      <c r="A1171" t="s">
        <v>3059</v>
      </c>
      <c r="B1171" s="8">
        <v>45673</v>
      </c>
      <c r="C1171" t="s">
        <v>2962</v>
      </c>
      <c r="D1171" t="s">
        <v>584</v>
      </c>
      <c r="E1171" t="s">
        <v>218</v>
      </c>
      <c r="F1171">
        <v>46</v>
      </c>
      <c r="G1171" t="s">
        <v>11</v>
      </c>
      <c r="H1171" t="s">
        <v>12</v>
      </c>
      <c r="I1171" t="s">
        <v>61</v>
      </c>
      <c r="J1171" t="s">
        <v>146</v>
      </c>
      <c r="K1171" t="s">
        <v>64</v>
      </c>
      <c r="L1171">
        <v>5</v>
      </c>
      <c r="M1171" s="12">
        <v>250</v>
      </c>
      <c r="N1171" s="12">
        <v>155</v>
      </c>
      <c r="O1171">
        <v>9</v>
      </c>
      <c r="P1171" s="12">
        <v>1137.5</v>
      </c>
      <c r="Q1171" s="12">
        <v>775</v>
      </c>
      <c r="R1171" s="12">
        <v>362.5</v>
      </c>
      <c r="S1171" t="s">
        <v>113</v>
      </c>
      <c r="T1171" t="s">
        <v>109</v>
      </c>
      <c r="U1171" t="s">
        <v>1194</v>
      </c>
    </row>
    <row r="1172" spans="1:21" x14ac:dyDescent="0.25">
      <c r="A1172" t="s">
        <v>3060</v>
      </c>
      <c r="B1172" s="8">
        <v>45684</v>
      </c>
      <c r="C1172" t="s">
        <v>1966</v>
      </c>
      <c r="D1172" t="s">
        <v>408</v>
      </c>
      <c r="E1172" t="s">
        <v>198</v>
      </c>
      <c r="F1172">
        <v>42</v>
      </c>
      <c r="G1172" t="s">
        <v>16</v>
      </c>
      <c r="H1172" t="s">
        <v>15</v>
      </c>
      <c r="I1172" t="s">
        <v>38</v>
      </c>
      <c r="J1172" t="s">
        <v>37</v>
      </c>
      <c r="K1172" t="s">
        <v>22</v>
      </c>
      <c r="L1172">
        <v>2</v>
      </c>
      <c r="M1172" s="12">
        <v>1650</v>
      </c>
      <c r="N1172" s="12">
        <v>990</v>
      </c>
      <c r="O1172">
        <v>7</v>
      </c>
      <c r="P1172" s="12">
        <v>3069</v>
      </c>
      <c r="Q1172" s="12">
        <v>1980</v>
      </c>
      <c r="R1172" s="12">
        <v>1089</v>
      </c>
      <c r="S1172" t="s">
        <v>113</v>
      </c>
      <c r="T1172" t="s">
        <v>110</v>
      </c>
      <c r="U1172" t="s">
        <v>1199</v>
      </c>
    </row>
    <row r="1173" spans="1:21" x14ac:dyDescent="0.25">
      <c r="A1173" t="s">
        <v>3062</v>
      </c>
      <c r="B1173" s="8">
        <v>45951</v>
      </c>
      <c r="C1173" t="s">
        <v>2403</v>
      </c>
      <c r="D1173" t="s">
        <v>690</v>
      </c>
      <c r="E1173" t="s">
        <v>218</v>
      </c>
      <c r="F1173">
        <v>39</v>
      </c>
      <c r="G1173" t="s">
        <v>14</v>
      </c>
      <c r="H1173" t="s">
        <v>15</v>
      </c>
      <c r="I1173" t="s">
        <v>38</v>
      </c>
      <c r="J1173" t="s">
        <v>37</v>
      </c>
      <c r="K1173" t="s">
        <v>22</v>
      </c>
      <c r="L1173">
        <v>5</v>
      </c>
      <c r="M1173" s="12">
        <v>1650</v>
      </c>
      <c r="N1173" s="12">
        <v>990</v>
      </c>
      <c r="O1173">
        <v>4</v>
      </c>
      <c r="P1173" s="12">
        <v>7920</v>
      </c>
      <c r="Q1173" s="12">
        <v>4950</v>
      </c>
      <c r="R1173" s="12">
        <v>2970</v>
      </c>
      <c r="S1173" t="s">
        <v>1246</v>
      </c>
      <c r="T1173" t="s">
        <v>107</v>
      </c>
      <c r="U1173" t="s">
        <v>1198</v>
      </c>
    </row>
    <row r="1174" spans="1:21" x14ac:dyDescent="0.25">
      <c r="A1174" t="s">
        <v>3063</v>
      </c>
      <c r="B1174" s="8">
        <v>45859</v>
      </c>
      <c r="C1174" t="s">
        <v>1918</v>
      </c>
      <c r="D1174" t="s">
        <v>522</v>
      </c>
      <c r="E1174" t="s">
        <v>198</v>
      </c>
      <c r="F1174">
        <v>55</v>
      </c>
      <c r="G1174" t="s">
        <v>16</v>
      </c>
      <c r="H1174" t="s">
        <v>15</v>
      </c>
      <c r="I1174" t="s">
        <v>57</v>
      </c>
      <c r="J1174" t="s">
        <v>67</v>
      </c>
      <c r="K1174" t="s">
        <v>64</v>
      </c>
      <c r="L1174">
        <v>3</v>
      </c>
      <c r="M1174" s="12">
        <v>150</v>
      </c>
      <c r="N1174" s="12">
        <v>97.5</v>
      </c>
      <c r="O1174">
        <v>2</v>
      </c>
      <c r="P1174" s="12">
        <v>441</v>
      </c>
      <c r="Q1174" s="12">
        <v>292.5</v>
      </c>
      <c r="R1174" s="12">
        <v>148.5</v>
      </c>
      <c r="S1174" t="s">
        <v>1246</v>
      </c>
      <c r="T1174" t="s">
        <v>111</v>
      </c>
      <c r="U1174" t="s">
        <v>1196</v>
      </c>
    </row>
    <row r="1175" spans="1:21" x14ac:dyDescent="0.25">
      <c r="A1175" t="s">
        <v>3064</v>
      </c>
      <c r="B1175" s="8">
        <v>45805</v>
      </c>
      <c r="C1175" t="s">
        <v>1650</v>
      </c>
      <c r="D1175" t="s">
        <v>476</v>
      </c>
      <c r="E1175" t="s">
        <v>198</v>
      </c>
      <c r="F1175">
        <v>57</v>
      </c>
      <c r="G1175" t="s">
        <v>290</v>
      </c>
      <c r="H1175" t="s">
        <v>3</v>
      </c>
      <c r="I1175" t="s">
        <v>24</v>
      </c>
      <c r="J1175" t="s">
        <v>25</v>
      </c>
      <c r="K1175" t="s">
        <v>22</v>
      </c>
      <c r="L1175">
        <v>5</v>
      </c>
      <c r="M1175" s="12">
        <v>35800</v>
      </c>
      <c r="N1175" s="12">
        <v>28640</v>
      </c>
      <c r="O1175">
        <v>8</v>
      </c>
      <c r="P1175" s="12">
        <v>164680</v>
      </c>
      <c r="Q1175" s="12">
        <v>143200</v>
      </c>
      <c r="R1175" s="12">
        <v>21480</v>
      </c>
      <c r="S1175" t="s">
        <v>1249</v>
      </c>
      <c r="T1175" t="s">
        <v>107</v>
      </c>
      <c r="U1175" t="s">
        <v>1207</v>
      </c>
    </row>
    <row r="1176" spans="1:21" x14ac:dyDescent="0.25">
      <c r="A1176" t="s">
        <v>3066</v>
      </c>
      <c r="B1176" s="8">
        <v>45927</v>
      </c>
      <c r="C1176" t="s">
        <v>2663</v>
      </c>
      <c r="D1176" t="s">
        <v>403</v>
      </c>
      <c r="E1176" t="s">
        <v>218</v>
      </c>
      <c r="F1176">
        <v>60</v>
      </c>
      <c r="G1176" t="s">
        <v>290</v>
      </c>
      <c r="H1176" t="s">
        <v>3</v>
      </c>
      <c r="I1176" t="s">
        <v>45</v>
      </c>
      <c r="J1176" t="s">
        <v>46</v>
      </c>
      <c r="K1176" t="s">
        <v>43</v>
      </c>
      <c r="L1176">
        <v>3</v>
      </c>
      <c r="M1176" s="12">
        <v>11999</v>
      </c>
      <c r="N1176" s="12">
        <v>8999.25</v>
      </c>
      <c r="O1176">
        <v>10</v>
      </c>
      <c r="P1176" s="12">
        <v>32397.3</v>
      </c>
      <c r="Q1176" s="12">
        <v>26997.75</v>
      </c>
      <c r="R1176" s="12">
        <v>5399.5499999999993</v>
      </c>
      <c r="S1176" t="s">
        <v>1246</v>
      </c>
      <c r="T1176" t="s">
        <v>109</v>
      </c>
      <c r="U1176" t="s">
        <v>1209</v>
      </c>
    </row>
    <row r="1177" spans="1:21" x14ac:dyDescent="0.25">
      <c r="A1177" t="s">
        <v>3067</v>
      </c>
      <c r="B1177" s="8">
        <v>45797</v>
      </c>
      <c r="C1177" t="s">
        <v>2263</v>
      </c>
      <c r="D1177" t="s">
        <v>796</v>
      </c>
      <c r="E1177" t="s">
        <v>218</v>
      </c>
      <c r="F1177">
        <v>60</v>
      </c>
      <c r="G1177" t="s">
        <v>290</v>
      </c>
      <c r="H1177" t="s">
        <v>3</v>
      </c>
      <c r="I1177" t="s">
        <v>36</v>
      </c>
      <c r="J1177" t="s">
        <v>136</v>
      </c>
      <c r="K1177" t="s">
        <v>22</v>
      </c>
      <c r="L1177">
        <v>2</v>
      </c>
      <c r="M1177" s="12">
        <v>3590</v>
      </c>
      <c r="N1177" s="12">
        <v>2333.5</v>
      </c>
      <c r="O1177">
        <v>10</v>
      </c>
      <c r="P1177" s="12">
        <v>6462</v>
      </c>
      <c r="Q1177" s="12">
        <v>4667</v>
      </c>
      <c r="R1177" s="12">
        <v>1795</v>
      </c>
      <c r="S1177" t="s">
        <v>113</v>
      </c>
      <c r="T1177" t="s">
        <v>109</v>
      </c>
      <c r="U1177" t="s">
        <v>1196</v>
      </c>
    </row>
    <row r="1178" spans="1:21" x14ac:dyDescent="0.25">
      <c r="A1178" t="s">
        <v>3068</v>
      </c>
      <c r="B1178" s="8">
        <v>45825</v>
      </c>
      <c r="C1178" t="s">
        <v>2449</v>
      </c>
      <c r="D1178" t="s">
        <v>867</v>
      </c>
      <c r="E1178" t="s">
        <v>218</v>
      </c>
      <c r="F1178">
        <v>33</v>
      </c>
      <c r="G1178" t="s">
        <v>5</v>
      </c>
      <c r="H1178" t="s">
        <v>3</v>
      </c>
      <c r="I1178" t="s">
        <v>53</v>
      </c>
      <c r="J1178" t="s">
        <v>48</v>
      </c>
      <c r="K1178" t="s">
        <v>43</v>
      </c>
      <c r="L1178">
        <v>1</v>
      </c>
      <c r="M1178" s="12">
        <v>6499</v>
      </c>
      <c r="N1178" s="12">
        <v>4549.2999999999993</v>
      </c>
      <c r="O1178">
        <v>2</v>
      </c>
      <c r="P1178" s="12">
        <v>6369.0199999999995</v>
      </c>
      <c r="Q1178" s="12">
        <v>4549.2999999999993</v>
      </c>
      <c r="R1178" s="12">
        <v>1819.7200000000003</v>
      </c>
      <c r="S1178" t="s">
        <v>113</v>
      </c>
      <c r="T1178" t="s">
        <v>108</v>
      </c>
      <c r="U1178" t="s">
        <v>1211</v>
      </c>
    </row>
    <row r="1179" spans="1:21" x14ac:dyDescent="0.25">
      <c r="A1179" t="s">
        <v>3069</v>
      </c>
      <c r="B1179" s="8">
        <v>45895</v>
      </c>
      <c r="C1179" t="s">
        <v>1768</v>
      </c>
      <c r="D1179" t="s">
        <v>388</v>
      </c>
      <c r="E1179" t="s">
        <v>198</v>
      </c>
      <c r="F1179">
        <v>23</v>
      </c>
      <c r="G1179" t="s">
        <v>10</v>
      </c>
      <c r="H1179" t="s">
        <v>8</v>
      </c>
      <c r="I1179" t="s">
        <v>42</v>
      </c>
      <c r="J1179" t="s">
        <v>44</v>
      </c>
      <c r="K1179" t="s">
        <v>43</v>
      </c>
      <c r="L1179">
        <v>2</v>
      </c>
      <c r="M1179" s="12">
        <v>8999</v>
      </c>
      <c r="N1179" s="12">
        <v>6479.28</v>
      </c>
      <c r="O1179">
        <v>9</v>
      </c>
      <c r="P1179" s="12">
        <v>16378.18</v>
      </c>
      <c r="Q1179" s="12">
        <v>12958.56</v>
      </c>
      <c r="R1179" s="12">
        <v>3419.6200000000008</v>
      </c>
      <c r="S1179" t="s">
        <v>1246</v>
      </c>
      <c r="T1179" t="s">
        <v>108</v>
      </c>
      <c r="U1179" t="s">
        <v>1209</v>
      </c>
    </row>
    <row r="1180" spans="1:21" x14ac:dyDescent="0.25">
      <c r="A1180" t="s">
        <v>3070</v>
      </c>
      <c r="B1180" s="8">
        <v>45863</v>
      </c>
      <c r="C1180" t="s">
        <v>2541</v>
      </c>
      <c r="D1180" t="s">
        <v>453</v>
      </c>
      <c r="E1180" t="s">
        <v>198</v>
      </c>
      <c r="F1180">
        <v>51</v>
      </c>
      <c r="G1180" t="s">
        <v>7</v>
      </c>
      <c r="H1180" t="s">
        <v>8</v>
      </c>
      <c r="I1180" t="s">
        <v>57</v>
      </c>
      <c r="J1180" t="s">
        <v>67</v>
      </c>
      <c r="K1180" t="s">
        <v>64</v>
      </c>
      <c r="L1180">
        <v>5</v>
      </c>
      <c r="M1180" s="12">
        <v>150</v>
      </c>
      <c r="N1180" s="12">
        <v>97.5</v>
      </c>
      <c r="O1180">
        <v>0</v>
      </c>
      <c r="P1180" s="12">
        <v>750</v>
      </c>
      <c r="Q1180" s="12">
        <v>487.5</v>
      </c>
      <c r="R1180" s="12">
        <v>262.5</v>
      </c>
      <c r="S1180" t="s">
        <v>1246</v>
      </c>
      <c r="T1180" t="s">
        <v>107</v>
      </c>
      <c r="U1180" t="s">
        <v>1205</v>
      </c>
    </row>
    <row r="1181" spans="1:21" x14ac:dyDescent="0.25">
      <c r="A1181" t="s">
        <v>3071</v>
      </c>
      <c r="B1181" s="8">
        <v>45825</v>
      </c>
      <c r="C1181" t="s">
        <v>2784</v>
      </c>
      <c r="D1181" t="s">
        <v>645</v>
      </c>
      <c r="E1181" t="s">
        <v>198</v>
      </c>
      <c r="F1181">
        <v>50</v>
      </c>
      <c r="G1181" t="s">
        <v>17</v>
      </c>
      <c r="H1181" t="s">
        <v>15</v>
      </c>
      <c r="I1181" t="s">
        <v>32</v>
      </c>
      <c r="J1181" t="s">
        <v>29</v>
      </c>
      <c r="K1181" t="s">
        <v>22</v>
      </c>
      <c r="L1181">
        <v>5</v>
      </c>
      <c r="M1181" s="12">
        <v>9500</v>
      </c>
      <c r="N1181" s="12">
        <v>6650</v>
      </c>
      <c r="O1181">
        <v>5</v>
      </c>
      <c r="P1181" s="12">
        <v>45125</v>
      </c>
      <c r="Q1181" s="12">
        <v>33250</v>
      </c>
      <c r="R1181" s="12">
        <v>11875</v>
      </c>
      <c r="S1181" t="s">
        <v>1246</v>
      </c>
      <c r="T1181" t="s">
        <v>107</v>
      </c>
      <c r="U1181" t="s">
        <v>1211</v>
      </c>
    </row>
    <row r="1182" spans="1:21" x14ac:dyDescent="0.25">
      <c r="A1182" t="s">
        <v>3072</v>
      </c>
      <c r="B1182" s="8">
        <v>45751</v>
      </c>
      <c r="C1182" t="s">
        <v>1762</v>
      </c>
      <c r="D1182" t="s">
        <v>501</v>
      </c>
      <c r="E1182" t="s">
        <v>218</v>
      </c>
      <c r="F1182">
        <v>62</v>
      </c>
      <c r="G1182" t="s">
        <v>5</v>
      </c>
      <c r="H1182" t="s">
        <v>3</v>
      </c>
      <c r="I1182" t="s">
        <v>63</v>
      </c>
      <c r="J1182" t="s">
        <v>77</v>
      </c>
      <c r="K1182" t="s">
        <v>64</v>
      </c>
      <c r="L1182">
        <v>3</v>
      </c>
      <c r="M1182" s="12">
        <v>650</v>
      </c>
      <c r="N1182" s="12">
        <v>468</v>
      </c>
      <c r="O1182">
        <v>4</v>
      </c>
      <c r="P1182" s="12">
        <v>1872</v>
      </c>
      <c r="Q1182" s="12">
        <v>1404</v>
      </c>
      <c r="R1182" s="12">
        <v>468</v>
      </c>
      <c r="S1182" t="s">
        <v>1246</v>
      </c>
      <c r="T1182" t="s">
        <v>110</v>
      </c>
      <c r="U1182" t="s">
        <v>1194</v>
      </c>
    </row>
    <row r="1183" spans="1:21" x14ac:dyDescent="0.25">
      <c r="A1183" t="s">
        <v>3073</v>
      </c>
      <c r="B1183" s="8">
        <v>45987</v>
      </c>
      <c r="C1183" t="s">
        <v>5085</v>
      </c>
      <c r="D1183" t="s">
        <v>1159</v>
      </c>
      <c r="E1183" t="s">
        <v>198</v>
      </c>
      <c r="F1183">
        <v>37</v>
      </c>
      <c r="G1183" t="s">
        <v>9</v>
      </c>
      <c r="H1183" t="s">
        <v>8</v>
      </c>
      <c r="I1183" t="s">
        <v>30</v>
      </c>
      <c r="J1183" t="s">
        <v>41</v>
      </c>
      <c r="K1183" t="s">
        <v>22</v>
      </c>
      <c r="L1183">
        <v>3</v>
      </c>
      <c r="M1183" s="12">
        <v>13749</v>
      </c>
      <c r="N1183" s="12">
        <v>10999.2</v>
      </c>
      <c r="O1183">
        <v>13</v>
      </c>
      <c r="P1183" s="12">
        <v>35884.89</v>
      </c>
      <c r="Q1183" s="12">
        <v>32997.600000000006</v>
      </c>
      <c r="R1183" s="12">
        <v>2887.2899999999936</v>
      </c>
      <c r="S1183" t="s">
        <v>1246</v>
      </c>
      <c r="T1183" t="s">
        <v>108</v>
      </c>
      <c r="U1183" t="s">
        <v>1198</v>
      </c>
    </row>
    <row r="1184" spans="1:21" x14ac:dyDescent="0.25">
      <c r="A1184" t="s">
        <v>3074</v>
      </c>
      <c r="B1184" s="8">
        <v>45872</v>
      </c>
      <c r="C1184" t="s">
        <v>2124</v>
      </c>
      <c r="D1184" t="s">
        <v>1004</v>
      </c>
      <c r="E1184" t="s">
        <v>198</v>
      </c>
      <c r="F1184">
        <v>46</v>
      </c>
      <c r="G1184" t="s">
        <v>5</v>
      </c>
      <c r="H1184" t="s">
        <v>3</v>
      </c>
      <c r="I1184" t="s">
        <v>59</v>
      </c>
      <c r="J1184" t="s">
        <v>73</v>
      </c>
      <c r="K1184" t="s">
        <v>64</v>
      </c>
      <c r="L1184">
        <v>4</v>
      </c>
      <c r="M1184" s="12">
        <v>120</v>
      </c>
      <c r="N1184" s="12">
        <v>81.599999999999994</v>
      </c>
      <c r="O1184">
        <v>2</v>
      </c>
      <c r="P1184" s="12">
        <v>470.4</v>
      </c>
      <c r="Q1184" s="12">
        <v>326.39999999999998</v>
      </c>
      <c r="R1184" s="12">
        <v>144</v>
      </c>
      <c r="S1184" t="s">
        <v>1246</v>
      </c>
      <c r="T1184" t="s">
        <v>107</v>
      </c>
      <c r="U1184" t="s">
        <v>1203</v>
      </c>
    </row>
    <row r="1185" spans="1:21" x14ac:dyDescent="0.25">
      <c r="A1185" t="s">
        <v>3076</v>
      </c>
      <c r="B1185" s="8">
        <v>45938</v>
      </c>
      <c r="C1185" t="s">
        <v>2770</v>
      </c>
      <c r="D1185" t="s">
        <v>411</v>
      </c>
      <c r="E1185" t="s">
        <v>218</v>
      </c>
      <c r="F1185">
        <v>45</v>
      </c>
      <c r="G1185" t="s">
        <v>17</v>
      </c>
      <c r="H1185" t="s">
        <v>15</v>
      </c>
      <c r="I1185" t="s">
        <v>36</v>
      </c>
      <c r="J1185" t="s">
        <v>136</v>
      </c>
      <c r="K1185" t="s">
        <v>22</v>
      </c>
      <c r="L1185">
        <v>1</v>
      </c>
      <c r="M1185" s="12">
        <v>3590</v>
      </c>
      <c r="N1185" s="12">
        <v>2333.5</v>
      </c>
      <c r="O1185">
        <v>8</v>
      </c>
      <c r="P1185" s="12">
        <v>3302.8</v>
      </c>
      <c r="Q1185" s="12">
        <v>2333.5</v>
      </c>
      <c r="R1185" s="12">
        <v>969.30000000000018</v>
      </c>
      <c r="S1185" t="s">
        <v>1246</v>
      </c>
      <c r="T1185" t="s">
        <v>107</v>
      </c>
      <c r="U1185" t="s">
        <v>1201</v>
      </c>
    </row>
    <row r="1186" spans="1:21" x14ac:dyDescent="0.25">
      <c r="A1186" t="s">
        <v>3077</v>
      </c>
      <c r="B1186" s="8">
        <v>45701</v>
      </c>
      <c r="C1186" t="s">
        <v>4676</v>
      </c>
      <c r="D1186" t="s">
        <v>609</v>
      </c>
      <c r="E1186" t="s">
        <v>198</v>
      </c>
      <c r="F1186">
        <v>33</v>
      </c>
      <c r="G1186" t="s">
        <v>5</v>
      </c>
      <c r="H1186" t="s">
        <v>3</v>
      </c>
      <c r="I1186" t="s">
        <v>47</v>
      </c>
      <c r="J1186" t="s">
        <v>52</v>
      </c>
      <c r="K1186" t="s">
        <v>43</v>
      </c>
      <c r="L1186">
        <v>5</v>
      </c>
      <c r="M1186" s="12">
        <v>42999</v>
      </c>
      <c r="N1186" s="12">
        <v>33539.22</v>
      </c>
      <c r="O1186">
        <v>10</v>
      </c>
      <c r="P1186" s="12">
        <v>193495.5</v>
      </c>
      <c r="Q1186" s="12">
        <v>167696.1</v>
      </c>
      <c r="R1186" s="12">
        <v>25799.399999999994</v>
      </c>
      <c r="S1186" t="s">
        <v>1246</v>
      </c>
      <c r="T1186" t="s">
        <v>107</v>
      </c>
      <c r="U1186" t="s">
        <v>1201</v>
      </c>
    </row>
    <row r="1187" spans="1:21" x14ac:dyDescent="0.25">
      <c r="A1187" t="s">
        <v>3078</v>
      </c>
      <c r="B1187" s="8">
        <v>46013</v>
      </c>
      <c r="C1187" t="s">
        <v>1320</v>
      </c>
      <c r="D1187" t="s">
        <v>817</v>
      </c>
      <c r="E1187" t="s">
        <v>218</v>
      </c>
      <c r="F1187">
        <v>51</v>
      </c>
      <c r="G1187" t="s">
        <v>10</v>
      </c>
      <c r="H1187" t="s">
        <v>8</v>
      </c>
      <c r="I1187" t="s">
        <v>26</v>
      </c>
      <c r="J1187" t="s">
        <v>27</v>
      </c>
      <c r="K1187" t="s">
        <v>22</v>
      </c>
      <c r="L1187">
        <v>1</v>
      </c>
      <c r="M1187" s="12">
        <v>27499</v>
      </c>
      <c r="N1187" s="12">
        <v>23374.149999999998</v>
      </c>
      <c r="O1187">
        <v>13</v>
      </c>
      <c r="P1187" s="12">
        <v>23924.13</v>
      </c>
      <c r="Q1187" s="12">
        <v>23374.149999999998</v>
      </c>
      <c r="R1187" s="12">
        <v>549.9800000000032</v>
      </c>
      <c r="S1187" t="s">
        <v>113</v>
      </c>
      <c r="T1187" t="s">
        <v>107</v>
      </c>
      <c r="U1187" t="s">
        <v>1196</v>
      </c>
    </row>
    <row r="1188" spans="1:21" x14ac:dyDescent="0.25">
      <c r="A1188" t="s">
        <v>3080</v>
      </c>
      <c r="B1188" s="8">
        <v>45894</v>
      </c>
      <c r="C1188" t="s">
        <v>1724</v>
      </c>
      <c r="D1188" t="s">
        <v>685</v>
      </c>
      <c r="E1188" t="s">
        <v>198</v>
      </c>
      <c r="F1188">
        <v>35</v>
      </c>
      <c r="G1188" t="s">
        <v>289</v>
      </c>
      <c r="H1188" t="s">
        <v>3</v>
      </c>
      <c r="I1188" t="s">
        <v>34</v>
      </c>
      <c r="J1188" t="s">
        <v>137</v>
      </c>
      <c r="K1188" t="s">
        <v>22</v>
      </c>
      <c r="L1188">
        <v>4</v>
      </c>
      <c r="M1188" s="12">
        <v>6900</v>
      </c>
      <c r="N1188" s="12">
        <v>5727</v>
      </c>
      <c r="O1188">
        <v>4</v>
      </c>
      <c r="P1188" s="12">
        <v>26496</v>
      </c>
      <c r="Q1188" s="12">
        <v>22908</v>
      </c>
      <c r="R1188" s="12">
        <v>3588</v>
      </c>
      <c r="S1188" t="s">
        <v>113</v>
      </c>
      <c r="T1188" t="s">
        <v>107</v>
      </c>
      <c r="U1188" t="s">
        <v>1209</v>
      </c>
    </row>
    <row r="1189" spans="1:21" x14ac:dyDescent="0.25">
      <c r="A1189" t="s">
        <v>3081</v>
      </c>
      <c r="B1189" s="8">
        <v>45927</v>
      </c>
      <c r="C1189" t="s">
        <v>1908</v>
      </c>
      <c r="D1189" t="s">
        <v>799</v>
      </c>
      <c r="E1189" t="s">
        <v>218</v>
      </c>
      <c r="F1189">
        <v>54</v>
      </c>
      <c r="G1189" t="s">
        <v>7</v>
      </c>
      <c r="H1189" t="s">
        <v>8</v>
      </c>
      <c r="I1189" t="s">
        <v>32</v>
      </c>
      <c r="J1189" t="s">
        <v>29</v>
      </c>
      <c r="K1189" t="s">
        <v>22</v>
      </c>
      <c r="L1189">
        <v>2</v>
      </c>
      <c r="M1189" s="12">
        <v>9500</v>
      </c>
      <c r="N1189" s="12">
        <v>6650</v>
      </c>
      <c r="O1189">
        <v>3</v>
      </c>
      <c r="P1189" s="12">
        <v>18430</v>
      </c>
      <c r="Q1189" s="12">
        <v>13300</v>
      </c>
      <c r="R1189" s="12">
        <v>5130</v>
      </c>
      <c r="S1189" t="s">
        <v>1246</v>
      </c>
      <c r="T1189" t="s">
        <v>110</v>
      </c>
      <c r="U1189" t="s">
        <v>1201</v>
      </c>
    </row>
    <row r="1190" spans="1:21" x14ac:dyDescent="0.25">
      <c r="A1190" t="s">
        <v>3082</v>
      </c>
      <c r="B1190" s="8">
        <v>45742</v>
      </c>
      <c r="C1190" t="s">
        <v>2893</v>
      </c>
      <c r="D1190" t="s">
        <v>546</v>
      </c>
      <c r="E1190" t="s">
        <v>218</v>
      </c>
      <c r="F1190">
        <v>37</v>
      </c>
      <c r="G1190" t="s">
        <v>7</v>
      </c>
      <c r="H1190" t="s">
        <v>8</v>
      </c>
      <c r="I1190" t="s">
        <v>59</v>
      </c>
      <c r="J1190" t="s">
        <v>73</v>
      </c>
      <c r="K1190" t="s">
        <v>64</v>
      </c>
      <c r="L1190">
        <v>5</v>
      </c>
      <c r="M1190" s="12">
        <v>120</v>
      </c>
      <c r="N1190" s="12">
        <v>81.599999999999994</v>
      </c>
      <c r="O1190">
        <v>1</v>
      </c>
      <c r="P1190" s="12">
        <v>594</v>
      </c>
      <c r="Q1190" s="12">
        <v>408</v>
      </c>
      <c r="R1190" s="12">
        <v>186</v>
      </c>
      <c r="S1190" t="s">
        <v>1246</v>
      </c>
      <c r="T1190" t="s">
        <v>107</v>
      </c>
      <c r="U1190" t="s">
        <v>1198</v>
      </c>
    </row>
    <row r="1191" spans="1:21" x14ac:dyDescent="0.25">
      <c r="A1191" t="s">
        <v>3083</v>
      </c>
      <c r="B1191" s="8">
        <v>45794</v>
      </c>
      <c r="C1191" t="s">
        <v>4425</v>
      </c>
      <c r="D1191" t="s">
        <v>705</v>
      </c>
      <c r="E1191" t="s">
        <v>218</v>
      </c>
      <c r="F1191">
        <v>30</v>
      </c>
      <c r="G1191" t="s">
        <v>16</v>
      </c>
      <c r="H1191" t="s">
        <v>15</v>
      </c>
      <c r="I1191" t="s">
        <v>21</v>
      </c>
      <c r="J1191" t="s">
        <v>23</v>
      </c>
      <c r="K1191" t="s">
        <v>22</v>
      </c>
      <c r="L1191">
        <v>5</v>
      </c>
      <c r="M1191" s="12">
        <v>54999</v>
      </c>
      <c r="N1191" s="12">
        <v>45099.18</v>
      </c>
      <c r="O1191">
        <v>10</v>
      </c>
      <c r="P1191" s="12">
        <v>247495.5</v>
      </c>
      <c r="Q1191" s="12">
        <v>225495.9</v>
      </c>
      <c r="R1191" s="12">
        <v>21999.600000000006</v>
      </c>
      <c r="S1191" t="s">
        <v>1246</v>
      </c>
      <c r="T1191" t="s">
        <v>108</v>
      </c>
      <c r="U1191" t="s">
        <v>1205</v>
      </c>
    </row>
    <row r="1192" spans="1:21" x14ac:dyDescent="0.25">
      <c r="A1192" t="s">
        <v>3085</v>
      </c>
      <c r="B1192" s="8">
        <v>45806</v>
      </c>
      <c r="C1192" t="s">
        <v>1559</v>
      </c>
      <c r="D1192" t="s">
        <v>1020</v>
      </c>
      <c r="E1192" t="s">
        <v>218</v>
      </c>
      <c r="F1192">
        <v>39</v>
      </c>
      <c r="G1192" t="s">
        <v>4</v>
      </c>
      <c r="H1192" t="s">
        <v>3</v>
      </c>
      <c r="I1192" t="s">
        <v>57</v>
      </c>
      <c r="J1192" t="s">
        <v>67</v>
      </c>
      <c r="K1192" t="s">
        <v>64</v>
      </c>
      <c r="L1192">
        <v>3</v>
      </c>
      <c r="M1192" s="12">
        <v>150</v>
      </c>
      <c r="N1192" s="12">
        <v>97.5</v>
      </c>
      <c r="O1192">
        <v>14</v>
      </c>
      <c r="P1192" s="12">
        <v>387</v>
      </c>
      <c r="Q1192" s="12">
        <v>292.5</v>
      </c>
      <c r="R1192" s="12">
        <v>94.5</v>
      </c>
      <c r="S1192" t="s">
        <v>113</v>
      </c>
      <c r="T1192" t="s">
        <v>110</v>
      </c>
      <c r="U1192" t="s">
        <v>1201</v>
      </c>
    </row>
    <row r="1193" spans="1:21" x14ac:dyDescent="0.25">
      <c r="A1193" t="s">
        <v>3086</v>
      </c>
      <c r="B1193" s="8">
        <v>45871</v>
      </c>
      <c r="C1193" t="s">
        <v>4935</v>
      </c>
      <c r="D1193" t="s">
        <v>1182</v>
      </c>
      <c r="E1193" t="s">
        <v>218</v>
      </c>
      <c r="F1193">
        <v>24</v>
      </c>
      <c r="G1193" t="s">
        <v>4</v>
      </c>
      <c r="H1193" t="s">
        <v>3</v>
      </c>
      <c r="I1193" t="s">
        <v>55</v>
      </c>
      <c r="J1193" t="s">
        <v>65</v>
      </c>
      <c r="K1193" t="s">
        <v>64</v>
      </c>
      <c r="L1193">
        <v>5</v>
      </c>
      <c r="M1193" s="12">
        <v>80</v>
      </c>
      <c r="N1193" s="12">
        <v>56</v>
      </c>
      <c r="O1193">
        <v>2</v>
      </c>
      <c r="P1193" s="12">
        <v>392</v>
      </c>
      <c r="Q1193" s="12">
        <v>280</v>
      </c>
      <c r="R1193" s="12">
        <v>112</v>
      </c>
      <c r="S1193" t="s">
        <v>1246</v>
      </c>
      <c r="T1193" t="s">
        <v>108</v>
      </c>
      <c r="U1193" t="s">
        <v>1207</v>
      </c>
    </row>
    <row r="1194" spans="1:21" x14ac:dyDescent="0.25">
      <c r="A1194" t="s">
        <v>3087</v>
      </c>
      <c r="B1194" s="8">
        <v>45947</v>
      </c>
      <c r="C1194" t="s">
        <v>2279</v>
      </c>
      <c r="D1194" t="s">
        <v>1150</v>
      </c>
      <c r="E1194" t="s">
        <v>218</v>
      </c>
      <c r="F1194">
        <v>26</v>
      </c>
      <c r="G1194" t="s">
        <v>11</v>
      </c>
      <c r="H1194" t="s">
        <v>12</v>
      </c>
      <c r="I1194" t="s">
        <v>24</v>
      </c>
      <c r="J1194" t="s">
        <v>25</v>
      </c>
      <c r="K1194" t="s">
        <v>22</v>
      </c>
      <c r="L1194">
        <v>1</v>
      </c>
      <c r="M1194" s="12">
        <v>35800</v>
      </c>
      <c r="N1194" s="12">
        <v>28640</v>
      </c>
      <c r="O1194">
        <v>8</v>
      </c>
      <c r="P1194" s="12">
        <v>32936</v>
      </c>
      <c r="Q1194" s="12">
        <v>28640</v>
      </c>
      <c r="R1194" s="12">
        <v>4296</v>
      </c>
      <c r="S1194" t="s">
        <v>113</v>
      </c>
      <c r="T1194" t="s">
        <v>108</v>
      </c>
      <c r="U1194" t="s">
        <v>1194</v>
      </c>
    </row>
    <row r="1195" spans="1:21" x14ac:dyDescent="0.25">
      <c r="A1195" t="s">
        <v>3088</v>
      </c>
      <c r="B1195" s="8">
        <v>45738</v>
      </c>
      <c r="C1195" t="s">
        <v>2909</v>
      </c>
      <c r="D1195" t="s">
        <v>814</v>
      </c>
      <c r="E1195" t="s">
        <v>218</v>
      </c>
      <c r="F1195">
        <v>55</v>
      </c>
      <c r="G1195" t="s">
        <v>289</v>
      </c>
      <c r="H1195" t="s">
        <v>3</v>
      </c>
      <c r="I1195" t="s">
        <v>32</v>
      </c>
      <c r="J1195" t="s">
        <v>29</v>
      </c>
      <c r="K1195" t="s">
        <v>22</v>
      </c>
      <c r="L1195">
        <v>4</v>
      </c>
      <c r="M1195" s="12">
        <v>9500</v>
      </c>
      <c r="N1195" s="12">
        <v>6650</v>
      </c>
      <c r="O1195">
        <v>7</v>
      </c>
      <c r="P1195" s="12">
        <v>35340</v>
      </c>
      <c r="Q1195" s="12">
        <v>26600</v>
      </c>
      <c r="R1195" s="12">
        <v>8740</v>
      </c>
      <c r="S1195" t="s">
        <v>113</v>
      </c>
      <c r="T1195" t="s">
        <v>107</v>
      </c>
      <c r="U1195" t="s">
        <v>1198</v>
      </c>
    </row>
    <row r="1196" spans="1:21" x14ac:dyDescent="0.25">
      <c r="A1196" t="s">
        <v>3090</v>
      </c>
      <c r="B1196" s="8">
        <v>45996</v>
      </c>
      <c r="C1196" t="s">
        <v>1322</v>
      </c>
      <c r="D1196" t="s">
        <v>737</v>
      </c>
      <c r="E1196" t="s">
        <v>198</v>
      </c>
      <c r="F1196">
        <v>56</v>
      </c>
      <c r="G1196" t="s">
        <v>2</v>
      </c>
      <c r="H1196" t="s">
        <v>3</v>
      </c>
      <c r="I1196" t="s">
        <v>24</v>
      </c>
      <c r="J1196" t="s">
        <v>25</v>
      </c>
      <c r="K1196" t="s">
        <v>22</v>
      </c>
      <c r="L1196">
        <v>3</v>
      </c>
      <c r="M1196" s="12">
        <v>35800</v>
      </c>
      <c r="N1196" s="12">
        <v>28640</v>
      </c>
      <c r="O1196">
        <v>11</v>
      </c>
      <c r="P1196" s="12">
        <v>95586</v>
      </c>
      <c r="Q1196" s="12">
        <v>85920</v>
      </c>
      <c r="R1196" s="12">
        <v>9666</v>
      </c>
      <c r="S1196" t="s">
        <v>113</v>
      </c>
      <c r="T1196" t="s">
        <v>108</v>
      </c>
      <c r="U1196" t="s">
        <v>1211</v>
      </c>
    </row>
    <row r="1197" spans="1:21" x14ac:dyDescent="0.25">
      <c r="A1197" t="s">
        <v>3091</v>
      </c>
      <c r="B1197" s="8">
        <v>45710</v>
      </c>
      <c r="C1197" t="s">
        <v>2579</v>
      </c>
      <c r="D1197" t="s">
        <v>418</v>
      </c>
      <c r="E1197" t="s">
        <v>218</v>
      </c>
      <c r="F1197">
        <v>33</v>
      </c>
      <c r="G1197" t="s">
        <v>9</v>
      </c>
      <c r="H1197" t="s">
        <v>8</v>
      </c>
      <c r="I1197" t="s">
        <v>36</v>
      </c>
      <c r="J1197" t="s">
        <v>136</v>
      </c>
      <c r="K1197" t="s">
        <v>22</v>
      </c>
      <c r="L1197">
        <v>1</v>
      </c>
      <c r="M1197" s="12">
        <v>3590</v>
      </c>
      <c r="N1197" s="12">
        <v>2333.5</v>
      </c>
      <c r="O1197">
        <v>7</v>
      </c>
      <c r="P1197" s="12">
        <v>3338.7</v>
      </c>
      <c r="Q1197" s="12">
        <v>2333.5</v>
      </c>
      <c r="R1197" s="12">
        <v>1005.1999999999998</v>
      </c>
      <c r="S1197" t="s">
        <v>1246</v>
      </c>
      <c r="T1197" t="s">
        <v>110</v>
      </c>
      <c r="U1197" t="s">
        <v>1199</v>
      </c>
    </row>
    <row r="1198" spans="1:21" x14ac:dyDescent="0.25">
      <c r="A1198" t="s">
        <v>3092</v>
      </c>
      <c r="B1198" s="8">
        <v>45707</v>
      </c>
      <c r="C1198" t="s">
        <v>1694</v>
      </c>
      <c r="D1198" t="s">
        <v>1069</v>
      </c>
      <c r="E1198" t="s">
        <v>218</v>
      </c>
      <c r="F1198">
        <v>40</v>
      </c>
      <c r="G1198" t="s">
        <v>5</v>
      </c>
      <c r="H1198" t="s">
        <v>3</v>
      </c>
      <c r="I1198" t="s">
        <v>53</v>
      </c>
      <c r="J1198" t="s">
        <v>48</v>
      </c>
      <c r="K1198" t="s">
        <v>43</v>
      </c>
      <c r="L1198">
        <v>5</v>
      </c>
      <c r="M1198" s="12">
        <v>6499</v>
      </c>
      <c r="N1198" s="12">
        <v>4549.2999999999993</v>
      </c>
      <c r="O1198">
        <v>5</v>
      </c>
      <c r="P1198" s="12">
        <v>30870.25</v>
      </c>
      <c r="Q1198" s="12">
        <v>22746.499999999996</v>
      </c>
      <c r="R1198" s="12">
        <v>8123.7500000000036</v>
      </c>
      <c r="S1198" t="s">
        <v>1246</v>
      </c>
      <c r="T1198" t="s">
        <v>108</v>
      </c>
      <c r="U1198" t="s">
        <v>1196</v>
      </c>
    </row>
    <row r="1199" spans="1:21" x14ac:dyDescent="0.25">
      <c r="A1199" t="s">
        <v>3094</v>
      </c>
      <c r="B1199" s="8">
        <v>45969</v>
      </c>
      <c r="C1199" t="s">
        <v>2145</v>
      </c>
      <c r="D1199" t="s">
        <v>761</v>
      </c>
      <c r="E1199" t="s">
        <v>198</v>
      </c>
      <c r="F1199">
        <v>34</v>
      </c>
      <c r="G1199" t="s">
        <v>289</v>
      </c>
      <c r="H1199" t="s">
        <v>3</v>
      </c>
      <c r="I1199" t="s">
        <v>40</v>
      </c>
      <c r="J1199" t="s">
        <v>39</v>
      </c>
      <c r="K1199" t="s">
        <v>22</v>
      </c>
      <c r="L1199">
        <v>1</v>
      </c>
      <c r="M1199" s="12">
        <v>1100</v>
      </c>
      <c r="N1199" s="12">
        <v>715</v>
      </c>
      <c r="O1199">
        <v>16</v>
      </c>
      <c r="P1199" s="12">
        <v>924</v>
      </c>
      <c r="Q1199" s="12">
        <v>715</v>
      </c>
      <c r="R1199" s="12">
        <v>209</v>
      </c>
      <c r="S1199" t="s">
        <v>1246</v>
      </c>
      <c r="T1199" t="s">
        <v>111</v>
      </c>
      <c r="U1199" t="s">
        <v>1201</v>
      </c>
    </row>
    <row r="1200" spans="1:21" x14ac:dyDescent="0.25">
      <c r="A1200" t="s">
        <v>3096</v>
      </c>
      <c r="B1200" s="8">
        <v>45933</v>
      </c>
      <c r="C1200" t="s">
        <v>2285</v>
      </c>
      <c r="D1200" t="s">
        <v>578</v>
      </c>
      <c r="E1200" t="s">
        <v>218</v>
      </c>
      <c r="F1200">
        <v>50</v>
      </c>
      <c r="G1200" t="s">
        <v>14</v>
      </c>
      <c r="H1200" t="s">
        <v>15</v>
      </c>
      <c r="I1200" t="s">
        <v>59</v>
      </c>
      <c r="J1200" t="s">
        <v>73</v>
      </c>
      <c r="K1200" t="s">
        <v>64</v>
      </c>
      <c r="L1200">
        <v>3</v>
      </c>
      <c r="M1200" s="12">
        <v>120</v>
      </c>
      <c r="N1200" s="12">
        <v>81.599999999999994</v>
      </c>
      <c r="O1200">
        <v>0</v>
      </c>
      <c r="P1200" s="12">
        <v>360</v>
      </c>
      <c r="Q1200" s="12">
        <v>244.79999999999998</v>
      </c>
      <c r="R1200" s="12">
        <v>115.20000000000002</v>
      </c>
      <c r="S1200" t="s">
        <v>113</v>
      </c>
      <c r="T1200" t="s">
        <v>108</v>
      </c>
      <c r="U1200" t="s">
        <v>1207</v>
      </c>
    </row>
    <row r="1201" spans="1:21" x14ac:dyDescent="0.25">
      <c r="A1201" t="s">
        <v>3097</v>
      </c>
      <c r="B1201" s="8">
        <v>45832</v>
      </c>
      <c r="C1201" t="s">
        <v>2104</v>
      </c>
      <c r="D1201" t="s">
        <v>513</v>
      </c>
      <c r="E1201" t="s">
        <v>218</v>
      </c>
      <c r="F1201">
        <v>61</v>
      </c>
      <c r="G1201" t="s">
        <v>4</v>
      </c>
      <c r="H1201" t="s">
        <v>3</v>
      </c>
      <c r="I1201" t="s">
        <v>51</v>
      </c>
      <c r="J1201" t="s">
        <v>54</v>
      </c>
      <c r="K1201" t="s">
        <v>43</v>
      </c>
      <c r="L1201">
        <v>2</v>
      </c>
      <c r="M1201" s="12">
        <v>27499</v>
      </c>
      <c r="N1201" s="12">
        <v>21724.210000000003</v>
      </c>
      <c r="O1201">
        <v>4</v>
      </c>
      <c r="P1201" s="12">
        <v>52798.079999999994</v>
      </c>
      <c r="Q1201" s="12">
        <v>43448.420000000006</v>
      </c>
      <c r="R1201" s="12">
        <v>9349.6599999999889</v>
      </c>
      <c r="S1201" t="s">
        <v>113</v>
      </c>
      <c r="T1201" t="s">
        <v>107</v>
      </c>
      <c r="U1201" t="s">
        <v>1194</v>
      </c>
    </row>
    <row r="1202" spans="1:21" x14ac:dyDescent="0.25">
      <c r="A1202" t="s">
        <v>3098</v>
      </c>
      <c r="B1202" s="8">
        <v>45882</v>
      </c>
      <c r="C1202" t="s">
        <v>1513</v>
      </c>
      <c r="D1202" t="s">
        <v>647</v>
      </c>
      <c r="E1202" t="s">
        <v>198</v>
      </c>
      <c r="F1202">
        <v>47</v>
      </c>
      <c r="G1202" t="s">
        <v>289</v>
      </c>
      <c r="H1202" t="s">
        <v>3</v>
      </c>
      <c r="I1202" t="s">
        <v>61</v>
      </c>
      <c r="J1202" t="s">
        <v>146</v>
      </c>
      <c r="K1202" t="s">
        <v>64</v>
      </c>
      <c r="L1202">
        <v>2</v>
      </c>
      <c r="M1202" s="12">
        <v>250</v>
      </c>
      <c r="N1202" s="12">
        <v>155</v>
      </c>
      <c r="O1202">
        <v>4</v>
      </c>
      <c r="P1202" s="12">
        <v>480</v>
      </c>
      <c r="Q1202" s="12">
        <v>310</v>
      </c>
      <c r="R1202" s="12">
        <v>170</v>
      </c>
      <c r="S1202" t="s">
        <v>1246</v>
      </c>
      <c r="T1202" t="s">
        <v>107</v>
      </c>
      <c r="U1202" t="s">
        <v>1198</v>
      </c>
    </row>
    <row r="1203" spans="1:21" x14ac:dyDescent="0.25">
      <c r="A1203" t="s">
        <v>3099</v>
      </c>
      <c r="B1203" s="8">
        <v>45714</v>
      </c>
      <c r="C1203" t="s">
        <v>3224</v>
      </c>
      <c r="D1203" t="s">
        <v>1190</v>
      </c>
      <c r="E1203" t="s">
        <v>218</v>
      </c>
      <c r="F1203">
        <v>64</v>
      </c>
      <c r="G1203" t="s">
        <v>290</v>
      </c>
      <c r="H1203" t="s">
        <v>3</v>
      </c>
      <c r="I1203" t="s">
        <v>49</v>
      </c>
      <c r="J1203" t="s">
        <v>56</v>
      </c>
      <c r="K1203" t="s">
        <v>43</v>
      </c>
      <c r="L1203">
        <v>3</v>
      </c>
      <c r="M1203" s="12">
        <v>31999</v>
      </c>
      <c r="N1203" s="12">
        <v>25599.200000000001</v>
      </c>
      <c r="O1203">
        <v>5</v>
      </c>
      <c r="P1203" s="12">
        <v>91197.15</v>
      </c>
      <c r="Q1203" s="12">
        <v>76797.600000000006</v>
      </c>
      <c r="R1203" s="12">
        <v>14399.549999999988</v>
      </c>
      <c r="S1203" t="s">
        <v>1246</v>
      </c>
      <c r="T1203" t="s">
        <v>107</v>
      </c>
      <c r="U1203" t="s">
        <v>1199</v>
      </c>
    </row>
    <row r="1204" spans="1:21" x14ac:dyDescent="0.25">
      <c r="A1204" t="s">
        <v>3100</v>
      </c>
      <c r="B1204" s="8">
        <v>45912</v>
      </c>
      <c r="C1204" t="s">
        <v>2036</v>
      </c>
      <c r="D1204" t="s">
        <v>1077</v>
      </c>
      <c r="E1204" t="s">
        <v>218</v>
      </c>
      <c r="F1204">
        <v>32</v>
      </c>
      <c r="G1204" t="s">
        <v>16</v>
      </c>
      <c r="H1204" t="s">
        <v>15</v>
      </c>
      <c r="I1204" t="s">
        <v>26</v>
      </c>
      <c r="J1204" t="s">
        <v>27</v>
      </c>
      <c r="K1204" t="s">
        <v>22</v>
      </c>
      <c r="L1204">
        <v>5</v>
      </c>
      <c r="M1204" s="12">
        <v>27499</v>
      </c>
      <c r="N1204" s="12">
        <v>23374.149999999998</v>
      </c>
      <c r="O1204">
        <v>6</v>
      </c>
      <c r="P1204" s="12">
        <v>129245.29999999999</v>
      </c>
      <c r="Q1204" s="12">
        <v>116870.74999999999</v>
      </c>
      <c r="R1204" s="12">
        <v>12374.550000000003</v>
      </c>
      <c r="S1204" t="s">
        <v>113</v>
      </c>
      <c r="T1204" t="s">
        <v>109</v>
      </c>
      <c r="U1204" t="s">
        <v>1207</v>
      </c>
    </row>
    <row r="1205" spans="1:21" x14ac:dyDescent="0.25">
      <c r="A1205" t="s">
        <v>3102</v>
      </c>
      <c r="B1205" s="8">
        <v>46012</v>
      </c>
      <c r="C1205" t="s">
        <v>4635</v>
      </c>
      <c r="D1205" t="s">
        <v>588</v>
      </c>
      <c r="E1205" t="s">
        <v>198</v>
      </c>
      <c r="F1205">
        <v>55</v>
      </c>
      <c r="G1205" t="s">
        <v>289</v>
      </c>
      <c r="H1205" t="s">
        <v>3</v>
      </c>
      <c r="I1205" t="s">
        <v>42</v>
      </c>
      <c r="J1205" t="s">
        <v>44</v>
      </c>
      <c r="K1205" t="s">
        <v>43</v>
      </c>
      <c r="L1205">
        <v>5</v>
      </c>
      <c r="M1205" s="12">
        <v>8999</v>
      </c>
      <c r="N1205" s="12">
        <v>6479.28</v>
      </c>
      <c r="O1205">
        <v>13</v>
      </c>
      <c r="P1205" s="12">
        <v>39145.65</v>
      </c>
      <c r="Q1205" s="12">
        <v>32396.399999999998</v>
      </c>
      <c r="R1205" s="12">
        <v>6749.2500000000036</v>
      </c>
      <c r="S1205" t="s">
        <v>1246</v>
      </c>
      <c r="T1205" t="s">
        <v>108</v>
      </c>
      <c r="U1205" t="s">
        <v>1203</v>
      </c>
    </row>
    <row r="1206" spans="1:21" x14ac:dyDescent="0.25">
      <c r="A1206" t="s">
        <v>3104</v>
      </c>
      <c r="B1206" s="8">
        <v>45988</v>
      </c>
      <c r="C1206" t="s">
        <v>2371</v>
      </c>
      <c r="D1206" t="s">
        <v>681</v>
      </c>
      <c r="E1206" t="s">
        <v>218</v>
      </c>
      <c r="F1206">
        <v>24</v>
      </c>
      <c r="G1206" t="s">
        <v>11</v>
      </c>
      <c r="H1206" t="s">
        <v>12</v>
      </c>
      <c r="I1206" t="s">
        <v>21</v>
      </c>
      <c r="J1206" t="s">
        <v>23</v>
      </c>
      <c r="K1206" t="s">
        <v>22</v>
      </c>
      <c r="L1206">
        <v>1</v>
      </c>
      <c r="M1206" s="12">
        <v>54999</v>
      </c>
      <c r="N1206" s="12">
        <v>45099.18</v>
      </c>
      <c r="O1206">
        <v>15</v>
      </c>
      <c r="P1206" s="12">
        <v>46749.15</v>
      </c>
      <c r="Q1206" s="12">
        <v>45099.18</v>
      </c>
      <c r="R1206" s="12">
        <v>1649.9700000000012</v>
      </c>
      <c r="S1206" t="s">
        <v>1246</v>
      </c>
      <c r="T1206" t="s">
        <v>108</v>
      </c>
      <c r="U1206" t="s">
        <v>1196</v>
      </c>
    </row>
    <row r="1207" spans="1:21" x14ac:dyDescent="0.25">
      <c r="A1207" t="s">
        <v>3105</v>
      </c>
      <c r="B1207" s="8">
        <v>45989</v>
      </c>
      <c r="C1207" t="s">
        <v>1314</v>
      </c>
      <c r="D1207" t="s">
        <v>773</v>
      </c>
      <c r="E1207" t="s">
        <v>198</v>
      </c>
      <c r="F1207">
        <v>34</v>
      </c>
      <c r="G1207" t="s">
        <v>7</v>
      </c>
      <c r="H1207" t="s">
        <v>8</v>
      </c>
      <c r="I1207" t="s">
        <v>30</v>
      </c>
      <c r="J1207" t="s">
        <v>41</v>
      </c>
      <c r="K1207" t="s">
        <v>22</v>
      </c>
      <c r="L1207">
        <v>5</v>
      </c>
      <c r="M1207" s="12">
        <v>13749</v>
      </c>
      <c r="N1207" s="12">
        <v>10999.2</v>
      </c>
      <c r="O1207">
        <v>10</v>
      </c>
      <c r="P1207" s="12">
        <v>61870.5</v>
      </c>
      <c r="Q1207" s="12">
        <v>54996</v>
      </c>
      <c r="R1207" s="12">
        <v>6874.5</v>
      </c>
      <c r="S1207" t="s">
        <v>1246</v>
      </c>
      <c r="T1207" t="s">
        <v>107</v>
      </c>
      <c r="U1207" t="s">
        <v>1205</v>
      </c>
    </row>
    <row r="1208" spans="1:21" x14ac:dyDescent="0.25">
      <c r="A1208" t="s">
        <v>3106</v>
      </c>
      <c r="B1208" s="8">
        <v>45943</v>
      </c>
      <c r="C1208" t="s">
        <v>3132</v>
      </c>
      <c r="D1208" t="s">
        <v>1051</v>
      </c>
      <c r="E1208" t="s">
        <v>218</v>
      </c>
      <c r="F1208">
        <v>50</v>
      </c>
      <c r="G1208" t="s">
        <v>11</v>
      </c>
      <c r="H1208" t="s">
        <v>12</v>
      </c>
      <c r="I1208" t="s">
        <v>38</v>
      </c>
      <c r="J1208" t="s">
        <v>37</v>
      </c>
      <c r="K1208" t="s">
        <v>22</v>
      </c>
      <c r="L1208">
        <v>2</v>
      </c>
      <c r="M1208" s="12">
        <v>1650</v>
      </c>
      <c r="N1208" s="12">
        <v>990</v>
      </c>
      <c r="O1208">
        <v>8</v>
      </c>
      <c r="P1208" s="12">
        <v>3036</v>
      </c>
      <c r="Q1208" s="12">
        <v>1980</v>
      </c>
      <c r="R1208" s="12">
        <v>1056</v>
      </c>
      <c r="S1208" t="s">
        <v>113</v>
      </c>
      <c r="T1208" t="s">
        <v>108</v>
      </c>
      <c r="U1208" t="s">
        <v>1203</v>
      </c>
    </row>
    <row r="1209" spans="1:21" x14ac:dyDescent="0.25">
      <c r="A1209" t="s">
        <v>3108</v>
      </c>
      <c r="B1209" s="8">
        <v>45858</v>
      </c>
      <c r="C1209" t="s">
        <v>2983</v>
      </c>
      <c r="D1209" t="s">
        <v>577</v>
      </c>
      <c r="E1209" t="s">
        <v>198</v>
      </c>
      <c r="F1209">
        <v>22</v>
      </c>
      <c r="G1209" t="s">
        <v>17</v>
      </c>
      <c r="H1209" t="s">
        <v>15</v>
      </c>
      <c r="I1209" t="s">
        <v>34</v>
      </c>
      <c r="J1209" t="s">
        <v>137</v>
      </c>
      <c r="K1209" t="s">
        <v>22</v>
      </c>
      <c r="L1209">
        <v>4</v>
      </c>
      <c r="M1209" s="12">
        <v>6900</v>
      </c>
      <c r="N1209" s="12">
        <v>5727</v>
      </c>
      <c r="O1209">
        <v>7</v>
      </c>
      <c r="P1209" s="12">
        <v>25668</v>
      </c>
      <c r="Q1209" s="12">
        <v>22908</v>
      </c>
      <c r="R1209" s="12">
        <v>2760</v>
      </c>
      <c r="S1209" t="s">
        <v>113</v>
      </c>
      <c r="T1209" t="s">
        <v>107</v>
      </c>
      <c r="U1209" t="s">
        <v>1199</v>
      </c>
    </row>
    <row r="1210" spans="1:21" x14ac:dyDescent="0.25">
      <c r="A1210" t="s">
        <v>3109</v>
      </c>
      <c r="B1210" s="8">
        <v>45835</v>
      </c>
      <c r="C1210" t="s">
        <v>4939</v>
      </c>
      <c r="D1210" t="s">
        <v>844</v>
      </c>
      <c r="E1210" t="s">
        <v>198</v>
      </c>
      <c r="F1210">
        <v>37</v>
      </c>
      <c r="G1210" t="s">
        <v>16</v>
      </c>
      <c r="H1210" t="s">
        <v>15</v>
      </c>
      <c r="I1210" t="s">
        <v>53</v>
      </c>
      <c r="J1210" t="s">
        <v>48</v>
      </c>
      <c r="K1210" t="s">
        <v>43</v>
      </c>
      <c r="L1210">
        <v>3</v>
      </c>
      <c r="M1210" s="12">
        <v>6499</v>
      </c>
      <c r="N1210" s="12">
        <v>4549.2999999999993</v>
      </c>
      <c r="O1210">
        <v>2</v>
      </c>
      <c r="P1210" s="12">
        <v>19107.060000000001</v>
      </c>
      <c r="Q1210" s="12">
        <v>13647.899999999998</v>
      </c>
      <c r="R1210" s="12">
        <v>5459.1600000000035</v>
      </c>
      <c r="S1210" t="s">
        <v>1246</v>
      </c>
      <c r="T1210" t="s">
        <v>107</v>
      </c>
      <c r="U1210" t="s">
        <v>1209</v>
      </c>
    </row>
    <row r="1211" spans="1:21" x14ac:dyDescent="0.25">
      <c r="A1211" t="s">
        <v>3110</v>
      </c>
      <c r="B1211" s="8">
        <v>45766</v>
      </c>
      <c r="C1211" t="s">
        <v>1916</v>
      </c>
      <c r="D1211" t="s">
        <v>514</v>
      </c>
      <c r="E1211" t="s">
        <v>218</v>
      </c>
      <c r="F1211">
        <v>43</v>
      </c>
      <c r="G1211" t="s">
        <v>4</v>
      </c>
      <c r="H1211" t="s">
        <v>3</v>
      </c>
      <c r="I1211" t="s">
        <v>63</v>
      </c>
      <c r="J1211" t="s">
        <v>77</v>
      </c>
      <c r="K1211" t="s">
        <v>64</v>
      </c>
      <c r="L1211">
        <v>4</v>
      </c>
      <c r="M1211" s="12">
        <v>650</v>
      </c>
      <c r="N1211" s="12">
        <v>468</v>
      </c>
      <c r="O1211">
        <v>0</v>
      </c>
      <c r="P1211" s="12">
        <v>2600</v>
      </c>
      <c r="Q1211" s="12">
        <v>1872</v>
      </c>
      <c r="R1211" s="12">
        <v>728</v>
      </c>
      <c r="S1211" t="s">
        <v>1246</v>
      </c>
      <c r="T1211" t="s">
        <v>108</v>
      </c>
      <c r="U1211" t="s">
        <v>1211</v>
      </c>
    </row>
    <row r="1212" spans="1:21" x14ac:dyDescent="0.25">
      <c r="A1212" t="s">
        <v>3111</v>
      </c>
      <c r="B1212" s="8">
        <v>45976</v>
      </c>
      <c r="C1212" t="s">
        <v>2025</v>
      </c>
      <c r="D1212" t="s">
        <v>963</v>
      </c>
      <c r="E1212" t="s">
        <v>198</v>
      </c>
      <c r="F1212">
        <v>46</v>
      </c>
      <c r="G1212" t="s">
        <v>9</v>
      </c>
      <c r="H1212" t="s">
        <v>8</v>
      </c>
      <c r="I1212" t="s">
        <v>36</v>
      </c>
      <c r="J1212" t="s">
        <v>136</v>
      </c>
      <c r="K1212" t="s">
        <v>22</v>
      </c>
      <c r="L1212">
        <v>5</v>
      </c>
      <c r="M1212" s="12">
        <v>3590</v>
      </c>
      <c r="N1212" s="12">
        <v>2333.5</v>
      </c>
      <c r="O1212">
        <v>16</v>
      </c>
      <c r="P1212" s="12">
        <v>15078</v>
      </c>
      <c r="Q1212" s="12">
        <v>11667.5</v>
      </c>
      <c r="R1212" s="12">
        <v>3410.5</v>
      </c>
      <c r="S1212" t="s">
        <v>113</v>
      </c>
      <c r="T1212" t="s">
        <v>108</v>
      </c>
      <c r="U1212" t="s">
        <v>1194</v>
      </c>
    </row>
    <row r="1213" spans="1:21" x14ac:dyDescent="0.25">
      <c r="A1213" t="s">
        <v>3112</v>
      </c>
      <c r="B1213" s="8">
        <v>45707</v>
      </c>
      <c r="C1213" t="s">
        <v>2766</v>
      </c>
      <c r="D1213" t="s">
        <v>484</v>
      </c>
      <c r="E1213" t="s">
        <v>198</v>
      </c>
      <c r="F1213">
        <v>46</v>
      </c>
      <c r="G1213" t="s">
        <v>2</v>
      </c>
      <c r="H1213" t="s">
        <v>3</v>
      </c>
      <c r="I1213" t="s">
        <v>40</v>
      </c>
      <c r="J1213" t="s">
        <v>39</v>
      </c>
      <c r="K1213" t="s">
        <v>22</v>
      </c>
      <c r="L1213">
        <v>4</v>
      </c>
      <c r="M1213" s="12">
        <v>1100</v>
      </c>
      <c r="N1213" s="12">
        <v>715</v>
      </c>
      <c r="O1213">
        <v>6</v>
      </c>
      <c r="P1213" s="12">
        <v>4136</v>
      </c>
      <c r="Q1213" s="12">
        <v>2860</v>
      </c>
      <c r="R1213" s="12">
        <v>1276</v>
      </c>
      <c r="S1213" t="s">
        <v>1246</v>
      </c>
      <c r="T1213" t="s">
        <v>110</v>
      </c>
      <c r="U1213" t="s">
        <v>1196</v>
      </c>
    </row>
    <row r="1214" spans="1:21" x14ac:dyDescent="0.25">
      <c r="A1214" t="s">
        <v>3113</v>
      </c>
      <c r="B1214" s="8">
        <v>45819</v>
      </c>
      <c r="C1214" t="s">
        <v>3325</v>
      </c>
      <c r="D1214" t="s">
        <v>849</v>
      </c>
      <c r="E1214" t="s">
        <v>198</v>
      </c>
      <c r="F1214">
        <v>27</v>
      </c>
      <c r="G1214" t="s">
        <v>17</v>
      </c>
      <c r="H1214" t="s">
        <v>15</v>
      </c>
      <c r="I1214" t="s">
        <v>28</v>
      </c>
      <c r="J1214" t="s">
        <v>35</v>
      </c>
      <c r="K1214" t="s">
        <v>22</v>
      </c>
      <c r="L1214">
        <v>1</v>
      </c>
      <c r="M1214" s="12">
        <v>16499</v>
      </c>
      <c r="N1214" s="12">
        <v>14519.12</v>
      </c>
      <c r="O1214">
        <v>7</v>
      </c>
      <c r="P1214" s="12">
        <v>15344.07</v>
      </c>
      <c r="Q1214" s="12">
        <v>14519.12</v>
      </c>
      <c r="R1214" s="12">
        <v>824.94999999999891</v>
      </c>
      <c r="S1214" t="s">
        <v>113</v>
      </c>
      <c r="T1214" t="s">
        <v>111</v>
      </c>
      <c r="U1214" t="s">
        <v>1196</v>
      </c>
    </row>
    <row r="1215" spans="1:21" x14ac:dyDescent="0.25">
      <c r="A1215" t="s">
        <v>3114</v>
      </c>
      <c r="B1215" s="8">
        <v>45718</v>
      </c>
      <c r="C1215" t="s">
        <v>1859</v>
      </c>
      <c r="D1215" t="s">
        <v>1188</v>
      </c>
      <c r="E1215" t="s">
        <v>198</v>
      </c>
      <c r="F1215">
        <v>32</v>
      </c>
      <c r="G1215" t="s">
        <v>9</v>
      </c>
      <c r="H1215" t="s">
        <v>8</v>
      </c>
      <c r="I1215" t="s">
        <v>59</v>
      </c>
      <c r="J1215" t="s">
        <v>73</v>
      </c>
      <c r="K1215" t="s">
        <v>64</v>
      </c>
      <c r="L1215">
        <v>3</v>
      </c>
      <c r="M1215" s="12">
        <v>120</v>
      </c>
      <c r="N1215" s="12">
        <v>81.599999999999994</v>
      </c>
      <c r="O1215">
        <v>2</v>
      </c>
      <c r="P1215" s="12">
        <v>352.8</v>
      </c>
      <c r="Q1215" s="12">
        <v>244.79999999999998</v>
      </c>
      <c r="R1215" s="12">
        <v>108.00000000000003</v>
      </c>
      <c r="S1215" t="s">
        <v>113</v>
      </c>
      <c r="T1215" t="s">
        <v>107</v>
      </c>
      <c r="U1215" t="s">
        <v>1201</v>
      </c>
    </row>
    <row r="1216" spans="1:21" x14ac:dyDescent="0.25">
      <c r="A1216" t="s">
        <v>3115</v>
      </c>
      <c r="B1216" s="8">
        <v>45738</v>
      </c>
      <c r="C1216" t="s">
        <v>1310</v>
      </c>
      <c r="D1216" t="s">
        <v>1154</v>
      </c>
      <c r="E1216" t="s">
        <v>198</v>
      </c>
      <c r="F1216">
        <v>57</v>
      </c>
      <c r="G1216" t="s">
        <v>289</v>
      </c>
      <c r="H1216" t="s">
        <v>3</v>
      </c>
      <c r="I1216" t="s">
        <v>34</v>
      </c>
      <c r="J1216" t="s">
        <v>137</v>
      </c>
      <c r="K1216" t="s">
        <v>22</v>
      </c>
      <c r="L1216">
        <v>3</v>
      </c>
      <c r="M1216" s="12">
        <v>6900</v>
      </c>
      <c r="N1216" s="12">
        <v>5727</v>
      </c>
      <c r="O1216">
        <v>6</v>
      </c>
      <c r="P1216" s="12">
        <v>19458</v>
      </c>
      <c r="Q1216" s="12">
        <v>17181</v>
      </c>
      <c r="R1216" s="12">
        <v>2277</v>
      </c>
      <c r="S1216" t="s">
        <v>1246</v>
      </c>
      <c r="T1216" t="s">
        <v>108</v>
      </c>
      <c r="U1216" t="s">
        <v>1199</v>
      </c>
    </row>
    <row r="1217" spans="1:21" x14ac:dyDescent="0.25">
      <c r="A1217" t="s">
        <v>3116</v>
      </c>
      <c r="B1217" s="8">
        <v>45870</v>
      </c>
      <c r="C1217" t="s">
        <v>4502</v>
      </c>
      <c r="D1217" t="s">
        <v>571</v>
      </c>
      <c r="E1217" t="s">
        <v>218</v>
      </c>
      <c r="F1217">
        <v>57</v>
      </c>
      <c r="G1217" t="s">
        <v>4</v>
      </c>
      <c r="H1217" t="s">
        <v>3</v>
      </c>
      <c r="I1217" t="s">
        <v>36</v>
      </c>
      <c r="J1217" t="s">
        <v>136</v>
      </c>
      <c r="K1217" t="s">
        <v>22</v>
      </c>
      <c r="L1217">
        <v>5</v>
      </c>
      <c r="M1217" s="12">
        <v>3590</v>
      </c>
      <c r="N1217" s="12">
        <v>2333.5</v>
      </c>
      <c r="O1217">
        <v>8</v>
      </c>
      <c r="P1217" s="12">
        <v>16514</v>
      </c>
      <c r="Q1217" s="12">
        <v>11667.5</v>
      </c>
      <c r="R1217" s="12">
        <v>4846.5</v>
      </c>
      <c r="S1217" t="s">
        <v>1246</v>
      </c>
      <c r="T1217" t="s">
        <v>107</v>
      </c>
      <c r="U1217" t="s">
        <v>1196</v>
      </c>
    </row>
    <row r="1218" spans="1:21" x14ac:dyDescent="0.25">
      <c r="A1218" t="s">
        <v>3117</v>
      </c>
      <c r="B1218" s="8">
        <v>45680</v>
      </c>
      <c r="C1218" t="s">
        <v>1783</v>
      </c>
      <c r="D1218" t="s">
        <v>441</v>
      </c>
      <c r="E1218" t="s">
        <v>198</v>
      </c>
      <c r="F1218">
        <v>22</v>
      </c>
      <c r="G1218" t="s">
        <v>5</v>
      </c>
      <c r="H1218" t="s">
        <v>3</v>
      </c>
      <c r="I1218" t="s">
        <v>45</v>
      </c>
      <c r="J1218" t="s">
        <v>46</v>
      </c>
      <c r="K1218" t="s">
        <v>43</v>
      </c>
      <c r="L1218">
        <v>5</v>
      </c>
      <c r="M1218" s="12">
        <v>11999</v>
      </c>
      <c r="N1218" s="12">
        <v>8999.25</v>
      </c>
      <c r="O1218">
        <v>5</v>
      </c>
      <c r="P1218" s="12">
        <v>56995.25</v>
      </c>
      <c r="Q1218" s="12">
        <v>44996.25</v>
      </c>
      <c r="R1218" s="12">
        <v>11999</v>
      </c>
      <c r="S1218" t="s">
        <v>1246</v>
      </c>
      <c r="T1218" t="s">
        <v>107</v>
      </c>
      <c r="U1218" t="s">
        <v>1211</v>
      </c>
    </row>
    <row r="1219" spans="1:21" x14ac:dyDescent="0.25">
      <c r="A1219" t="s">
        <v>3118</v>
      </c>
      <c r="B1219" s="8">
        <v>45701</v>
      </c>
      <c r="C1219" t="s">
        <v>2750</v>
      </c>
      <c r="D1219" t="s">
        <v>622</v>
      </c>
      <c r="E1219" t="s">
        <v>218</v>
      </c>
      <c r="F1219">
        <v>29</v>
      </c>
      <c r="G1219" t="s">
        <v>16</v>
      </c>
      <c r="H1219" t="s">
        <v>15</v>
      </c>
      <c r="I1219" t="s">
        <v>40</v>
      </c>
      <c r="J1219" t="s">
        <v>39</v>
      </c>
      <c r="K1219" t="s">
        <v>22</v>
      </c>
      <c r="L1219">
        <v>3</v>
      </c>
      <c r="M1219" s="12">
        <v>1100</v>
      </c>
      <c r="N1219" s="12">
        <v>715</v>
      </c>
      <c r="O1219">
        <v>5</v>
      </c>
      <c r="P1219" s="12">
        <v>3135</v>
      </c>
      <c r="Q1219" s="12">
        <v>2145</v>
      </c>
      <c r="R1219" s="12">
        <v>990</v>
      </c>
      <c r="S1219" t="s">
        <v>113</v>
      </c>
      <c r="T1219" t="s">
        <v>109</v>
      </c>
      <c r="U1219" t="s">
        <v>1205</v>
      </c>
    </row>
    <row r="1220" spans="1:21" x14ac:dyDescent="0.25">
      <c r="A1220" t="s">
        <v>3119</v>
      </c>
      <c r="B1220" s="8">
        <v>45664</v>
      </c>
      <c r="C1220" t="s">
        <v>1747</v>
      </c>
      <c r="D1220" t="s">
        <v>827</v>
      </c>
      <c r="E1220" t="s">
        <v>198</v>
      </c>
      <c r="F1220">
        <v>24</v>
      </c>
      <c r="G1220" t="s">
        <v>289</v>
      </c>
      <c r="H1220" t="s">
        <v>3</v>
      </c>
      <c r="I1220" t="s">
        <v>61</v>
      </c>
      <c r="J1220" t="s">
        <v>146</v>
      </c>
      <c r="K1220" t="s">
        <v>64</v>
      </c>
      <c r="L1220">
        <v>2</v>
      </c>
      <c r="M1220" s="12">
        <v>250</v>
      </c>
      <c r="N1220" s="12">
        <v>155</v>
      </c>
      <c r="O1220">
        <v>14</v>
      </c>
      <c r="P1220" s="12">
        <v>430</v>
      </c>
      <c r="Q1220" s="12">
        <v>310</v>
      </c>
      <c r="R1220" s="12">
        <v>120</v>
      </c>
      <c r="S1220" t="s">
        <v>1246</v>
      </c>
      <c r="T1220" t="s">
        <v>108</v>
      </c>
      <c r="U1220" t="s">
        <v>1205</v>
      </c>
    </row>
    <row r="1221" spans="1:21" x14ac:dyDescent="0.25">
      <c r="A1221" t="s">
        <v>3121</v>
      </c>
      <c r="B1221" s="8">
        <v>45960</v>
      </c>
      <c r="C1221" t="s">
        <v>2983</v>
      </c>
      <c r="D1221" t="s">
        <v>577</v>
      </c>
      <c r="E1221" t="s">
        <v>198</v>
      </c>
      <c r="F1221">
        <v>22</v>
      </c>
      <c r="G1221" t="s">
        <v>17</v>
      </c>
      <c r="H1221" t="s">
        <v>15</v>
      </c>
      <c r="I1221" t="s">
        <v>57</v>
      </c>
      <c r="J1221" t="s">
        <v>67</v>
      </c>
      <c r="K1221" t="s">
        <v>64</v>
      </c>
      <c r="L1221">
        <v>5</v>
      </c>
      <c r="M1221" s="12">
        <v>150</v>
      </c>
      <c r="N1221" s="12">
        <v>97.5</v>
      </c>
      <c r="O1221">
        <v>3</v>
      </c>
      <c r="P1221" s="12">
        <v>727.5</v>
      </c>
      <c r="Q1221" s="12">
        <v>487.5</v>
      </c>
      <c r="R1221" s="12">
        <v>240</v>
      </c>
      <c r="S1221" t="s">
        <v>1246</v>
      </c>
      <c r="T1221" t="s">
        <v>109</v>
      </c>
      <c r="U1221" t="s">
        <v>1194</v>
      </c>
    </row>
    <row r="1222" spans="1:21" x14ac:dyDescent="0.25">
      <c r="A1222" t="s">
        <v>3122</v>
      </c>
      <c r="B1222" s="8">
        <v>45959</v>
      </c>
      <c r="C1222" t="s">
        <v>4015</v>
      </c>
      <c r="D1222" t="s">
        <v>406</v>
      </c>
      <c r="E1222" t="s">
        <v>218</v>
      </c>
      <c r="F1222">
        <v>21</v>
      </c>
      <c r="G1222" t="s">
        <v>11</v>
      </c>
      <c r="H1222" t="s">
        <v>12</v>
      </c>
      <c r="I1222" t="s">
        <v>55</v>
      </c>
      <c r="J1222" t="s">
        <v>65</v>
      </c>
      <c r="K1222" t="s">
        <v>64</v>
      </c>
      <c r="L1222">
        <v>5</v>
      </c>
      <c r="M1222" s="12">
        <v>80</v>
      </c>
      <c r="N1222" s="12">
        <v>56</v>
      </c>
      <c r="O1222">
        <v>3</v>
      </c>
      <c r="P1222" s="12">
        <v>388</v>
      </c>
      <c r="Q1222" s="12">
        <v>280</v>
      </c>
      <c r="R1222" s="12">
        <v>108</v>
      </c>
      <c r="S1222" t="s">
        <v>1246</v>
      </c>
      <c r="T1222" t="s">
        <v>107</v>
      </c>
      <c r="U1222" t="s">
        <v>1194</v>
      </c>
    </row>
    <row r="1223" spans="1:21" x14ac:dyDescent="0.25">
      <c r="A1223" t="s">
        <v>3123</v>
      </c>
      <c r="B1223" s="8">
        <v>45908</v>
      </c>
      <c r="C1223" t="s">
        <v>5044</v>
      </c>
      <c r="D1223" t="s">
        <v>1104</v>
      </c>
      <c r="E1223" t="s">
        <v>218</v>
      </c>
      <c r="F1223">
        <v>35</v>
      </c>
      <c r="G1223" t="s">
        <v>17</v>
      </c>
      <c r="H1223" t="s">
        <v>15</v>
      </c>
      <c r="I1223" t="s">
        <v>21</v>
      </c>
      <c r="J1223" t="s">
        <v>23</v>
      </c>
      <c r="K1223" t="s">
        <v>22</v>
      </c>
      <c r="L1223">
        <v>5</v>
      </c>
      <c r="M1223" s="12">
        <v>54999</v>
      </c>
      <c r="N1223" s="12">
        <v>45099.18</v>
      </c>
      <c r="O1223">
        <v>3</v>
      </c>
      <c r="P1223" s="12">
        <v>266745.14999999997</v>
      </c>
      <c r="Q1223" s="12">
        <v>225495.9</v>
      </c>
      <c r="R1223" s="12">
        <v>41249.249999999971</v>
      </c>
      <c r="S1223" t="s">
        <v>1246</v>
      </c>
      <c r="T1223" t="s">
        <v>109</v>
      </c>
      <c r="U1223" t="s">
        <v>1203</v>
      </c>
    </row>
    <row r="1224" spans="1:21" x14ac:dyDescent="0.25">
      <c r="A1224" t="s">
        <v>3124</v>
      </c>
      <c r="B1224" s="8">
        <v>45724</v>
      </c>
      <c r="C1224" t="s">
        <v>2356</v>
      </c>
      <c r="D1224" t="s">
        <v>1028</v>
      </c>
      <c r="E1224" t="s">
        <v>198</v>
      </c>
      <c r="F1224">
        <v>42</v>
      </c>
      <c r="G1224" t="s">
        <v>17</v>
      </c>
      <c r="H1224" t="s">
        <v>15</v>
      </c>
      <c r="I1224" t="s">
        <v>21</v>
      </c>
      <c r="J1224" t="s">
        <v>23</v>
      </c>
      <c r="K1224" t="s">
        <v>22</v>
      </c>
      <c r="L1224">
        <v>2</v>
      </c>
      <c r="M1224" s="12">
        <v>54999</v>
      </c>
      <c r="N1224" s="12">
        <v>45099.18</v>
      </c>
      <c r="O1224">
        <v>3</v>
      </c>
      <c r="P1224" s="12">
        <v>106698.06</v>
      </c>
      <c r="Q1224" s="12">
        <v>90198.36</v>
      </c>
      <c r="R1224" s="12">
        <v>16499.699999999997</v>
      </c>
      <c r="S1224" t="s">
        <v>1246</v>
      </c>
      <c r="T1224" t="s">
        <v>109</v>
      </c>
      <c r="U1224" t="s">
        <v>1199</v>
      </c>
    </row>
    <row r="1225" spans="1:21" x14ac:dyDescent="0.25">
      <c r="A1225" t="s">
        <v>3125</v>
      </c>
      <c r="B1225" s="8">
        <v>45863</v>
      </c>
      <c r="C1225" t="s">
        <v>2492</v>
      </c>
      <c r="D1225" t="s">
        <v>561</v>
      </c>
      <c r="E1225" t="s">
        <v>218</v>
      </c>
      <c r="F1225">
        <v>18</v>
      </c>
      <c r="G1225" t="s">
        <v>17</v>
      </c>
      <c r="H1225" t="s">
        <v>15</v>
      </c>
      <c r="I1225" t="s">
        <v>26</v>
      </c>
      <c r="J1225" t="s">
        <v>27</v>
      </c>
      <c r="K1225" t="s">
        <v>22</v>
      </c>
      <c r="L1225">
        <v>3</v>
      </c>
      <c r="M1225" s="12">
        <v>27499</v>
      </c>
      <c r="N1225" s="12">
        <v>23374.149999999998</v>
      </c>
      <c r="O1225">
        <v>8</v>
      </c>
      <c r="P1225" s="12">
        <v>75897.240000000005</v>
      </c>
      <c r="Q1225" s="12">
        <v>70122.45</v>
      </c>
      <c r="R1225" s="12">
        <v>5774.7900000000081</v>
      </c>
      <c r="S1225" t="s">
        <v>1246</v>
      </c>
      <c r="T1225" t="s">
        <v>110</v>
      </c>
      <c r="U1225" t="s">
        <v>1194</v>
      </c>
    </row>
    <row r="1226" spans="1:21" x14ac:dyDescent="0.25">
      <c r="A1226" t="s">
        <v>3126</v>
      </c>
      <c r="B1226" s="8">
        <v>45768</v>
      </c>
      <c r="C1226" t="s">
        <v>2815</v>
      </c>
      <c r="D1226" t="s">
        <v>816</v>
      </c>
      <c r="E1226" t="s">
        <v>218</v>
      </c>
      <c r="F1226">
        <v>55</v>
      </c>
      <c r="G1226" t="s">
        <v>10</v>
      </c>
      <c r="H1226" t="s">
        <v>8</v>
      </c>
      <c r="I1226" t="s">
        <v>42</v>
      </c>
      <c r="J1226" t="s">
        <v>44</v>
      </c>
      <c r="K1226" t="s">
        <v>43</v>
      </c>
      <c r="L1226">
        <v>2</v>
      </c>
      <c r="M1226" s="12">
        <v>8999</v>
      </c>
      <c r="N1226" s="12">
        <v>6479.28</v>
      </c>
      <c r="O1226">
        <v>9</v>
      </c>
      <c r="P1226" s="12">
        <v>16378.18</v>
      </c>
      <c r="Q1226" s="12">
        <v>12958.56</v>
      </c>
      <c r="R1226" s="12">
        <v>3419.6200000000008</v>
      </c>
      <c r="S1226" t="s">
        <v>1246</v>
      </c>
      <c r="T1226" t="s">
        <v>110</v>
      </c>
      <c r="U1226" t="s">
        <v>1201</v>
      </c>
    </row>
    <row r="1227" spans="1:21" x14ac:dyDescent="0.25">
      <c r="A1227" t="s">
        <v>3127</v>
      </c>
      <c r="B1227" s="8">
        <v>45723</v>
      </c>
      <c r="C1227" t="s">
        <v>2147</v>
      </c>
      <c r="D1227" t="s">
        <v>894</v>
      </c>
      <c r="E1227" t="s">
        <v>198</v>
      </c>
      <c r="F1227">
        <v>50</v>
      </c>
      <c r="G1227" t="s">
        <v>11</v>
      </c>
      <c r="H1227" t="s">
        <v>12</v>
      </c>
      <c r="I1227" t="s">
        <v>55</v>
      </c>
      <c r="J1227" t="s">
        <v>65</v>
      </c>
      <c r="K1227" t="s">
        <v>64</v>
      </c>
      <c r="L1227">
        <v>3</v>
      </c>
      <c r="M1227" s="12">
        <v>80</v>
      </c>
      <c r="N1227" s="12">
        <v>56</v>
      </c>
      <c r="O1227">
        <v>1</v>
      </c>
      <c r="P1227" s="12">
        <v>237.6</v>
      </c>
      <c r="Q1227" s="12">
        <v>168</v>
      </c>
      <c r="R1227" s="12">
        <v>69.599999999999994</v>
      </c>
      <c r="S1227" t="s">
        <v>113</v>
      </c>
      <c r="T1227" t="s">
        <v>107</v>
      </c>
      <c r="U1227" t="s">
        <v>1198</v>
      </c>
    </row>
    <row r="1228" spans="1:21" x14ac:dyDescent="0.25">
      <c r="A1228" t="s">
        <v>3128</v>
      </c>
      <c r="B1228" s="8">
        <v>45934</v>
      </c>
      <c r="C1228" t="s">
        <v>1694</v>
      </c>
      <c r="D1228" t="s">
        <v>1069</v>
      </c>
      <c r="E1228" t="s">
        <v>218</v>
      </c>
      <c r="F1228">
        <v>40</v>
      </c>
      <c r="G1228" t="s">
        <v>5</v>
      </c>
      <c r="H1228" t="s">
        <v>3</v>
      </c>
      <c r="I1228" t="s">
        <v>34</v>
      </c>
      <c r="J1228" t="s">
        <v>137</v>
      </c>
      <c r="K1228" t="s">
        <v>22</v>
      </c>
      <c r="L1228">
        <v>4</v>
      </c>
      <c r="M1228" s="12">
        <v>6900</v>
      </c>
      <c r="N1228" s="12">
        <v>5727</v>
      </c>
      <c r="O1228">
        <v>5</v>
      </c>
      <c r="P1228" s="12">
        <v>26220</v>
      </c>
      <c r="Q1228" s="12">
        <v>22908</v>
      </c>
      <c r="R1228" s="12">
        <v>3312</v>
      </c>
      <c r="S1228" t="s">
        <v>1246</v>
      </c>
      <c r="T1228" t="s">
        <v>107</v>
      </c>
      <c r="U1228" t="s">
        <v>1207</v>
      </c>
    </row>
    <row r="1229" spans="1:21" x14ac:dyDescent="0.25">
      <c r="A1229" t="s">
        <v>3129</v>
      </c>
      <c r="B1229" s="8">
        <v>45953</v>
      </c>
      <c r="C1229" t="s">
        <v>5090</v>
      </c>
      <c r="D1229" t="s">
        <v>836</v>
      </c>
      <c r="E1229" t="s">
        <v>218</v>
      </c>
      <c r="F1229">
        <v>58</v>
      </c>
      <c r="G1229" t="s">
        <v>11</v>
      </c>
      <c r="H1229" t="s">
        <v>12</v>
      </c>
      <c r="I1229" t="s">
        <v>55</v>
      </c>
      <c r="J1229" t="s">
        <v>65</v>
      </c>
      <c r="K1229" t="s">
        <v>64</v>
      </c>
      <c r="L1229">
        <v>4</v>
      </c>
      <c r="M1229" s="12">
        <v>80</v>
      </c>
      <c r="N1229" s="12">
        <v>56</v>
      </c>
      <c r="O1229">
        <v>5</v>
      </c>
      <c r="P1229" s="12">
        <v>304</v>
      </c>
      <c r="Q1229" s="12">
        <v>224</v>
      </c>
      <c r="R1229" s="12">
        <v>80</v>
      </c>
      <c r="S1229" t="s">
        <v>1246</v>
      </c>
      <c r="T1229" t="s">
        <v>109</v>
      </c>
      <c r="U1229" t="s">
        <v>1199</v>
      </c>
    </row>
    <row r="1230" spans="1:21" x14ac:dyDescent="0.25">
      <c r="A1230" t="s">
        <v>3130</v>
      </c>
      <c r="B1230" s="8">
        <v>45801</v>
      </c>
      <c r="C1230" t="s">
        <v>1932</v>
      </c>
      <c r="D1230" t="s">
        <v>794</v>
      </c>
      <c r="E1230" t="s">
        <v>218</v>
      </c>
      <c r="F1230">
        <v>64</v>
      </c>
      <c r="G1230" t="s">
        <v>14</v>
      </c>
      <c r="H1230" t="s">
        <v>15</v>
      </c>
      <c r="I1230" t="s">
        <v>36</v>
      </c>
      <c r="J1230" t="s">
        <v>136</v>
      </c>
      <c r="K1230" t="s">
        <v>22</v>
      </c>
      <c r="L1230">
        <v>2</v>
      </c>
      <c r="M1230" s="12">
        <v>3590</v>
      </c>
      <c r="N1230" s="12">
        <v>2333.5</v>
      </c>
      <c r="O1230">
        <v>8</v>
      </c>
      <c r="P1230" s="12">
        <v>6605.6</v>
      </c>
      <c r="Q1230" s="12">
        <v>4667</v>
      </c>
      <c r="R1230" s="12">
        <v>1938.6000000000004</v>
      </c>
      <c r="S1230" t="s">
        <v>1246</v>
      </c>
      <c r="T1230" t="s">
        <v>108</v>
      </c>
      <c r="U1230" t="s">
        <v>1207</v>
      </c>
    </row>
    <row r="1231" spans="1:21" x14ac:dyDescent="0.25">
      <c r="A1231" t="s">
        <v>3131</v>
      </c>
      <c r="B1231" s="8">
        <v>46013</v>
      </c>
      <c r="C1231" t="s">
        <v>1611</v>
      </c>
      <c r="D1231" t="s">
        <v>699</v>
      </c>
      <c r="E1231" t="s">
        <v>218</v>
      </c>
      <c r="F1231">
        <v>43</v>
      </c>
      <c r="G1231" t="s">
        <v>17</v>
      </c>
      <c r="H1231" t="s">
        <v>15</v>
      </c>
      <c r="I1231" t="s">
        <v>21</v>
      </c>
      <c r="J1231" t="s">
        <v>23</v>
      </c>
      <c r="K1231" t="s">
        <v>22</v>
      </c>
      <c r="L1231">
        <v>5</v>
      </c>
      <c r="M1231" s="12">
        <v>54999</v>
      </c>
      <c r="N1231" s="12">
        <v>45099.18</v>
      </c>
      <c r="O1231">
        <v>16</v>
      </c>
      <c r="P1231" s="12">
        <v>230995.8</v>
      </c>
      <c r="Q1231" s="12">
        <v>225495.9</v>
      </c>
      <c r="R1231" s="12">
        <v>5499.8999999999942</v>
      </c>
      <c r="S1231" t="s">
        <v>1246</v>
      </c>
      <c r="T1231" t="s">
        <v>109</v>
      </c>
      <c r="U1231" t="s">
        <v>1205</v>
      </c>
    </row>
    <row r="1232" spans="1:21" x14ac:dyDescent="0.25">
      <c r="A1232" t="s">
        <v>3133</v>
      </c>
      <c r="B1232" s="8">
        <v>45756</v>
      </c>
      <c r="C1232" t="s">
        <v>3180</v>
      </c>
      <c r="D1232" t="s">
        <v>792</v>
      </c>
      <c r="E1232" t="s">
        <v>198</v>
      </c>
      <c r="F1232">
        <v>28</v>
      </c>
      <c r="G1232" t="s">
        <v>11</v>
      </c>
      <c r="H1232" t="s">
        <v>12</v>
      </c>
      <c r="I1232" t="s">
        <v>36</v>
      </c>
      <c r="J1232" t="s">
        <v>136</v>
      </c>
      <c r="K1232" t="s">
        <v>22</v>
      </c>
      <c r="L1232">
        <v>4</v>
      </c>
      <c r="M1232" s="12">
        <v>3590</v>
      </c>
      <c r="N1232" s="12">
        <v>2333.5</v>
      </c>
      <c r="O1232">
        <v>3</v>
      </c>
      <c r="P1232" s="12">
        <v>13929.199999999999</v>
      </c>
      <c r="Q1232" s="12">
        <v>9334</v>
      </c>
      <c r="R1232" s="12">
        <v>4595.1999999999989</v>
      </c>
      <c r="S1232" t="s">
        <v>1246</v>
      </c>
      <c r="T1232" t="s">
        <v>107</v>
      </c>
      <c r="U1232" t="s">
        <v>1209</v>
      </c>
    </row>
    <row r="1233" spans="1:21" x14ac:dyDescent="0.25">
      <c r="A1233" t="s">
        <v>3134</v>
      </c>
      <c r="B1233" s="8">
        <v>45950</v>
      </c>
      <c r="C1233" t="s">
        <v>2216</v>
      </c>
      <c r="D1233" t="s">
        <v>876</v>
      </c>
      <c r="E1233" t="s">
        <v>198</v>
      </c>
      <c r="F1233">
        <v>61</v>
      </c>
      <c r="G1233" t="s">
        <v>2</v>
      </c>
      <c r="H1233" t="s">
        <v>3</v>
      </c>
      <c r="I1233" t="s">
        <v>21</v>
      </c>
      <c r="J1233" t="s">
        <v>23</v>
      </c>
      <c r="K1233" t="s">
        <v>22</v>
      </c>
      <c r="L1233">
        <v>3</v>
      </c>
      <c r="M1233" s="12">
        <v>54999</v>
      </c>
      <c r="N1233" s="12">
        <v>45099.18</v>
      </c>
      <c r="O1233">
        <v>7</v>
      </c>
      <c r="P1233" s="12">
        <v>153447.21</v>
      </c>
      <c r="Q1233" s="12">
        <v>135297.54</v>
      </c>
      <c r="R1233" s="12">
        <v>18149.669999999984</v>
      </c>
      <c r="S1233" t="s">
        <v>1246</v>
      </c>
      <c r="T1233" t="s">
        <v>107</v>
      </c>
      <c r="U1233" t="s">
        <v>1205</v>
      </c>
    </row>
    <row r="1234" spans="1:21" x14ac:dyDescent="0.25">
      <c r="A1234" t="s">
        <v>3135</v>
      </c>
      <c r="B1234" s="8">
        <v>45821</v>
      </c>
      <c r="C1234" t="s">
        <v>4875</v>
      </c>
      <c r="D1234" t="s">
        <v>728</v>
      </c>
      <c r="E1234" t="s">
        <v>198</v>
      </c>
      <c r="F1234">
        <v>20</v>
      </c>
      <c r="G1234" t="s">
        <v>11</v>
      </c>
      <c r="H1234" t="s">
        <v>12</v>
      </c>
      <c r="I1234" t="s">
        <v>59</v>
      </c>
      <c r="J1234" t="s">
        <v>73</v>
      </c>
      <c r="K1234" t="s">
        <v>64</v>
      </c>
      <c r="L1234">
        <v>5</v>
      </c>
      <c r="M1234" s="12">
        <v>120</v>
      </c>
      <c r="N1234" s="12">
        <v>81.599999999999994</v>
      </c>
      <c r="O1234">
        <v>15</v>
      </c>
      <c r="P1234" s="12">
        <v>510</v>
      </c>
      <c r="Q1234" s="12">
        <v>408</v>
      </c>
      <c r="R1234" s="12">
        <v>102</v>
      </c>
      <c r="S1234" t="s">
        <v>1246</v>
      </c>
      <c r="T1234" t="s">
        <v>107</v>
      </c>
      <c r="U1234" t="s">
        <v>1199</v>
      </c>
    </row>
    <row r="1235" spans="1:21" x14ac:dyDescent="0.25">
      <c r="A1235" t="s">
        <v>3136</v>
      </c>
      <c r="B1235" s="8">
        <v>45986</v>
      </c>
      <c r="C1235" t="s">
        <v>3423</v>
      </c>
      <c r="D1235" t="s">
        <v>866</v>
      </c>
      <c r="E1235" t="s">
        <v>218</v>
      </c>
      <c r="F1235">
        <v>56</v>
      </c>
      <c r="G1235" t="s">
        <v>5</v>
      </c>
      <c r="H1235" t="s">
        <v>3</v>
      </c>
      <c r="I1235" t="s">
        <v>38</v>
      </c>
      <c r="J1235" t="s">
        <v>37</v>
      </c>
      <c r="K1235" t="s">
        <v>22</v>
      </c>
      <c r="L1235">
        <v>4</v>
      </c>
      <c r="M1235" s="12">
        <v>1650</v>
      </c>
      <c r="N1235" s="12">
        <v>990</v>
      </c>
      <c r="O1235">
        <v>11</v>
      </c>
      <c r="P1235" s="12">
        <v>5874</v>
      </c>
      <c r="Q1235" s="12">
        <v>3960</v>
      </c>
      <c r="R1235" s="12">
        <v>1914</v>
      </c>
      <c r="S1235" t="s">
        <v>1246</v>
      </c>
      <c r="T1235" t="s">
        <v>110</v>
      </c>
      <c r="U1235" t="s">
        <v>1194</v>
      </c>
    </row>
    <row r="1236" spans="1:21" x14ac:dyDescent="0.25">
      <c r="A1236" t="s">
        <v>3138</v>
      </c>
      <c r="B1236" s="8">
        <v>45828</v>
      </c>
      <c r="C1236" t="s">
        <v>1283</v>
      </c>
      <c r="D1236" t="s">
        <v>659</v>
      </c>
      <c r="E1236" t="s">
        <v>218</v>
      </c>
      <c r="F1236">
        <v>24</v>
      </c>
      <c r="G1236" t="s">
        <v>2</v>
      </c>
      <c r="H1236" t="s">
        <v>3</v>
      </c>
      <c r="I1236" t="s">
        <v>42</v>
      </c>
      <c r="J1236" t="s">
        <v>44</v>
      </c>
      <c r="K1236" t="s">
        <v>43</v>
      </c>
      <c r="L1236">
        <v>4</v>
      </c>
      <c r="M1236" s="12">
        <v>8999</v>
      </c>
      <c r="N1236" s="12">
        <v>6479.28</v>
      </c>
      <c r="O1236">
        <v>3</v>
      </c>
      <c r="P1236" s="12">
        <v>34916.120000000003</v>
      </c>
      <c r="Q1236" s="12">
        <v>25917.119999999999</v>
      </c>
      <c r="R1236" s="12">
        <v>8999.0000000000036</v>
      </c>
      <c r="S1236" t="s">
        <v>1246</v>
      </c>
      <c r="T1236" t="s">
        <v>107</v>
      </c>
      <c r="U1236" t="s">
        <v>1207</v>
      </c>
    </row>
    <row r="1237" spans="1:21" x14ac:dyDescent="0.25">
      <c r="A1237" t="s">
        <v>3140</v>
      </c>
      <c r="B1237" s="8">
        <v>45807</v>
      </c>
      <c r="C1237" t="s">
        <v>1584</v>
      </c>
      <c r="D1237" t="s">
        <v>821</v>
      </c>
      <c r="E1237" t="s">
        <v>198</v>
      </c>
      <c r="F1237">
        <v>50</v>
      </c>
      <c r="G1237" t="s">
        <v>2</v>
      </c>
      <c r="H1237" t="s">
        <v>3</v>
      </c>
      <c r="I1237" t="s">
        <v>34</v>
      </c>
      <c r="J1237" t="s">
        <v>137</v>
      </c>
      <c r="K1237" t="s">
        <v>22</v>
      </c>
      <c r="L1237">
        <v>3</v>
      </c>
      <c r="M1237" s="12">
        <v>6900</v>
      </c>
      <c r="N1237" s="12">
        <v>5727</v>
      </c>
      <c r="O1237">
        <v>6</v>
      </c>
      <c r="P1237" s="12">
        <v>19458</v>
      </c>
      <c r="Q1237" s="12">
        <v>17181</v>
      </c>
      <c r="R1237" s="12">
        <v>2277</v>
      </c>
      <c r="S1237" t="s">
        <v>1246</v>
      </c>
      <c r="T1237" t="s">
        <v>107</v>
      </c>
      <c r="U1237" t="s">
        <v>1196</v>
      </c>
    </row>
    <row r="1238" spans="1:21" x14ac:dyDescent="0.25">
      <c r="A1238" t="s">
        <v>3141</v>
      </c>
      <c r="B1238" s="8">
        <v>45677</v>
      </c>
      <c r="C1238" t="s">
        <v>2178</v>
      </c>
      <c r="D1238" t="s">
        <v>444</v>
      </c>
      <c r="E1238" t="s">
        <v>218</v>
      </c>
      <c r="F1238">
        <v>23</v>
      </c>
      <c r="G1238" t="s">
        <v>11</v>
      </c>
      <c r="H1238" t="s">
        <v>12</v>
      </c>
      <c r="I1238" t="s">
        <v>34</v>
      </c>
      <c r="J1238" t="s">
        <v>137</v>
      </c>
      <c r="K1238" t="s">
        <v>22</v>
      </c>
      <c r="L1238">
        <v>1</v>
      </c>
      <c r="M1238" s="12">
        <v>6900</v>
      </c>
      <c r="N1238" s="12">
        <v>5727</v>
      </c>
      <c r="O1238">
        <v>8</v>
      </c>
      <c r="P1238" s="12">
        <v>6348</v>
      </c>
      <c r="Q1238" s="12">
        <v>5727</v>
      </c>
      <c r="R1238" s="12">
        <v>621</v>
      </c>
      <c r="S1238" t="s">
        <v>1246</v>
      </c>
      <c r="T1238" t="s">
        <v>109</v>
      </c>
      <c r="U1238" t="s">
        <v>1201</v>
      </c>
    </row>
    <row r="1239" spans="1:21" x14ac:dyDescent="0.25">
      <c r="A1239" t="s">
        <v>3142</v>
      </c>
      <c r="B1239" s="8">
        <v>46002</v>
      </c>
      <c r="C1239" t="s">
        <v>2774</v>
      </c>
      <c r="D1239" t="s">
        <v>1068</v>
      </c>
      <c r="E1239" t="s">
        <v>218</v>
      </c>
      <c r="F1239">
        <v>33</v>
      </c>
      <c r="G1239" t="s">
        <v>5</v>
      </c>
      <c r="H1239" t="s">
        <v>3</v>
      </c>
      <c r="I1239" t="s">
        <v>34</v>
      </c>
      <c r="J1239" t="s">
        <v>137</v>
      </c>
      <c r="K1239" t="s">
        <v>22</v>
      </c>
      <c r="L1239">
        <v>1</v>
      </c>
      <c r="M1239" s="12">
        <v>6900</v>
      </c>
      <c r="N1239" s="12">
        <v>5727</v>
      </c>
      <c r="O1239">
        <v>11</v>
      </c>
      <c r="P1239" s="12">
        <v>6141</v>
      </c>
      <c r="Q1239" s="12">
        <v>5727</v>
      </c>
      <c r="R1239" s="12">
        <v>414</v>
      </c>
      <c r="S1239" t="s">
        <v>1246</v>
      </c>
      <c r="T1239" t="s">
        <v>108</v>
      </c>
      <c r="U1239" t="s">
        <v>1203</v>
      </c>
    </row>
    <row r="1240" spans="1:21" x14ac:dyDescent="0.25">
      <c r="A1240" t="s">
        <v>3144</v>
      </c>
      <c r="B1240" s="8">
        <v>45866</v>
      </c>
      <c r="C1240" t="s">
        <v>2221</v>
      </c>
      <c r="D1240" t="s">
        <v>808</v>
      </c>
      <c r="E1240" t="s">
        <v>218</v>
      </c>
      <c r="F1240">
        <v>51</v>
      </c>
      <c r="G1240" t="s">
        <v>2</v>
      </c>
      <c r="H1240" t="s">
        <v>3</v>
      </c>
      <c r="I1240" t="s">
        <v>61</v>
      </c>
      <c r="J1240" t="s">
        <v>146</v>
      </c>
      <c r="K1240" t="s">
        <v>64</v>
      </c>
      <c r="L1240">
        <v>1</v>
      </c>
      <c r="M1240" s="12">
        <v>250</v>
      </c>
      <c r="N1240" s="12">
        <v>155</v>
      </c>
      <c r="O1240">
        <v>2</v>
      </c>
      <c r="P1240" s="12">
        <v>245</v>
      </c>
      <c r="Q1240" s="12">
        <v>155</v>
      </c>
      <c r="R1240" s="12">
        <v>90</v>
      </c>
      <c r="S1240" t="s">
        <v>113</v>
      </c>
      <c r="T1240" t="s">
        <v>110</v>
      </c>
      <c r="U1240" t="s">
        <v>1207</v>
      </c>
    </row>
    <row r="1241" spans="1:21" x14ac:dyDescent="0.25">
      <c r="A1241" t="s">
        <v>3145</v>
      </c>
      <c r="B1241" s="8">
        <v>45931</v>
      </c>
      <c r="C1241" t="s">
        <v>2852</v>
      </c>
      <c r="D1241" t="s">
        <v>1008</v>
      </c>
      <c r="E1241" t="s">
        <v>198</v>
      </c>
      <c r="F1241">
        <v>56</v>
      </c>
      <c r="G1241" t="s">
        <v>290</v>
      </c>
      <c r="H1241" t="s">
        <v>3</v>
      </c>
      <c r="I1241" t="s">
        <v>55</v>
      </c>
      <c r="J1241" t="s">
        <v>65</v>
      </c>
      <c r="K1241" t="s">
        <v>64</v>
      </c>
      <c r="L1241">
        <v>1</v>
      </c>
      <c r="M1241" s="12">
        <v>80</v>
      </c>
      <c r="N1241" s="12">
        <v>56</v>
      </c>
      <c r="O1241">
        <v>4</v>
      </c>
      <c r="P1241" s="12">
        <v>76.8</v>
      </c>
      <c r="Q1241" s="12">
        <v>56</v>
      </c>
      <c r="R1241" s="12">
        <v>20.799999999999997</v>
      </c>
      <c r="S1241" t="s">
        <v>113</v>
      </c>
      <c r="T1241" t="s">
        <v>107</v>
      </c>
      <c r="U1241" t="s">
        <v>1211</v>
      </c>
    </row>
    <row r="1242" spans="1:21" x14ac:dyDescent="0.25">
      <c r="A1242" t="s">
        <v>3147</v>
      </c>
      <c r="B1242" s="8">
        <v>45701</v>
      </c>
      <c r="C1242" t="s">
        <v>2472</v>
      </c>
      <c r="D1242" t="s">
        <v>1128</v>
      </c>
      <c r="E1242" t="s">
        <v>218</v>
      </c>
      <c r="F1242">
        <v>34</v>
      </c>
      <c r="G1242" t="s">
        <v>17</v>
      </c>
      <c r="H1242" t="s">
        <v>15</v>
      </c>
      <c r="I1242" t="s">
        <v>45</v>
      </c>
      <c r="J1242" t="s">
        <v>46</v>
      </c>
      <c r="K1242" t="s">
        <v>43</v>
      </c>
      <c r="L1242">
        <v>5</v>
      </c>
      <c r="M1242" s="12">
        <v>11999</v>
      </c>
      <c r="N1242" s="12">
        <v>8999.25</v>
      </c>
      <c r="O1242">
        <v>7</v>
      </c>
      <c r="P1242" s="12">
        <v>55795.35</v>
      </c>
      <c r="Q1242" s="12">
        <v>44996.25</v>
      </c>
      <c r="R1242" s="12">
        <v>10799.099999999999</v>
      </c>
      <c r="S1242" t="s">
        <v>1246</v>
      </c>
      <c r="T1242" t="s">
        <v>108</v>
      </c>
      <c r="U1242" t="s">
        <v>1196</v>
      </c>
    </row>
    <row r="1243" spans="1:21" x14ac:dyDescent="0.25">
      <c r="A1243" t="s">
        <v>3148</v>
      </c>
      <c r="B1243" s="8">
        <v>45699</v>
      </c>
      <c r="C1243" t="s">
        <v>2551</v>
      </c>
      <c r="D1243" t="s">
        <v>541</v>
      </c>
      <c r="E1243" t="s">
        <v>198</v>
      </c>
      <c r="F1243">
        <v>22</v>
      </c>
      <c r="G1243" t="s">
        <v>14</v>
      </c>
      <c r="H1243" t="s">
        <v>15</v>
      </c>
      <c r="I1243" t="s">
        <v>36</v>
      </c>
      <c r="J1243" t="s">
        <v>136</v>
      </c>
      <c r="K1243" t="s">
        <v>22</v>
      </c>
      <c r="L1243">
        <v>3</v>
      </c>
      <c r="M1243" s="12">
        <v>3590</v>
      </c>
      <c r="N1243" s="12">
        <v>2333.5</v>
      </c>
      <c r="O1243">
        <v>8</v>
      </c>
      <c r="P1243" s="12">
        <v>9908.4</v>
      </c>
      <c r="Q1243" s="12">
        <v>7000.5</v>
      </c>
      <c r="R1243" s="12">
        <v>2907.8999999999996</v>
      </c>
      <c r="S1243" t="s">
        <v>113</v>
      </c>
      <c r="T1243" t="s">
        <v>109</v>
      </c>
      <c r="U1243" t="s">
        <v>1205</v>
      </c>
    </row>
    <row r="1244" spans="1:21" x14ac:dyDescent="0.25">
      <c r="A1244" t="s">
        <v>3149</v>
      </c>
      <c r="B1244" s="8">
        <v>45741</v>
      </c>
      <c r="C1244" t="s">
        <v>2058</v>
      </c>
      <c r="D1244" t="s">
        <v>1092</v>
      </c>
      <c r="E1244" t="s">
        <v>218</v>
      </c>
      <c r="F1244">
        <v>62</v>
      </c>
      <c r="G1244" t="s">
        <v>9</v>
      </c>
      <c r="H1244" t="s">
        <v>8</v>
      </c>
      <c r="I1244" t="s">
        <v>26</v>
      </c>
      <c r="J1244" t="s">
        <v>27</v>
      </c>
      <c r="K1244" t="s">
        <v>22</v>
      </c>
      <c r="L1244">
        <v>3</v>
      </c>
      <c r="M1244" s="12">
        <v>27499</v>
      </c>
      <c r="N1244" s="12">
        <v>23374.149999999998</v>
      </c>
      <c r="O1244">
        <v>3</v>
      </c>
      <c r="P1244" s="12">
        <v>80022.09</v>
      </c>
      <c r="Q1244" s="12">
        <v>70122.45</v>
      </c>
      <c r="R1244" s="12">
        <v>9899.64</v>
      </c>
      <c r="S1244" t="s">
        <v>1246</v>
      </c>
      <c r="T1244" t="s">
        <v>107</v>
      </c>
      <c r="U1244" t="s">
        <v>1199</v>
      </c>
    </row>
    <row r="1245" spans="1:21" x14ac:dyDescent="0.25">
      <c r="A1245" t="s">
        <v>3150</v>
      </c>
      <c r="B1245" s="8">
        <v>45777</v>
      </c>
      <c r="C1245" t="s">
        <v>3006</v>
      </c>
      <c r="D1245" t="s">
        <v>392</v>
      </c>
      <c r="E1245" t="s">
        <v>198</v>
      </c>
      <c r="F1245">
        <v>62</v>
      </c>
      <c r="G1245" t="s">
        <v>17</v>
      </c>
      <c r="H1245" t="s">
        <v>15</v>
      </c>
      <c r="I1245" t="s">
        <v>55</v>
      </c>
      <c r="J1245" t="s">
        <v>65</v>
      </c>
      <c r="K1245" t="s">
        <v>64</v>
      </c>
      <c r="L1245">
        <v>3</v>
      </c>
      <c r="M1245" s="12">
        <v>80</v>
      </c>
      <c r="N1245" s="12">
        <v>56</v>
      </c>
      <c r="O1245">
        <v>5</v>
      </c>
      <c r="P1245" s="12">
        <v>228</v>
      </c>
      <c r="Q1245" s="12">
        <v>168</v>
      </c>
      <c r="R1245" s="12">
        <v>60</v>
      </c>
      <c r="S1245" t="s">
        <v>113</v>
      </c>
      <c r="T1245" t="s">
        <v>108</v>
      </c>
      <c r="U1245" t="s">
        <v>1211</v>
      </c>
    </row>
    <row r="1246" spans="1:21" x14ac:dyDescent="0.25">
      <c r="A1246" t="s">
        <v>3151</v>
      </c>
      <c r="B1246" s="8">
        <v>45669</v>
      </c>
      <c r="C1246" t="s">
        <v>2893</v>
      </c>
      <c r="D1246" t="s">
        <v>546</v>
      </c>
      <c r="E1246" t="s">
        <v>218</v>
      </c>
      <c r="F1246">
        <v>37</v>
      </c>
      <c r="G1246" t="s">
        <v>7</v>
      </c>
      <c r="H1246" t="s">
        <v>8</v>
      </c>
      <c r="I1246" t="s">
        <v>49</v>
      </c>
      <c r="J1246" t="s">
        <v>56</v>
      </c>
      <c r="K1246" t="s">
        <v>43</v>
      </c>
      <c r="L1246">
        <v>3</v>
      </c>
      <c r="M1246" s="12">
        <v>31999</v>
      </c>
      <c r="N1246" s="12">
        <v>25599.200000000001</v>
      </c>
      <c r="O1246">
        <v>3</v>
      </c>
      <c r="P1246" s="12">
        <v>93117.09</v>
      </c>
      <c r="Q1246" s="12">
        <v>76797.600000000006</v>
      </c>
      <c r="R1246" s="12">
        <v>16319.489999999991</v>
      </c>
      <c r="S1246" t="s">
        <v>1249</v>
      </c>
      <c r="T1246" t="s">
        <v>109</v>
      </c>
      <c r="U1246" t="s">
        <v>1205</v>
      </c>
    </row>
    <row r="1247" spans="1:21" x14ac:dyDescent="0.25">
      <c r="A1247" t="s">
        <v>3152</v>
      </c>
      <c r="B1247" s="8">
        <v>45718</v>
      </c>
      <c r="C1247" t="s">
        <v>2929</v>
      </c>
      <c r="D1247" t="s">
        <v>711</v>
      </c>
      <c r="E1247" t="s">
        <v>218</v>
      </c>
      <c r="F1247">
        <v>27</v>
      </c>
      <c r="G1247" t="s">
        <v>5</v>
      </c>
      <c r="H1247" t="s">
        <v>3</v>
      </c>
      <c r="I1247" t="s">
        <v>40</v>
      </c>
      <c r="J1247" t="s">
        <v>39</v>
      </c>
      <c r="K1247" t="s">
        <v>22</v>
      </c>
      <c r="L1247">
        <v>3</v>
      </c>
      <c r="M1247" s="12">
        <v>1100</v>
      </c>
      <c r="N1247" s="12">
        <v>715</v>
      </c>
      <c r="O1247">
        <v>7</v>
      </c>
      <c r="P1247" s="12">
        <v>3069</v>
      </c>
      <c r="Q1247" s="12">
        <v>2145</v>
      </c>
      <c r="R1247" s="12">
        <v>924</v>
      </c>
      <c r="S1247" t="s">
        <v>1246</v>
      </c>
      <c r="T1247" t="s">
        <v>109</v>
      </c>
      <c r="U1247" t="s">
        <v>1205</v>
      </c>
    </row>
    <row r="1248" spans="1:21" x14ac:dyDescent="0.25">
      <c r="A1248" t="s">
        <v>3154</v>
      </c>
      <c r="B1248" s="8">
        <v>45960</v>
      </c>
      <c r="C1248" t="s">
        <v>3961</v>
      </c>
      <c r="D1248" t="s">
        <v>1086</v>
      </c>
      <c r="E1248" t="s">
        <v>218</v>
      </c>
      <c r="F1248">
        <v>18</v>
      </c>
      <c r="G1248" t="s">
        <v>5</v>
      </c>
      <c r="H1248" t="s">
        <v>3</v>
      </c>
      <c r="I1248" t="s">
        <v>57</v>
      </c>
      <c r="J1248" t="s">
        <v>67</v>
      </c>
      <c r="K1248" t="s">
        <v>64</v>
      </c>
      <c r="L1248">
        <v>1</v>
      </c>
      <c r="M1248" s="12">
        <v>150</v>
      </c>
      <c r="N1248" s="12">
        <v>97.5</v>
      </c>
      <c r="O1248">
        <v>0</v>
      </c>
      <c r="P1248" s="12">
        <v>150</v>
      </c>
      <c r="Q1248" s="12">
        <v>97.5</v>
      </c>
      <c r="R1248" s="12">
        <v>52.5</v>
      </c>
      <c r="S1248" t="s">
        <v>1246</v>
      </c>
      <c r="T1248" t="s">
        <v>107</v>
      </c>
      <c r="U1248" t="s">
        <v>1194</v>
      </c>
    </row>
    <row r="1249" spans="1:21" x14ac:dyDescent="0.25">
      <c r="A1249" t="s">
        <v>3155</v>
      </c>
      <c r="B1249" s="8">
        <v>45890</v>
      </c>
      <c r="C1249" t="s">
        <v>2210</v>
      </c>
      <c r="D1249" t="s">
        <v>805</v>
      </c>
      <c r="E1249" t="s">
        <v>218</v>
      </c>
      <c r="F1249">
        <v>54</v>
      </c>
      <c r="G1249" t="s">
        <v>7</v>
      </c>
      <c r="H1249" t="s">
        <v>8</v>
      </c>
      <c r="I1249" t="s">
        <v>28</v>
      </c>
      <c r="J1249" t="s">
        <v>35</v>
      </c>
      <c r="K1249" t="s">
        <v>22</v>
      </c>
      <c r="L1249">
        <v>4</v>
      </c>
      <c r="M1249" s="12">
        <v>16499</v>
      </c>
      <c r="N1249" s="12">
        <v>14519.12</v>
      </c>
      <c r="O1249">
        <v>4</v>
      </c>
      <c r="P1249" s="12">
        <v>63356.159999999996</v>
      </c>
      <c r="Q1249" s="12">
        <v>58076.480000000003</v>
      </c>
      <c r="R1249" s="12">
        <v>5279.679999999993</v>
      </c>
      <c r="S1249" t="s">
        <v>1246</v>
      </c>
      <c r="T1249" t="s">
        <v>107</v>
      </c>
      <c r="U1249" t="s">
        <v>1196</v>
      </c>
    </row>
    <row r="1250" spans="1:21" x14ac:dyDescent="0.25">
      <c r="A1250" t="s">
        <v>3156</v>
      </c>
      <c r="B1250" s="8">
        <v>45732</v>
      </c>
      <c r="C1250" t="s">
        <v>3975</v>
      </c>
      <c r="D1250" t="s">
        <v>533</v>
      </c>
      <c r="E1250" t="s">
        <v>218</v>
      </c>
      <c r="F1250">
        <v>24</v>
      </c>
      <c r="G1250" t="s">
        <v>289</v>
      </c>
      <c r="H1250" t="s">
        <v>3</v>
      </c>
      <c r="I1250" t="s">
        <v>45</v>
      </c>
      <c r="J1250" t="s">
        <v>46</v>
      </c>
      <c r="K1250" t="s">
        <v>43</v>
      </c>
      <c r="L1250">
        <v>2</v>
      </c>
      <c r="M1250" s="12">
        <v>11999</v>
      </c>
      <c r="N1250" s="12">
        <v>8999.25</v>
      </c>
      <c r="O1250">
        <v>7</v>
      </c>
      <c r="P1250" s="12">
        <v>22318.14</v>
      </c>
      <c r="Q1250" s="12">
        <v>17998.5</v>
      </c>
      <c r="R1250" s="12">
        <v>4319.6399999999994</v>
      </c>
      <c r="S1250" t="s">
        <v>1246</v>
      </c>
      <c r="T1250" t="s">
        <v>109</v>
      </c>
      <c r="U1250" t="s">
        <v>1207</v>
      </c>
    </row>
    <row r="1251" spans="1:21" x14ac:dyDescent="0.25">
      <c r="A1251" t="s">
        <v>3157</v>
      </c>
      <c r="B1251" s="8">
        <v>45857</v>
      </c>
      <c r="C1251" t="s">
        <v>2234</v>
      </c>
      <c r="D1251" t="s">
        <v>570</v>
      </c>
      <c r="E1251" t="s">
        <v>198</v>
      </c>
      <c r="F1251">
        <v>29</v>
      </c>
      <c r="G1251" t="s">
        <v>4</v>
      </c>
      <c r="H1251" t="s">
        <v>3</v>
      </c>
      <c r="I1251" t="s">
        <v>32</v>
      </c>
      <c r="J1251" t="s">
        <v>29</v>
      </c>
      <c r="K1251" t="s">
        <v>22</v>
      </c>
      <c r="L1251">
        <v>4</v>
      </c>
      <c r="M1251" s="12">
        <v>9500</v>
      </c>
      <c r="N1251" s="12">
        <v>6650</v>
      </c>
      <c r="O1251">
        <v>4</v>
      </c>
      <c r="P1251" s="12">
        <v>36480</v>
      </c>
      <c r="Q1251" s="12">
        <v>26600</v>
      </c>
      <c r="R1251" s="12">
        <v>9880</v>
      </c>
      <c r="S1251" t="s">
        <v>1246</v>
      </c>
      <c r="T1251" t="s">
        <v>108</v>
      </c>
      <c r="U1251" t="s">
        <v>1207</v>
      </c>
    </row>
    <row r="1252" spans="1:21" x14ac:dyDescent="0.25">
      <c r="A1252" t="s">
        <v>3158</v>
      </c>
      <c r="B1252" s="8">
        <v>45682</v>
      </c>
      <c r="C1252" t="s">
        <v>2690</v>
      </c>
      <c r="D1252" t="s">
        <v>818</v>
      </c>
      <c r="E1252" t="s">
        <v>218</v>
      </c>
      <c r="F1252">
        <v>33</v>
      </c>
      <c r="G1252" t="s">
        <v>17</v>
      </c>
      <c r="H1252" t="s">
        <v>15</v>
      </c>
      <c r="I1252" t="s">
        <v>51</v>
      </c>
      <c r="J1252" t="s">
        <v>54</v>
      </c>
      <c r="K1252" t="s">
        <v>43</v>
      </c>
      <c r="L1252">
        <v>2</v>
      </c>
      <c r="M1252" s="12">
        <v>27499</v>
      </c>
      <c r="N1252" s="12">
        <v>21724.210000000003</v>
      </c>
      <c r="O1252">
        <v>3</v>
      </c>
      <c r="P1252" s="12">
        <v>53348.06</v>
      </c>
      <c r="Q1252" s="12">
        <v>43448.420000000006</v>
      </c>
      <c r="R1252" s="12">
        <v>9899.6399999999921</v>
      </c>
      <c r="S1252" t="s">
        <v>1246</v>
      </c>
      <c r="T1252" t="s">
        <v>107</v>
      </c>
      <c r="U1252" t="s">
        <v>1207</v>
      </c>
    </row>
    <row r="1253" spans="1:21" x14ac:dyDescent="0.25">
      <c r="A1253" t="s">
        <v>3160</v>
      </c>
      <c r="B1253" s="8">
        <v>45871</v>
      </c>
      <c r="C1253" t="s">
        <v>2398</v>
      </c>
      <c r="D1253" t="s">
        <v>400</v>
      </c>
      <c r="E1253" t="s">
        <v>198</v>
      </c>
      <c r="F1253">
        <v>49</v>
      </c>
      <c r="G1253" t="s">
        <v>11</v>
      </c>
      <c r="H1253" t="s">
        <v>12</v>
      </c>
      <c r="I1253" t="s">
        <v>28</v>
      </c>
      <c r="J1253" t="s">
        <v>35</v>
      </c>
      <c r="K1253" t="s">
        <v>22</v>
      </c>
      <c r="L1253">
        <v>1</v>
      </c>
      <c r="M1253" s="12">
        <v>16499</v>
      </c>
      <c r="N1253" s="12">
        <v>14519.12</v>
      </c>
      <c r="O1253">
        <v>3</v>
      </c>
      <c r="P1253" s="12">
        <v>16004.029999999999</v>
      </c>
      <c r="Q1253" s="12">
        <v>14519.12</v>
      </c>
      <c r="R1253" s="12">
        <v>1484.909999999998</v>
      </c>
      <c r="S1253" t="s">
        <v>1246</v>
      </c>
      <c r="T1253" t="s">
        <v>110</v>
      </c>
      <c r="U1253" t="s">
        <v>1194</v>
      </c>
    </row>
    <row r="1254" spans="1:21" x14ac:dyDescent="0.25">
      <c r="A1254" t="s">
        <v>3161</v>
      </c>
      <c r="B1254" s="8">
        <v>45736</v>
      </c>
      <c r="C1254" t="s">
        <v>2802</v>
      </c>
      <c r="D1254" t="s">
        <v>494</v>
      </c>
      <c r="E1254" t="s">
        <v>218</v>
      </c>
      <c r="F1254">
        <v>32</v>
      </c>
      <c r="G1254" t="s">
        <v>10</v>
      </c>
      <c r="H1254" t="s">
        <v>8</v>
      </c>
      <c r="I1254" t="s">
        <v>45</v>
      </c>
      <c r="J1254" t="s">
        <v>46</v>
      </c>
      <c r="K1254" t="s">
        <v>43</v>
      </c>
      <c r="L1254">
        <v>1</v>
      </c>
      <c r="M1254" s="12">
        <v>11999</v>
      </c>
      <c r="N1254" s="12">
        <v>8999.25</v>
      </c>
      <c r="O1254">
        <v>9</v>
      </c>
      <c r="P1254" s="12">
        <v>10919.09</v>
      </c>
      <c r="Q1254" s="12">
        <v>8999.25</v>
      </c>
      <c r="R1254" s="12">
        <v>1919.8400000000001</v>
      </c>
      <c r="S1254" t="s">
        <v>1246</v>
      </c>
      <c r="T1254" t="s">
        <v>109</v>
      </c>
      <c r="U1254" t="s">
        <v>1199</v>
      </c>
    </row>
    <row r="1255" spans="1:21" x14ac:dyDescent="0.25">
      <c r="A1255" t="s">
        <v>3163</v>
      </c>
      <c r="B1255" s="8">
        <v>45828</v>
      </c>
      <c r="C1255" t="s">
        <v>2324</v>
      </c>
      <c r="D1255" t="s">
        <v>1130</v>
      </c>
      <c r="E1255" t="s">
        <v>198</v>
      </c>
      <c r="F1255">
        <v>34</v>
      </c>
      <c r="G1255" t="s">
        <v>17</v>
      </c>
      <c r="H1255" t="s">
        <v>15</v>
      </c>
      <c r="I1255" t="s">
        <v>26</v>
      </c>
      <c r="J1255" t="s">
        <v>27</v>
      </c>
      <c r="K1255" t="s">
        <v>22</v>
      </c>
      <c r="L1255">
        <v>3</v>
      </c>
      <c r="M1255" s="12">
        <v>27499</v>
      </c>
      <c r="N1255" s="12">
        <v>23374.149999999998</v>
      </c>
      <c r="O1255">
        <v>10</v>
      </c>
      <c r="P1255" s="12">
        <v>74247.3</v>
      </c>
      <c r="Q1255" s="12">
        <v>70122.45</v>
      </c>
      <c r="R1255" s="12">
        <v>4124.8500000000058</v>
      </c>
      <c r="S1255" t="s">
        <v>1246</v>
      </c>
      <c r="T1255" t="s">
        <v>107</v>
      </c>
      <c r="U1255" t="s">
        <v>1205</v>
      </c>
    </row>
    <row r="1256" spans="1:21" x14ac:dyDescent="0.25">
      <c r="A1256" t="s">
        <v>3164</v>
      </c>
      <c r="B1256" s="8">
        <v>45679</v>
      </c>
      <c r="C1256" t="s">
        <v>1977</v>
      </c>
      <c r="D1256" t="s">
        <v>429</v>
      </c>
      <c r="E1256" t="s">
        <v>218</v>
      </c>
      <c r="F1256">
        <v>38</v>
      </c>
      <c r="G1256" t="s">
        <v>17</v>
      </c>
      <c r="H1256" t="s">
        <v>15</v>
      </c>
      <c r="I1256" t="s">
        <v>55</v>
      </c>
      <c r="J1256" t="s">
        <v>65</v>
      </c>
      <c r="K1256" t="s">
        <v>64</v>
      </c>
      <c r="L1256">
        <v>5</v>
      </c>
      <c r="M1256" s="12">
        <v>80</v>
      </c>
      <c r="N1256" s="12">
        <v>56</v>
      </c>
      <c r="O1256">
        <v>8</v>
      </c>
      <c r="P1256" s="12">
        <v>368</v>
      </c>
      <c r="Q1256" s="12">
        <v>280</v>
      </c>
      <c r="R1256" s="12">
        <v>88</v>
      </c>
      <c r="S1256" t="s">
        <v>1246</v>
      </c>
      <c r="T1256" t="s">
        <v>109</v>
      </c>
      <c r="U1256" t="s">
        <v>1209</v>
      </c>
    </row>
    <row r="1257" spans="1:21" x14ac:dyDescent="0.25">
      <c r="A1257" t="s">
        <v>3165</v>
      </c>
      <c r="B1257" s="8">
        <v>46008</v>
      </c>
      <c r="C1257" t="s">
        <v>2025</v>
      </c>
      <c r="D1257" t="s">
        <v>963</v>
      </c>
      <c r="E1257" t="s">
        <v>198</v>
      </c>
      <c r="F1257">
        <v>46</v>
      </c>
      <c r="G1257" t="s">
        <v>9</v>
      </c>
      <c r="H1257" t="s">
        <v>8</v>
      </c>
      <c r="I1257" t="s">
        <v>63</v>
      </c>
      <c r="J1257" t="s">
        <v>77</v>
      </c>
      <c r="K1257" t="s">
        <v>64</v>
      </c>
      <c r="L1257">
        <v>2</v>
      </c>
      <c r="M1257" s="12">
        <v>650</v>
      </c>
      <c r="N1257" s="12">
        <v>468</v>
      </c>
      <c r="O1257">
        <v>6</v>
      </c>
      <c r="P1257" s="12">
        <v>1222</v>
      </c>
      <c r="Q1257" s="12">
        <v>936</v>
      </c>
      <c r="R1257" s="12">
        <v>286</v>
      </c>
      <c r="S1257" t="s">
        <v>1246</v>
      </c>
      <c r="T1257" t="s">
        <v>107</v>
      </c>
      <c r="U1257" t="s">
        <v>1196</v>
      </c>
    </row>
    <row r="1258" spans="1:21" x14ac:dyDescent="0.25">
      <c r="A1258" t="s">
        <v>3166</v>
      </c>
      <c r="B1258" s="8">
        <v>45693</v>
      </c>
      <c r="C1258" t="s">
        <v>2690</v>
      </c>
      <c r="D1258" t="s">
        <v>818</v>
      </c>
      <c r="E1258" t="s">
        <v>218</v>
      </c>
      <c r="F1258">
        <v>33</v>
      </c>
      <c r="G1258" t="s">
        <v>17</v>
      </c>
      <c r="H1258" t="s">
        <v>15</v>
      </c>
      <c r="I1258" t="s">
        <v>34</v>
      </c>
      <c r="J1258" t="s">
        <v>137</v>
      </c>
      <c r="K1258" t="s">
        <v>22</v>
      </c>
      <c r="L1258">
        <v>1</v>
      </c>
      <c r="M1258" s="12">
        <v>6900</v>
      </c>
      <c r="N1258" s="12">
        <v>5727</v>
      </c>
      <c r="O1258">
        <v>6</v>
      </c>
      <c r="P1258" s="12">
        <v>6486</v>
      </c>
      <c r="Q1258" s="12">
        <v>5727</v>
      </c>
      <c r="R1258" s="12">
        <v>759</v>
      </c>
      <c r="S1258" t="s">
        <v>113</v>
      </c>
      <c r="T1258" t="s">
        <v>108</v>
      </c>
      <c r="U1258" t="s">
        <v>1211</v>
      </c>
    </row>
    <row r="1259" spans="1:21" x14ac:dyDescent="0.25">
      <c r="A1259" t="s">
        <v>3167</v>
      </c>
      <c r="B1259" s="8">
        <v>45828</v>
      </c>
      <c r="C1259" t="s">
        <v>1257</v>
      </c>
      <c r="D1259" t="s">
        <v>998</v>
      </c>
      <c r="E1259" t="s">
        <v>198</v>
      </c>
      <c r="F1259">
        <v>50</v>
      </c>
      <c r="G1259" t="s">
        <v>17</v>
      </c>
      <c r="H1259" t="s">
        <v>15</v>
      </c>
      <c r="I1259" t="s">
        <v>34</v>
      </c>
      <c r="J1259" t="s">
        <v>137</v>
      </c>
      <c r="K1259" t="s">
        <v>22</v>
      </c>
      <c r="L1259">
        <v>5</v>
      </c>
      <c r="M1259" s="12">
        <v>6900</v>
      </c>
      <c r="N1259" s="12">
        <v>5727</v>
      </c>
      <c r="O1259">
        <v>9</v>
      </c>
      <c r="P1259" s="12">
        <v>31395</v>
      </c>
      <c r="Q1259" s="12">
        <v>28635</v>
      </c>
      <c r="R1259" s="12">
        <v>2760</v>
      </c>
      <c r="S1259" t="s">
        <v>1249</v>
      </c>
      <c r="T1259" t="s">
        <v>107</v>
      </c>
      <c r="U1259" t="s">
        <v>1203</v>
      </c>
    </row>
    <row r="1260" spans="1:21" x14ac:dyDescent="0.25">
      <c r="A1260" t="s">
        <v>3168</v>
      </c>
      <c r="B1260" s="8">
        <v>45732</v>
      </c>
      <c r="C1260" t="s">
        <v>2126</v>
      </c>
      <c r="D1260" t="s">
        <v>423</v>
      </c>
      <c r="E1260" t="s">
        <v>218</v>
      </c>
      <c r="F1260">
        <v>65</v>
      </c>
      <c r="G1260" t="s">
        <v>2</v>
      </c>
      <c r="H1260" t="s">
        <v>3</v>
      </c>
      <c r="I1260" t="s">
        <v>40</v>
      </c>
      <c r="J1260" t="s">
        <v>39</v>
      </c>
      <c r="K1260" t="s">
        <v>22</v>
      </c>
      <c r="L1260">
        <v>2</v>
      </c>
      <c r="M1260" s="12">
        <v>1100</v>
      </c>
      <c r="N1260" s="12">
        <v>715</v>
      </c>
      <c r="O1260">
        <v>5</v>
      </c>
      <c r="P1260" s="12">
        <v>2090</v>
      </c>
      <c r="Q1260" s="12">
        <v>1430</v>
      </c>
      <c r="R1260" s="12">
        <v>660</v>
      </c>
      <c r="S1260" t="s">
        <v>1246</v>
      </c>
      <c r="T1260" t="s">
        <v>109</v>
      </c>
      <c r="U1260" t="s">
        <v>1194</v>
      </c>
    </row>
    <row r="1261" spans="1:21" x14ac:dyDescent="0.25">
      <c r="A1261" t="s">
        <v>3169</v>
      </c>
      <c r="B1261" s="8">
        <v>45790</v>
      </c>
      <c r="C1261" t="s">
        <v>1663</v>
      </c>
      <c r="D1261" t="s">
        <v>935</v>
      </c>
      <c r="E1261" t="s">
        <v>198</v>
      </c>
      <c r="F1261">
        <v>57</v>
      </c>
      <c r="G1261" t="s">
        <v>2</v>
      </c>
      <c r="H1261" t="s">
        <v>3</v>
      </c>
      <c r="I1261" t="s">
        <v>26</v>
      </c>
      <c r="J1261" t="s">
        <v>27</v>
      </c>
      <c r="K1261" t="s">
        <v>22</v>
      </c>
      <c r="L1261">
        <v>2</v>
      </c>
      <c r="M1261" s="12">
        <v>27499</v>
      </c>
      <c r="N1261" s="12">
        <v>23374.149999999998</v>
      </c>
      <c r="O1261">
        <v>10</v>
      </c>
      <c r="P1261" s="12">
        <v>49498.200000000004</v>
      </c>
      <c r="Q1261" s="12">
        <v>46748.299999999996</v>
      </c>
      <c r="R1261" s="12">
        <v>2749.9000000000087</v>
      </c>
      <c r="S1261" t="s">
        <v>1246</v>
      </c>
      <c r="T1261" t="s">
        <v>107</v>
      </c>
      <c r="U1261" t="s">
        <v>1199</v>
      </c>
    </row>
    <row r="1262" spans="1:21" x14ac:dyDescent="0.25">
      <c r="A1262" t="s">
        <v>3171</v>
      </c>
      <c r="B1262" s="8">
        <v>45985</v>
      </c>
      <c r="C1262" t="s">
        <v>1943</v>
      </c>
      <c r="D1262" t="s">
        <v>946</v>
      </c>
      <c r="E1262" t="s">
        <v>218</v>
      </c>
      <c r="F1262">
        <v>38</v>
      </c>
      <c r="G1262" t="s">
        <v>9</v>
      </c>
      <c r="H1262" t="s">
        <v>8</v>
      </c>
      <c r="I1262" t="s">
        <v>30</v>
      </c>
      <c r="J1262" t="s">
        <v>41</v>
      </c>
      <c r="K1262" t="s">
        <v>22</v>
      </c>
      <c r="L1262">
        <v>4</v>
      </c>
      <c r="M1262" s="12">
        <v>13749</v>
      </c>
      <c r="N1262" s="12">
        <v>10999.2</v>
      </c>
      <c r="O1262">
        <v>16</v>
      </c>
      <c r="P1262" s="12">
        <v>46196.639999999999</v>
      </c>
      <c r="Q1262" s="12">
        <v>43996.800000000003</v>
      </c>
      <c r="R1262" s="12">
        <v>2199.8399999999965</v>
      </c>
      <c r="S1262" t="s">
        <v>113</v>
      </c>
      <c r="T1262" t="s">
        <v>110</v>
      </c>
      <c r="U1262" t="s">
        <v>1201</v>
      </c>
    </row>
    <row r="1263" spans="1:21" x14ac:dyDescent="0.25">
      <c r="A1263" t="s">
        <v>3172</v>
      </c>
      <c r="B1263" s="8">
        <v>45974</v>
      </c>
      <c r="C1263" t="s">
        <v>1935</v>
      </c>
      <c r="D1263" t="s">
        <v>785</v>
      </c>
      <c r="E1263" t="s">
        <v>198</v>
      </c>
      <c r="F1263">
        <v>44</v>
      </c>
      <c r="G1263" t="s">
        <v>9</v>
      </c>
      <c r="H1263" t="s">
        <v>8</v>
      </c>
      <c r="I1263" t="s">
        <v>55</v>
      </c>
      <c r="J1263" t="s">
        <v>65</v>
      </c>
      <c r="K1263" t="s">
        <v>64</v>
      </c>
      <c r="L1263">
        <v>1</v>
      </c>
      <c r="M1263" s="12">
        <v>80</v>
      </c>
      <c r="N1263" s="12">
        <v>56</v>
      </c>
      <c r="O1263">
        <v>3</v>
      </c>
      <c r="P1263" s="12">
        <v>77.599999999999994</v>
      </c>
      <c r="Q1263" s="12">
        <v>56</v>
      </c>
      <c r="R1263" s="12">
        <v>21.599999999999994</v>
      </c>
      <c r="S1263" t="s">
        <v>113</v>
      </c>
      <c r="T1263" t="s">
        <v>107</v>
      </c>
      <c r="U1263" t="s">
        <v>1203</v>
      </c>
    </row>
    <row r="1264" spans="1:21" x14ac:dyDescent="0.25">
      <c r="A1264" t="s">
        <v>3173</v>
      </c>
      <c r="B1264" s="8">
        <v>45871</v>
      </c>
      <c r="C1264" t="s">
        <v>5080</v>
      </c>
      <c r="D1264" t="s">
        <v>1059</v>
      </c>
      <c r="E1264" t="s">
        <v>198</v>
      </c>
      <c r="F1264">
        <v>32</v>
      </c>
      <c r="G1264" t="s">
        <v>5</v>
      </c>
      <c r="H1264" t="s">
        <v>3</v>
      </c>
      <c r="I1264" t="s">
        <v>28</v>
      </c>
      <c r="J1264" t="s">
        <v>35</v>
      </c>
      <c r="K1264" t="s">
        <v>22</v>
      </c>
      <c r="L1264">
        <v>3</v>
      </c>
      <c r="M1264" s="12">
        <v>16499</v>
      </c>
      <c r="N1264" s="12">
        <v>14519.12</v>
      </c>
      <c r="O1264">
        <v>3</v>
      </c>
      <c r="P1264" s="12">
        <v>48012.09</v>
      </c>
      <c r="Q1264" s="12">
        <v>43557.36</v>
      </c>
      <c r="R1264" s="12">
        <v>4454.7299999999959</v>
      </c>
      <c r="S1264" t="s">
        <v>1246</v>
      </c>
      <c r="T1264" t="s">
        <v>107</v>
      </c>
      <c r="U1264" t="s">
        <v>1196</v>
      </c>
    </row>
    <row r="1265" spans="1:21" x14ac:dyDescent="0.25">
      <c r="A1265" t="s">
        <v>3174</v>
      </c>
      <c r="B1265" s="8">
        <v>45745</v>
      </c>
      <c r="C1265" t="s">
        <v>2388</v>
      </c>
      <c r="D1265" t="s">
        <v>933</v>
      </c>
      <c r="E1265" t="s">
        <v>218</v>
      </c>
      <c r="F1265">
        <v>26</v>
      </c>
      <c r="G1265" t="s">
        <v>4</v>
      </c>
      <c r="H1265" t="s">
        <v>3</v>
      </c>
      <c r="I1265" t="s">
        <v>61</v>
      </c>
      <c r="J1265" t="s">
        <v>146</v>
      </c>
      <c r="K1265" t="s">
        <v>64</v>
      </c>
      <c r="L1265">
        <v>2</v>
      </c>
      <c r="M1265" s="12">
        <v>250</v>
      </c>
      <c r="N1265" s="12">
        <v>155</v>
      </c>
      <c r="O1265">
        <v>3</v>
      </c>
      <c r="P1265" s="12">
        <v>485</v>
      </c>
      <c r="Q1265" s="12">
        <v>310</v>
      </c>
      <c r="R1265" s="12">
        <v>175</v>
      </c>
      <c r="S1265" t="s">
        <v>1246</v>
      </c>
      <c r="T1265" t="s">
        <v>111</v>
      </c>
      <c r="U1265" t="s">
        <v>1205</v>
      </c>
    </row>
    <row r="1266" spans="1:21" x14ac:dyDescent="0.25">
      <c r="A1266" t="s">
        <v>3175</v>
      </c>
      <c r="B1266" s="8">
        <v>45684</v>
      </c>
      <c r="C1266" t="s">
        <v>1630</v>
      </c>
      <c r="D1266" t="s">
        <v>1044</v>
      </c>
      <c r="E1266" t="s">
        <v>198</v>
      </c>
      <c r="F1266">
        <v>20</v>
      </c>
      <c r="G1266" t="s">
        <v>5</v>
      </c>
      <c r="H1266" t="s">
        <v>3</v>
      </c>
      <c r="I1266" t="s">
        <v>49</v>
      </c>
      <c r="J1266" t="s">
        <v>56</v>
      </c>
      <c r="K1266" t="s">
        <v>43</v>
      </c>
      <c r="L1266">
        <v>2</v>
      </c>
      <c r="M1266" s="12">
        <v>31999</v>
      </c>
      <c r="N1266" s="12">
        <v>25599.200000000001</v>
      </c>
      <c r="O1266">
        <v>5</v>
      </c>
      <c r="P1266" s="12">
        <v>60798.1</v>
      </c>
      <c r="Q1266" s="12">
        <v>51198.400000000001</v>
      </c>
      <c r="R1266" s="12">
        <v>9599.6999999999971</v>
      </c>
      <c r="S1266" t="s">
        <v>1246</v>
      </c>
      <c r="T1266" t="s">
        <v>109</v>
      </c>
      <c r="U1266" t="s">
        <v>1211</v>
      </c>
    </row>
    <row r="1267" spans="1:21" x14ac:dyDescent="0.25">
      <c r="A1267" t="s">
        <v>3176</v>
      </c>
      <c r="B1267" s="8">
        <v>45911</v>
      </c>
      <c r="C1267" t="s">
        <v>4780</v>
      </c>
      <c r="D1267" t="s">
        <v>1056</v>
      </c>
      <c r="E1267" t="s">
        <v>218</v>
      </c>
      <c r="F1267">
        <v>31</v>
      </c>
      <c r="G1267" t="s">
        <v>10</v>
      </c>
      <c r="H1267" t="s">
        <v>8</v>
      </c>
      <c r="I1267" t="s">
        <v>34</v>
      </c>
      <c r="J1267" t="s">
        <v>137</v>
      </c>
      <c r="K1267" t="s">
        <v>22</v>
      </c>
      <c r="L1267">
        <v>2</v>
      </c>
      <c r="M1267" s="12">
        <v>6900</v>
      </c>
      <c r="N1267" s="12">
        <v>5727</v>
      </c>
      <c r="O1267">
        <v>7</v>
      </c>
      <c r="P1267" s="12">
        <v>12834</v>
      </c>
      <c r="Q1267" s="12">
        <v>11454</v>
      </c>
      <c r="R1267" s="12">
        <v>1380</v>
      </c>
      <c r="S1267" t="s">
        <v>1246</v>
      </c>
      <c r="T1267" t="s">
        <v>107</v>
      </c>
      <c r="U1267" t="s">
        <v>1207</v>
      </c>
    </row>
    <row r="1268" spans="1:21" x14ac:dyDescent="0.25">
      <c r="A1268" t="s">
        <v>3178</v>
      </c>
      <c r="B1268" s="8">
        <v>45847</v>
      </c>
      <c r="C1268" t="s">
        <v>3170</v>
      </c>
      <c r="D1268" t="s">
        <v>960</v>
      </c>
      <c r="E1268" t="s">
        <v>218</v>
      </c>
      <c r="F1268">
        <v>63</v>
      </c>
      <c r="G1268" t="s">
        <v>11</v>
      </c>
      <c r="H1268" t="s">
        <v>12</v>
      </c>
      <c r="I1268" t="s">
        <v>57</v>
      </c>
      <c r="J1268" t="s">
        <v>67</v>
      </c>
      <c r="K1268" t="s">
        <v>64</v>
      </c>
      <c r="L1268">
        <v>2</v>
      </c>
      <c r="M1268" s="12">
        <v>150</v>
      </c>
      <c r="N1268" s="12">
        <v>97.5</v>
      </c>
      <c r="O1268">
        <v>1</v>
      </c>
      <c r="P1268" s="12">
        <v>297</v>
      </c>
      <c r="Q1268" s="12">
        <v>195</v>
      </c>
      <c r="R1268" s="12">
        <v>102</v>
      </c>
      <c r="S1268" t="s">
        <v>1246</v>
      </c>
      <c r="T1268" t="s">
        <v>109</v>
      </c>
      <c r="U1268" t="s">
        <v>1201</v>
      </c>
    </row>
    <row r="1269" spans="1:21" x14ac:dyDescent="0.25">
      <c r="A1269" t="s">
        <v>3179</v>
      </c>
      <c r="B1269" s="8">
        <v>45755</v>
      </c>
      <c r="C1269" t="s">
        <v>2104</v>
      </c>
      <c r="D1269" t="s">
        <v>513</v>
      </c>
      <c r="E1269" t="s">
        <v>218</v>
      </c>
      <c r="F1269">
        <v>61</v>
      </c>
      <c r="G1269" t="s">
        <v>4</v>
      </c>
      <c r="H1269" t="s">
        <v>3</v>
      </c>
      <c r="I1269" t="s">
        <v>59</v>
      </c>
      <c r="J1269" t="s">
        <v>73</v>
      </c>
      <c r="K1269" t="s">
        <v>64</v>
      </c>
      <c r="L1269">
        <v>3</v>
      </c>
      <c r="M1269" s="12">
        <v>120</v>
      </c>
      <c r="N1269" s="12">
        <v>81.599999999999994</v>
      </c>
      <c r="O1269">
        <v>2</v>
      </c>
      <c r="P1269" s="12">
        <v>352.8</v>
      </c>
      <c r="Q1269" s="12">
        <v>244.79999999999998</v>
      </c>
      <c r="R1269" s="12">
        <v>108.00000000000003</v>
      </c>
      <c r="S1269" t="s">
        <v>1246</v>
      </c>
      <c r="T1269" t="s">
        <v>107</v>
      </c>
      <c r="U1269" t="s">
        <v>1209</v>
      </c>
    </row>
    <row r="1270" spans="1:21" x14ac:dyDescent="0.25">
      <c r="A1270" t="s">
        <v>3181</v>
      </c>
      <c r="B1270" s="8">
        <v>45702</v>
      </c>
      <c r="C1270" t="s">
        <v>5094</v>
      </c>
      <c r="D1270" t="s">
        <v>573</v>
      </c>
      <c r="E1270" t="s">
        <v>198</v>
      </c>
      <c r="F1270">
        <v>37</v>
      </c>
      <c r="G1270" t="s">
        <v>7</v>
      </c>
      <c r="H1270" t="s">
        <v>8</v>
      </c>
      <c r="I1270" t="s">
        <v>21</v>
      </c>
      <c r="J1270" t="s">
        <v>23</v>
      </c>
      <c r="K1270" t="s">
        <v>22</v>
      </c>
      <c r="L1270">
        <v>2</v>
      </c>
      <c r="M1270" s="12">
        <v>54999</v>
      </c>
      <c r="N1270" s="12">
        <v>45099.18</v>
      </c>
      <c r="O1270">
        <v>4</v>
      </c>
      <c r="P1270" s="12">
        <v>105598.08</v>
      </c>
      <c r="Q1270" s="12">
        <v>90198.36</v>
      </c>
      <c r="R1270" s="12">
        <v>15399.720000000001</v>
      </c>
      <c r="S1270" t="s">
        <v>113</v>
      </c>
      <c r="T1270" t="s">
        <v>108</v>
      </c>
      <c r="U1270" t="s">
        <v>1209</v>
      </c>
    </row>
    <row r="1271" spans="1:21" x14ac:dyDescent="0.25">
      <c r="A1271" t="s">
        <v>3182</v>
      </c>
      <c r="B1271" s="8">
        <v>45690</v>
      </c>
      <c r="C1271" t="s">
        <v>1703</v>
      </c>
      <c r="D1271" t="s">
        <v>1091</v>
      </c>
      <c r="E1271" t="s">
        <v>218</v>
      </c>
      <c r="F1271">
        <v>58</v>
      </c>
      <c r="G1271" t="s">
        <v>11</v>
      </c>
      <c r="H1271" t="s">
        <v>12</v>
      </c>
      <c r="I1271" t="s">
        <v>32</v>
      </c>
      <c r="J1271" t="s">
        <v>29</v>
      </c>
      <c r="K1271" t="s">
        <v>22</v>
      </c>
      <c r="L1271">
        <v>1</v>
      </c>
      <c r="M1271" s="12">
        <v>9500</v>
      </c>
      <c r="N1271" s="12">
        <v>6650</v>
      </c>
      <c r="O1271">
        <v>7</v>
      </c>
      <c r="P1271" s="12">
        <v>8835</v>
      </c>
      <c r="Q1271" s="12">
        <v>6650</v>
      </c>
      <c r="R1271" s="12">
        <v>2185</v>
      </c>
      <c r="S1271" t="s">
        <v>113</v>
      </c>
      <c r="T1271" t="s">
        <v>107</v>
      </c>
      <c r="U1271" t="s">
        <v>1203</v>
      </c>
    </row>
    <row r="1272" spans="1:21" x14ac:dyDescent="0.25">
      <c r="A1272" t="s">
        <v>3184</v>
      </c>
      <c r="B1272" s="8">
        <v>45852</v>
      </c>
      <c r="C1272" t="s">
        <v>1868</v>
      </c>
      <c r="D1272" t="s">
        <v>1123</v>
      </c>
      <c r="E1272" t="s">
        <v>218</v>
      </c>
      <c r="F1272">
        <v>26</v>
      </c>
      <c r="G1272" t="s">
        <v>9</v>
      </c>
      <c r="H1272" t="s">
        <v>8</v>
      </c>
      <c r="I1272" t="s">
        <v>61</v>
      </c>
      <c r="J1272" t="s">
        <v>146</v>
      </c>
      <c r="K1272" t="s">
        <v>64</v>
      </c>
      <c r="L1272">
        <v>1</v>
      </c>
      <c r="M1272" s="12">
        <v>250</v>
      </c>
      <c r="N1272" s="12">
        <v>155</v>
      </c>
      <c r="O1272">
        <v>4</v>
      </c>
      <c r="P1272" s="12">
        <v>240</v>
      </c>
      <c r="Q1272" s="12">
        <v>155</v>
      </c>
      <c r="R1272" s="12">
        <v>85</v>
      </c>
      <c r="S1272" t="s">
        <v>1246</v>
      </c>
      <c r="T1272" t="s">
        <v>107</v>
      </c>
      <c r="U1272" t="s">
        <v>1199</v>
      </c>
    </row>
    <row r="1273" spans="1:21" x14ac:dyDescent="0.25">
      <c r="A1273" t="s">
        <v>3186</v>
      </c>
      <c r="B1273" s="8">
        <v>45918</v>
      </c>
      <c r="C1273" t="s">
        <v>1981</v>
      </c>
      <c r="D1273" t="s">
        <v>1137</v>
      </c>
      <c r="E1273" t="s">
        <v>218</v>
      </c>
      <c r="F1273">
        <v>36</v>
      </c>
      <c r="G1273" t="s">
        <v>5</v>
      </c>
      <c r="H1273" t="s">
        <v>3</v>
      </c>
      <c r="I1273" t="s">
        <v>61</v>
      </c>
      <c r="J1273" t="s">
        <v>146</v>
      </c>
      <c r="K1273" t="s">
        <v>64</v>
      </c>
      <c r="L1273">
        <v>2</v>
      </c>
      <c r="M1273" s="12">
        <v>250</v>
      </c>
      <c r="N1273" s="12">
        <v>155</v>
      </c>
      <c r="O1273">
        <v>0</v>
      </c>
      <c r="P1273" s="12">
        <v>500</v>
      </c>
      <c r="Q1273" s="12">
        <v>310</v>
      </c>
      <c r="R1273" s="12">
        <v>190</v>
      </c>
      <c r="S1273" t="s">
        <v>1246</v>
      </c>
      <c r="T1273" t="s">
        <v>108</v>
      </c>
      <c r="U1273" t="s">
        <v>1203</v>
      </c>
    </row>
    <row r="1274" spans="1:21" x14ac:dyDescent="0.25">
      <c r="A1274" t="s">
        <v>3188</v>
      </c>
      <c r="B1274" s="8">
        <v>45818</v>
      </c>
      <c r="C1274" t="s">
        <v>1491</v>
      </c>
      <c r="D1274" t="s">
        <v>532</v>
      </c>
      <c r="E1274" t="s">
        <v>198</v>
      </c>
      <c r="F1274">
        <v>56</v>
      </c>
      <c r="G1274" t="s">
        <v>289</v>
      </c>
      <c r="H1274" t="s">
        <v>3</v>
      </c>
      <c r="I1274" t="s">
        <v>53</v>
      </c>
      <c r="J1274" t="s">
        <v>48</v>
      </c>
      <c r="K1274" t="s">
        <v>43</v>
      </c>
      <c r="L1274">
        <v>3</v>
      </c>
      <c r="M1274" s="12">
        <v>6499</v>
      </c>
      <c r="N1274" s="12">
        <v>4549.2999999999993</v>
      </c>
      <c r="O1274">
        <v>2</v>
      </c>
      <c r="P1274" s="12">
        <v>19107.060000000001</v>
      </c>
      <c r="Q1274" s="12">
        <v>13647.899999999998</v>
      </c>
      <c r="R1274" s="12">
        <v>5459.1600000000035</v>
      </c>
      <c r="S1274" t="s">
        <v>1246</v>
      </c>
      <c r="T1274" t="s">
        <v>107</v>
      </c>
      <c r="U1274" t="s">
        <v>1205</v>
      </c>
    </row>
    <row r="1275" spans="1:21" x14ac:dyDescent="0.25">
      <c r="A1275" t="s">
        <v>3190</v>
      </c>
      <c r="B1275" s="8">
        <v>45858</v>
      </c>
      <c r="C1275" t="s">
        <v>5089</v>
      </c>
      <c r="D1275" t="s">
        <v>611</v>
      </c>
      <c r="E1275" t="s">
        <v>218</v>
      </c>
      <c r="F1275">
        <v>49</v>
      </c>
      <c r="G1275" t="s">
        <v>16</v>
      </c>
      <c r="H1275" t="s">
        <v>15</v>
      </c>
      <c r="I1275" t="s">
        <v>40</v>
      </c>
      <c r="J1275" t="s">
        <v>39</v>
      </c>
      <c r="K1275" t="s">
        <v>22</v>
      </c>
      <c r="L1275">
        <v>5</v>
      </c>
      <c r="M1275" s="12">
        <v>1100</v>
      </c>
      <c r="N1275" s="12">
        <v>715</v>
      </c>
      <c r="O1275">
        <v>4</v>
      </c>
      <c r="P1275" s="12">
        <v>5280</v>
      </c>
      <c r="Q1275" s="12">
        <v>3575</v>
      </c>
      <c r="R1275" s="12">
        <v>1705</v>
      </c>
      <c r="S1275" t="s">
        <v>1246</v>
      </c>
      <c r="T1275" t="s">
        <v>108</v>
      </c>
      <c r="U1275" t="s">
        <v>1201</v>
      </c>
    </row>
    <row r="1276" spans="1:21" x14ac:dyDescent="0.25">
      <c r="A1276" t="s">
        <v>3191</v>
      </c>
      <c r="B1276" s="8">
        <v>45777</v>
      </c>
      <c r="C1276" t="s">
        <v>3177</v>
      </c>
      <c r="D1276" t="s">
        <v>564</v>
      </c>
      <c r="E1276" t="s">
        <v>198</v>
      </c>
      <c r="F1276">
        <v>22</v>
      </c>
      <c r="G1276" t="s">
        <v>289</v>
      </c>
      <c r="H1276" t="s">
        <v>3</v>
      </c>
      <c r="I1276" t="s">
        <v>49</v>
      </c>
      <c r="J1276" t="s">
        <v>56</v>
      </c>
      <c r="K1276" t="s">
        <v>43</v>
      </c>
      <c r="L1276">
        <v>5</v>
      </c>
      <c r="M1276" s="12">
        <v>31999</v>
      </c>
      <c r="N1276" s="12">
        <v>25599.200000000001</v>
      </c>
      <c r="O1276">
        <v>9</v>
      </c>
      <c r="P1276" s="12">
        <v>145595.45000000001</v>
      </c>
      <c r="Q1276" s="12">
        <v>127996</v>
      </c>
      <c r="R1276" s="12">
        <v>17599.450000000012</v>
      </c>
      <c r="S1276" t="s">
        <v>113</v>
      </c>
      <c r="T1276" t="s">
        <v>108</v>
      </c>
      <c r="U1276" t="s">
        <v>1199</v>
      </c>
    </row>
    <row r="1277" spans="1:21" x14ac:dyDescent="0.25">
      <c r="A1277" t="s">
        <v>3192</v>
      </c>
      <c r="B1277" s="8">
        <v>45761</v>
      </c>
      <c r="C1277" t="s">
        <v>3502</v>
      </c>
      <c r="D1277" t="s">
        <v>1045</v>
      </c>
      <c r="E1277" t="s">
        <v>198</v>
      </c>
      <c r="F1277">
        <v>23</v>
      </c>
      <c r="G1277" t="s">
        <v>10</v>
      </c>
      <c r="H1277" t="s">
        <v>8</v>
      </c>
      <c r="I1277" t="s">
        <v>55</v>
      </c>
      <c r="J1277" t="s">
        <v>65</v>
      </c>
      <c r="K1277" t="s">
        <v>64</v>
      </c>
      <c r="L1277">
        <v>4</v>
      </c>
      <c r="M1277" s="12">
        <v>80</v>
      </c>
      <c r="N1277" s="12">
        <v>56</v>
      </c>
      <c r="O1277">
        <v>4</v>
      </c>
      <c r="P1277" s="12">
        <v>307.2</v>
      </c>
      <c r="Q1277" s="12">
        <v>224</v>
      </c>
      <c r="R1277" s="12">
        <v>83.199999999999989</v>
      </c>
      <c r="S1277" t="s">
        <v>1246</v>
      </c>
      <c r="T1277" t="s">
        <v>109</v>
      </c>
      <c r="U1277" t="s">
        <v>1207</v>
      </c>
    </row>
    <row r="1278" spans="1:21" x14ac:dyDescent="0.25">
      <c r="A1278" t="s">
        <v>3194</v>
      </c>
      <c r="B1278" s="8">
        <v>45876</v>
      </c>
      <c r="C1278" t="s">
        <v>2713</v>
      </c>
      <c r="D1278" t="s">
        <v>788</v>
      </c>
      <c r="E1278" t="s">
        <v>218</v>
      </c>
      <c r="F1278">
        <v>57</v>
      </c>
      <c r="G1278" t="s">
        <v>4</v>
      </c>
      <c r="H1278" t="s">
        <v>3</v>
      </c>
      <c r="I1278" t="s">
        <v>63</v>
      </c>
      <c r="J1278" t="s">
        <v>77</v>
      </c>
      <c r="K1278" t="s">
        <v>64</v>
      </c>
      <c r="L1278">
        <v>3</v>
      </c>
      <c r="M1278" s="12">
        <v>650</v>
      </c>
      <c r="N1278" s="12">
        <v>468</v>
      </c>
      <c r="O1278">
        <v>3</v>
      </c>
      <c r="P1278" s="12">
        <v>1891.5</v>
      </c>
      <c r="Q1278" s="12">
        <v>1404</v>
      </c>
      <c r="R1278" s="12">
        <v>487.5</v>
      </c>
      <c r="S1278" t="s">
        <v>1246</v>
      </c>
      <c r="T1278" t="s">
        <v>109</v>
      </c>
      <c r="U1278" t="s">
        <v>1211</v>
      </c>
    </row>
    <row r="1279" spans="1:21" x14ac:dyDescent="0.25">
      <c r="A1279" t="s">
        <v>3195</v>
      </c>
      <c r="B1279" s="8">
        <v>45969</v>
      </c>
      <c r="C1279" t="s">
        <v>2392</v>
      </c>
      <c r="D1279" t="s">
        <v>667</v>
      </c>
      <c r="E1279" t="s">
        <v>218</v>
      </c>
      <c r="F1279">
        <v>25</v>
      </c>
      <c r="G1279" t="s">
        <v>10</v>
      </c>
      <c r="H1279" t="s">
        <v>8</v>
      </c>
      <c r="I1279" t="s">
        <v>32</v>
      </c>
      <c r="J1279" t="s">
        <v>29</v>
      </c>
      <c r="K1279" t="s">
        <v>22</v>
      </c>
      <c r="L1279">
        <v>5</v>
      </c>
      <c r="M1279" s="12">
        <v>9500</v>
      </c>
      <c r="N1279" s="12">
        <v>6650</v>
      </c>
      <c r="O1279">
        <v>13</v>
      </c>
      <c r="P1279" s="12">
        <v>41325</v>
      </c>
      <c r="Q1279" s="12">
        <v>33250</v>
      </c>
      <c r="R1279" s="12">
        <v>8075</v>
      </c>
      <c r="S1279" t="s">
        <v>113</v>
      </c>
      <c r="T1279" t="s">
        <v>107</v>
      </c>
      <c r="U1279" t="s">
        <v>1209</v>
      </c>
    </row>
    <row r="1280" spans="1:21" x14ac:dyDescent="0.25">
      <c r="A1280" t="s">
        <v>3196</v>
      </c>
      <c r="B1280" s="8">
        <v>45810</v>
      </c>
      <c r="C1280" t="s">
        <v>3093</v>
      </c>
      <c r="D1280" t="s">
        <v>722</v>
      </c>
      <c r="E1280" t="s">
        <v>218</v>
      </c>
      <c r="F1280">
        <v>44</v>
      </c>
      <c r="G1280" t="s">
        <v>4</v>
      </c>
      <c r="H1280" t="s">
        <v>3</v>
      </c>
      <c r="I1280" t="s">
        <v>32</v>
      </c>
      <c r="J1280" t="s">
        <v>29</v>
      </c>
      <c r="K1280" t="s">
        <v>22</v>
      </c>
      <c r="L1280">
        <v>2</v>
      </c>
      <c r="M1280" s="12">
        <v>9500</v>
      </c>
      <c r="N1280" s="12">
        <v>6650</v>
      </c>
      <c r="O1280">
        <v>6</v>
      </c>
      <c r="P1280" s="12">
        <v>17860</v>
      </c>
      <c r="Q1280" s="12">
        <v>13300</v>
      </c>
      <c r="R1280" s="12">
        <v>4560</v>
      </c>
      <c r="S1280" t="s">
        <v>113</v>
      </c>
      <c r="T1280" t="s">
        <v>108</v>
      </c>
      <c r="U1280" t="s">
        <v>1209</v>
      </c>
    </row>
    <row r="1281" spans="1:21" x14ac:dyDescent="0.25">
      <c r="A1281" t="s">
        <v>3198</v>
      </c>
      <c r="B1281" s="8">
        <v>45701</v>
      </c>
      <c r="C1281" t="s">
        <v>2957</v>
      </c>
      <c r="D1281" t="s">
        <v>740</v>
      </c>
      <c r="E1281" t="s">
        <v>218</v>
      </c>
      <c r="F1281">
        <v>20</v>
      </c>
      <c r="G1281" t="s">
        <v>4</v>
      </c>
      <c r="H1281" t="s">
        <v>3</v>
      </c>
      <c r="I1281" t="s">
        <v>24</v>
      </c>
      <c r="J1281" t="s">
        <v>25</v>
      </c>
      <c r="K1281" t="s">
        <v>22</v>
      </c>
      <c r="L1281">
        <v>3</v>
      </c>
      <c r="M1281" s="12">
        <v>35800</v>
      </c>
      <c r="N1281" s="12">
        <v>28640</v>
      </c>
      <c r="O1281">
        <v>7</v>
      </c>
      <c r="P1281" s="12">
        <v>99882</v>
      </c>
      <c r="Q1281" s="12">
        <v>85920</v>
      </c>
      <c r="R1281" s="12">
        <v>13962</v>
      </c>
      <c r="S1281" t="s">
        <v>113</v>
      </c>
      <c r="T1281" t="s">
        <v>109</v>
      </c>
      <c r="U1281" t="s">
        <v>1207</v>
      </c>
    </row>
    <row r="1282" spans="1:21" x14ac:dyDescent="0.25">
      <c r="A1282" t="s">
        <v>3199</v>
      </c>
      <c r="B1282" s="8">
        <v>45885</v>
      </c>
      <c r="C1282" t="s">
        <v>3014</v>
      </c>
      <c r="D1282" t="s">
        <v>902</v>
      </c>
      <c r="E1282" t="s">
        <v>198</v>
      </c>
      <c r="F1282">
        <v>63</v>
      </c>
      <c r="G1282" t="s">
        <v>5</v>
      </c>
      <c r="H1282" t="s">
        <v>3</v>
      </c>
      <c r="I1282" t="s">
        <v>53</v>
      </c>
      <c r="J1282" t="s">
        <v>48</v>
      </c>
      <c r="K1282" t="s">
        <v>43</v>
      </c>
      <c r="L1282">
        <v>5</v>
      </c>
      <c r="M1282" s="12">
        <v>6499</v>
      </c>
      <c r="N1282" s="12">
        <v>4549.2999999999993</v>
      </c>
      <c r="O1282">
        <v>5</v>
      </c>
      <c r="P1282" s="12">
        <v>30870.25</v>
      </c>
      <c r="Q1282" s="12">
        <v>22746.499999999996</v>
      </c>
      <c r="R1282" s="12">
        <v>8123.7500000000036</v>
      </c>
      <c r="S1282" t="s">
        <v>113</v>
      </c>
      <c r="T1282" t="s">
        <v>111</v>
      </c>
      <c r="U1282" t="s">
        <v>1211</v>
      </c>
    </row>
    <row r="1283" spans="1:21" x14ac:dyDescent="0.25">
      <c r="A1283" t="s">
        <v>3200</v>
      </c>
      <c r="B1283" s="8">
        <v>45808</v>
      </c>
      <c r="C1283" t="s">
        <v>2807</v>
      </c>
      <c r="D1283" t="s">
        <v>475</v>
      </c>
      <c r="E1283" t="s">
        <v>218</v>
      </c>
      <c r="F1283">
        <v>55</v>
      </c>
      <c r="G1283" t="s">
        <v>4</v>
      </c>
      <c r="H1283" t="s">
        <v>3</v>
      </c>
      <c r="I1283" t="s">
        <v>63</v>
      </c>
      <c r="J1283" t="s">
        <v>77</v>
      </c>
      <c r="K1283" t="s">
        <v>64</v>
      </c>
      <c r="L1283">
        <v>5</v>
      </c>
      <c r="M1283" s="12">
        <v>650</v>
      </c>
      <c r="N1283" s="12">
        <v>468</v>
      </c>
      <c r="O1283">
        <v>10</v>
      </c>
      <c r="P1283" s="12">
        <v>2925</v>
      </c>
      <c r="Q1283" s="12">
        <v>2340</v>
      </c>
      <c r="R1283" s="12">
        <v>585</v>
      </c>
      <c r="S1283" t="s">
        <v>113</v>
      </c>
      <c r="T1283" t="s">
        <v>108</v>
      </c>
      <c r="U1283" t="s">
        <v>1196</v>
      </c>
    </row>
    <row r="1284" spans="1:21" x14ac:dyDescent="0.25">
      <c r="A1284" t="s">
        <v>3202</v>
      </c>
      <c r="B1284" s="8">
        <v>45988</v>
      </c>
      <c r="C1284" t="s">
        <v>1530</v>
      </c>
      <c r="D1284" t="s">
        <v>456</v>
      </c>
      <c r="E1284" t="s">
        <v>218</v>
      </c>
      <c r="F1284">
        <v>31</v>
      </c>
      <c r="G1284" t="s">
        <v>10</v>
      </c>
      <c r="H1284" t="s">
        <v>8</v>
      </c>
      <c r="I1284" t="s">
        <v>24</v>
      </c>
      <c r="J1284" t="s">
        <v>25</v>
      </c>
      <c r="K1284" t="s">
        <v>22</v>
      </c>
      <c r="L1284">
        <v>3</v>
      </c>
      <c r="M1284" s="12">
        <v>35800</v>
      </c>
      <c r="N1284" s="12">
        <v>28640</v>
      </c>
      <c r="O1284">
        <v>10</v>
      </c>
      <c r="P1284" s="12">
        <v>96660</v>
      </c>
      <c r="Q1284" s="12">
        <v>85920</v>
      </c>
      <c r="R1284" s="12">
        <v>10740</v>
      </c>
      <c r="S1284" t="s">
        <v>1246</v>
      </c>
      <c r="T1284" t="s">
        <v>107</v>
      </c>
      <c r="U1284" t="s">
        <v>1199</v>
      </c>
    </row>
    <row r="1285" spans="1:21" x14ac:dyDescent="0.25">
      <c r="A1285" t="s">
        <v>3203</v>
      </c>
      <c r="B1285" s="8">
        <v>45814</v>
      </c>
      <c r="C1285" t="s">
        <v>2902</v>
      </c>
      <c r="D1285" t="s">
        <v>377</v>
      </c>
      <c r="E1285" t="s">
        <v>218</v>
      </c>
      <c r="F1285">
        <v>27</v>
      </c>
      <c r="G1285" t="s">
        <v>14</v>
      </c>
      <c r="H1285" t="s">
        <v>15</v>
      </c>
      <c r="I1285" t="s">
        <v>34</v>
      </c>
      <c r="J1285" t="s">
        <v>137</v>
      </c>
      <c r="K1285" t="s">
        <v>22</v>
      </c>
      <c r="L1285">
        <v>4</v>
      </c>
      <c r="M1285" s="12">
        <v>6900</v>
      </c>
      <c r="N1285" s="12">
        <v>5727</v>
      </c>
      <c r="O1285">
        <v>5</v>
      </c>
      <c r="P1285" s="12">
        <v>26220</v>
      </c>
      <c r="Q1285" s="12">
        <v>22908</v>
      </c>
      <c r="R1285" s="12">
        <v>3312</v>
      </c>
      <c r="S1285" t="s">
        <v>113</v>
      </c>
      <c r="T1285" t="s">
        <v>110</v>
      </c>
      <c r="U1285" t="s">
        <v>1203</v>
      </c>
    </row>
    <row r="1286" spans="1:21" x14ac:dyDescent="0.25">
      <c r="A1286" t="s">
        <v>3204</v>
      </c>
      <c r="B1286" s="8">
        <v>45967</v>
      </c>
      <c r="C1286" t="s">
        <v>2252</v>
      </c>
      <c r="D1286" t="s">
        <v>736</v>
      </c>
      <c r="E1286" t="s">
        <v>218</v>
      </c>
      <c r="F1286">
        <v>24</v>
      </c>
      <c r="G1286" t="s">
        <v>290</v>
      </c>
      <c r="H1286" t="s">
        <v>3</v>
      </c>
      <c r="I1286" t="s">
        <v>24</v>
      </c>
      <c r="J1286" t="s">
        <v>25</v>
      </c>
      <c r="K1286" t="s">
        <v>22</v>
      </c>
      <c r="L1286">
        <v>3</v>
      </c>
      <c r="M1286" s="12">
        <v>35800</v>
      </c>
      <c r="N1286" s="12">
        <v>28640</v>
      </c>
      <c r="O1286">
        <v>11</v>
      </c>
      <c r="P1286" s="12">
        <v>95586</v>
      </c>
      <c r="Q1286" s="12">
        <v>85920</v>
      </c>
      <c r="R1286" s="12">
        <v>9666</v>
      </c>
      <c r="S1286" t="s">
        <v>1246</v>
      </c>
      <c r="T1286" t="s">
        <v>109</v>
      </c>
      <c r="U1286" t="s">
        <v>1205</v>
      </c>
    </row>
    <row r="1287" spans="1:21" x14ac:dyDescent="0.25">
      <c r="A1287" t="s">
        <v>3206</v>
      </c>
      <c r="B1287" s="8">
        <v>45870</v>
      </c>
      <c r="C1287" t="s">
        <v>1285</v>
      </c>
      <c r="D1287" t="s">
        <v>694</v>
      </c>
      <c r="E1287" t="s">
        <v>218</v>
      </c>
      <c r="F1287">
        <v>28</v>
      </c>
      <c r="G1287" t="s">
        <v>7</v>
      </c>
      <c r="H1287" t="s">
        <v>8</v>
      </c>
      <c r="I1287" t="s">
        <v>36</v>
      </c>
      <c r="J1287" t="s">
        <v>136</v>
      </c>
      <c r="K1287" t="s">
        <v>22</v>
      </c>
      <c r="L1287">
        <v>4</v>
      </c>
      <c r="M1287" s="12">
        <v>3590</v>
      </c>
      <c r="N1287" s="12">
        <v>2333.5</v>
      </c>
      <c r="O1287">
        <v>4</v>
      </c>
      <c r="P1287" s="12">
        <v>13785.6</v>
      </c>
      <c r="Q1287" s="12">
        <v>9334</v>
      </c>
      <c r="R1287" s="12">
        <v>4451.6000000000004</v>
      </c>
      <c r="S1287" t="s">
        <v>1246</v>
      </c>
      <c r="T1287" t="s">
        <v>107</v>
      </c>
      <c r="U1287" t="s">
        <v>1209</v>
      </c>
    </row>
    <row r="1288" spans="1:21" x14ac:dyDescent="0.25">
      <c r="A1288" t="s">
        <v>3207</v>
      </c>
      <c r="B1288" s="8">
        <v>45660</v>
      </c>
      <c r="C1288" t="s">
        <v>1941</v>
      </c>
      <c r="D1288" t="s">
        <v>915</v>
      </c>
      <c r="E1288" t="s">
        <v>198</v>
      </c>
      <c r="F1288">
        <v>48</v>
      </c>
      <c r="G1288" t="s">
        <v>2</v>
      </c>
      <c r="H1288" t="s">
        <v>3</v>
      </c>
      <c r="I1288" t="s">
        <v>49</v>
      </c>
      <c r="J1288" t="s">
        <v>56</v>
      </c>
      <c r="K1288" t="s">
        <v>43</v>
      </c>
      <c r="L1288">
        <v>4</v>
      </c>
      <c r="M1288" s="12">
        <v>31999</v>
      </c>
      <c r="N1288" s="12">
        <v>25599.200000000001</v>
      </c>
      <c r="O1288">
        <v>2</v>
      </c>
      <c r="P1288" s="12">
        <v>125436.08</v>
      </c>
      <c r="Q1288" s="12">
        <v>102396.8</v>
      </c>
      <c r="R1288" s="12">
        <v>23039.279999999999</v>
      </c>
      <c r="S1288" t="s">
        <v>113</v>
      </c>
      <c r="T1288" t="s">
        <v>110</v>
      </c>
      <c r="U1288" t="s">
        <v>1211</v>
      </c>
    </row>
    <row r="1289" spans="1:21" x14ac:dyDescent="0.25">
      <c r="A1289" t="s">
        <v>3208</v>
      </c>
      <c r="B1289" s="8">
        <v>45979</v>
      </c>
      <c r="C1289" t="s">
        <v>2492</v>
      </c>
      <c r="D1289" t="s">
        <v>561</v>
      </c>
      <c r="E1289" t="s">
        <v>218</v>
      </c>
      <c r="F1289">
        <v>18</v>
      </c>
      <c r="G1289" t="s">
        <v>17</v>
      </c>
      <c r="H1289" t="s">
        <v>15</v>
      </c>
      <c r="I1289" t="s">
        <v>34</v>
      </c>
      <c r="J1289" t="s">
        <v>137</v>
      </c>
      <c r="K1289" t="s">
        <v>22</v>
      </c>
      <c r="L1289">
        <v>2</v>
      </c>
      <c r="M1289" s="12">
        <v>6900</v>
      </c>
      <c r="N1289" s="12">
        <v>5727</v>
      </c>
      <c r="O1289">
        <v>11</v>
      </c>
      <c r="P1289" s="12">
        <v>12282</v>
      </c>
      <c r="Q1289" s="12">
        <v>11454</v>
      </c>
      <c r="R1289" s="12">
        <v>828</v>
      </c>
      <c r="S1289" t="s">
        <v>1246</v>
      </c>
      <c r="T1289" t="s">
        <v>108</v>
      </c>
      <c r="U1289" t="s">
        <v>1203</v>
      </c>
    </row>
    <row r="1290" spans="1:21" x14ac:dyDescent="0.25">
      <c r="A1290" t="s">
        <v>3209</v>
      </c>
      <c r="B1290" s="8">
        <v>45727</v>
      </c>
      <c r="C1290" t="s">
        <v>2454</v>
      </c>
      <c r="D1290" t="s">
        <v>478</v>
      </c>
      <c r="E1290" t="s">
        <v>198</v>
      </c>
      <c r="F1290">
        <v>42</v>
      </c>
      <c r="G1290" t="s">
        <v>10</v>
      </c>
      <c r="H1290" t="s">
        <v>8</v>
      </c>
      <c r="I1290" t="s">
        <v>38</v>
      </c>
      <c r="J1290" t="s">
        <v>37</v>
      </c>
      <c r="K1290" t="s">
        <v>22</v>
      </c>
      <c r="L1290">
        <v>3</v>
      </c>
      <c r="M1290" s="12">
        <v>1650</v>
      </c>
      <c r="N1290" s="12">
        <v>990</v>
      </c>
      <c r="O1290">
        <v>5</v>
      </c>
      <c r="P1290" s="12">
        <v>4702.5</v>
      </c>
      <c r="Q1290" s="12">
        <v>2970</v>
      </c>
      <c r="R1290" s="12">
        <v>1732.5</v>
      </c>
      <c r="S1290" t="s">
        <v>113</v>
      </c>
      <c r="T1290" t="s">
        <v>107</v>
      </c>
      <c r="U1290" t="s">
        <v>1194</v>
      </c>
    </row>
    <row r="1291" spans="1:21" x14ac:dyDescent="0.25">
      <c r="A1291" t="s">
        <v>3210</v>
      </c>
      <c r="B1291" s="8">
        <v>45822</v>
      </c>
      <c r="C1291" t="s">
        <v>2126</v>
      </c>
      <c r="D1291" t="s">
        <v>423</v>
      </c>
      <c r="E1291" t="s">
        <v>218</v>
      </c>
      <c r="F1291">
        <v>65</v>
      </c>
      <c r="G1291" t="s">
        <v>2</v>
      </c>
      <c r="H1291" t="s">
        <v>3</v>
      </c>
      <c r="I1291" t="s">
        <v>26</v>
      </c>
      <c r="J1291" t="s">
        <v>27</v>
      </c>
      <c r="K1291" t="s">
        <v>22</v>
      </c>
      <c r="L1291">
        <v>1</v>
      </c>
      <c r="M1291" s="12">
        <v>27499</v>
      </c>
      <c r="N1291" s="12">
        <v>23374.149999999998</v>
      </c>
      <c r="O1291">
        <v>7</v>
      </c>
      <c r="P1291" s="12">
        <v>25574.07</v>
      </c>
      <c r="Q1291" s="12">
        <v>23374.149999999998</v>
      </c>
      <c r="R1291" s="12">
        <v>2199.9200000000019</v>
      </c>
      <c r="S1291" t="s">
        <v>113</v>
      </c>
      <c r="T1291" t="s">
        <v>109</v>
      </c>
      <c r="U1291" t="s">
        <v>1196</v>
      </c>
    </row>
    <row r="1292" spans="1:21" x14ac:dyDescent="0.25">
      <c r="A1292" t="s">
        <v>3212</v>
      </c>
      <c r="B1292" s="8">
        <v>46004</v>
      </c>
      <c r="C1292" t="s">
        <v>4091</v>
      </c>
      <c r="D1292" t="s">
        <v>759</v>
      </c>
      <c r="E1292" t="s">
        <v>198</v>
      </c>
      <c r="F1292">
        <v>45</v>
      </c>
      <c r="G1292" t="s">
        <v>289</v>
      </c>
      <c r="H1292" t="s">
        <v>3</v>
      </c>
      <c r="I1292" t="s">
        <v>51</v>
      </c>
      <c r="J1292" t="s">
        <v>54</v>
      </c>
      <c r="K1292" t="s">
        <v>43</v>
      </c>
      <c r="L1292">
        <v>1</v>
      </c>
      <c r="M1292" s="12">
        <v>27499</v>
      </c>
      <c r="N1292" s="12">
        <v>21724.210000000003</v>
      </c>
      <c r="O1292">
        <v>13</v>
      </c>
      <c r="P1292" s="12">
        <v>23924.13</v>
      </c>
      <c r="Q1292" s="12">
        <v>21724.210000000003</v>
      </c>
      <c r="R1292" s="12">
        <v>2199.9199999999983</v>
      </c>
      <c r="S1292" t="s">
        <v>113</v>
      </c>
      <c r="T1292" t="s">
        <v>109</v>
      </c>
      <c r="U1292" t="s">
        <v>1205</v>
      </c>
    </row>
    <row r="1293" spans="1:21" x14ac:dyDescent="0.25">
      <c r="A1293" t="s">
        <v>3213</v>
      </c>
      <c r="B1293" s="8">
        <v>45786</v>
      </c>
      <c r="C1293" t="s">
        <v>2551</v>
      </c>
      <c r="D1293" t="s">
        <v>541</v>
      </c>
      <c r="E1293" t="s">
        <v>198</v>
      </c>
      <c r="F1293">
        <v>22</v>
      </c>
      <c r="G1293" t="s">
        <v>14</v>
      </c>
      <c r="H1293" t="s">
        <v>15</v>
      </c>
      <c r="I1293" t="s">
        <v>57</v>
      </c>
      <c r="J1293" t="s">
        <v>67</v>
      </c>
      <c r="K1293" t="s">
        <v>64</v>
      </c>
      <c r="L1293">
        <v>5</v>
      </c>
      <c r="M1293" s="12">
        <v>150</v>
      </c>
      <c r="N1293" s="12">
        <v>97.5</v>
      </c>
      <c r="O1293">
        <v>15</v>
      </c>
      <c r="P1293" s="12">
        <v>637.5</v>
      </c>
      <c r="Q1293" s="12">
        <v>487.5</v>
      </c>
      <c r="R1293" s="12">
        <v>150</v>
      </c>
      <c r="S1293" t="s">
        <v>1246</v>
      </c>
      <c r="T1293" t="s">
        <v>108</v>
      </c>
      <c r="U1293" t="s">
        <v>1211</v>
      </c>
    </row>
    <row r="1294" spans="1:21" x14ac:dyDescent="0.25">
      <c r="A1294" t="s">
        <v>3214</v>
      </c>
      <c r="B1294" s="8">
        <v>45670</v>
      </c>
      <c r="C1294" t="s">
        <v>2375</v>
      </c>
      <c r="D1294" t="s">
        <v>923</v>
      </c>
      <c r="E1294" t="s">
        <v>198</v>
      </c>
      <c r="F1294">
        <v>39</v>
      </c>
      <c r="G1294" t="s">
        <v>9</v>
      </c>
      <c r="H1294" t="s">
        <v>8</v>
      </c>
      <c r="I1294" t="s">
        <v>21</v>
      </c>
      <c r="J1294" t="s">
        <v>23</v>
      </c>
      <c r="K1294" t="s">
        <v>22</v>
      </c>
      <c r="L1294">
        <v>1</v>
      </c>
      <c r="M1294" s="12">
        <v>54999</v>
      </c>
      <c r="N1294" s="12">
        <v>45099.18</v>
      </c>
      <c r="O1294">
        <v>8</v>
      </c>
      <c r="P1294" s="12">
        <v>50599.08</v>
      </c>
      <c r="Q1294" s="12">
        <v>45099.18</v>
      </c>
      <c r="R1294" s="12">
        <v>5499.9000000000015</v>
      </c>
      <c r="S1294" t="s">
        <v>113</v>
      </c>
      <c r="T1294" t="s">
        <v>110</v>
      </c>
      <c r="U1294" t="s">
        <v>1199</v>
      </c>
    </row>
    <row r="1295" spans="1:21" x14ac:dyDescent="0.25">
      <c r="A1295" t="s">
        <v>3215</v>
      </c>
      <c r="B1295" s="8">
        <v>45769</v>
      </c>
      <c r="C1295" t="s">
        <v>2417</v>
      </c>
      <c r="D1295" t="s">
        <v>1087</v>
      </c>
      <c r="E1295" t="s">
        <v>198</v>
      </c>
      <c r="F1295">
        <v>56</v>
      </c>
      <c r="G1295" t="s">
        <v>16</v>
      </c>
      <c r="H1295" t="s">
        <v>15</v>
      </c>
      <c r="I1295" t="s">
        <v>57</v>
      </c>
      <c r="J1295" t="s">
        <v>67</v>
      </c>
      <c r="K1295" t="s">
        <v>64</v>
      </c>
      <c r="L1295">
        <v>2</v>
      </c>
      <c r="M1295" s="12">
        <v>150</v>
      </c>
      <c r="N1295" s="12">
        <v>97.5</v>
      </c>
      <c r="O1295">
        <v>1</v>
      </c>
      <c r="P1295" s="12">
        <v>297</v>
      </c>
      <c r="Q1295" s="12">
        <v>195</v>
      </c>
      <c r="R1295" s="12">
        <v>102</v>
      </c>
      <c r="S1295" t="s">
        <v>1246</v>
      </c>
      <c r="T1295" t="s">
        <v>108</v>
      </c>
      <c r="U1295" t="s">
        <v>1203</v>
      </c>
    </row>
    <row r="1296" spans="1:21" x14ac:dyDescent="0.25">
      <c r="A1296" t="s">
        <v>3216</v>
      </c>
      <c r="B1296" s="8">
        <v>45663</v>
      </c>
      <c r="C1296" t="s">
        <v>1509</v>
      </c>
      <c r="D1296" t="s">
        <v>650</v>
      </c>
      <c r="E1296" t="s">
        <v>198</v>
      </c>
      <c r="F1296">
        <v>28</v>
      </c>
      <c r="G1296" t="s">
        <v>5</v>
      </c>
      <c r="H1296" t="s">
        <v>3</v>
      </c>
      <c r="I1296" t="s">
        <v>38</v>
      </c>
      <c r="J1296" t="s">
        <v>37</v>
      </c>
      <c r="K1296" t="s">
        <v>22</v>
      </c>
      <c r="L1296">
        <v>2</v>
      </c>
      <c r="M1296" s="12">
        <v>1650</v>
      </c>
      <c r="N1296" s="12">
        <v>990</v>
      </c>
      <c r="O1296">
        <v>10</v>
      </c>
      <c r="P1296" s="12">
        <v>2970</v>
      </c>
      <c r="Q1296" s="12">
        <v>1980</v>
      </c>
      <c r="R1296" s="12">
        <v>990</v>
      </c>
      <c r="S1296" t="s">
        <v>1246</v>
      </c>
      <c r="T1296" t="s">
        <v>107</v>
      </c>
      <c r="U1296" t="s">
        <v>1194</v>
      </c>
    </row>
    <row r="1297" spans="1:21" x14ac:dyDescent="0.25">
      <c r="A1297" t="s">
        <v>3217</v>
      </c>
      <c r="B1297" s="8">
        <v>45869</v>
      </c>
      <c r="C1297" t="s">
        <v>2333</v>
      </c>
      <c r="D1297" t="s">
        <v>937</v>
      </c>
      <c r="E1297" t="s">
        <v>218</v>
      </c>
      <c r="F1297">
        <v>31</v>
      </c>
      <c r="G1297" t="s">
        <v>14</v>
      </c>
      <c r="H1297" t="s">
        <v>15</v>
      </c>
      <c r="I1297" t="s">
        <v>26</v>
      </c>
      <c r="J1297" t="s">
        <v>27</v>
      </c>
      <c r="K1297" t="s">
        <v>22</v>
      </c>
      <c r="L1297">
        <v>2</v>
      </c>
      <c r="M1297" s="12">
        <v>27499</v>
      </c>
      <c r="N1297" s="12">
        <v>23374.149999999998</v>
      </c>
      <c r="O1297">
        <v>6</v>
      </c>
      <c r="P1297" s="12">
        <v>51698.119999999995</v>
      </c>
      <c r="Q1297" s="12">
        <v>46748.299999999996</v>
      </c>
      <c r="R1297" s="12">
        <v>4949.82</v>
      </c>
      <c r="S1297" t="s">
        <v>1249</v>
      </c>
      <c r="T1297" t="s">
        <v>111</v>
      </c>
      <c r="U1297" t="s">
        <v>1196</v>
      </c>
    </row>
    <row r="1298" spans="1:21" x14ac:dyDescent="0.25">
      <c r="A1298" t="s">
        <v>3218</v>
      </c>
      <c r="B1298" s="8">
        <v>45931</v>
      </c>
      <c r="C1298" t="s">
        <v>1404</v>
      </c>
      <c r="D1298" t="s">
        <v>420</v>
      </c>
      <c r="E1298" t="s">
        <v>198</v>
      </c>
      <c r="F1298">
        <v>64</v>
      </c>
      <c r="G1298" t="s">
        <v>9</v>
      </c>
      <c r="H1298" t="s">
        <v>8</v>
      </c>
      <c r="I1298" t="s">
        <v>38</v>
      </c>
      <c r="J1298" t="s">
        <v>37</v>
      </c>
      <c r="K1298" t="s">
        <v>22</v>
      </c>
      <c r="L1298">
        <v>2</v>
      </c>
      <c r="M1298" s="12">
        <v>1650</v>
      </c>
      <c r="N1298" s="12">
        <v>990</v>
      </c>
      <c r="O1298">
        <v>7</v>
      </c>
      <c r="P1298" s="12">
        <v>3069</v>
      </c>
      <c r="Q1298" s="12">
        <v>1980</v>
      </c>
      <c r="R1298" s="12">
        <v>1089</v>
      </c>
      <c r="S1298" t="s">
        <v>1249</v>
      </c>
      <c r="T1298" t="s">
        <v>108</v>
      </c>
      <c r="U1298" t="s">
        <v>1209</v>
      </c>
    </row>
    <row r="1299" spans="1:21" x14ac:dyDescent="0.25">
      <c r="A1299" t="s">
        <v>3219</v>
      </c>
      <c r="B1299" s="8">
        <v>45989</v>
      </c>
      <c r="C1299" t="s">
        <v>2106</v>
      </c>
      <c r="D1299" t="s">
        <v>473</v>
      </c>
      <c r="E1299" t="s">
        <v>218</v>
      </c>
      <c r="F1299">
        <v>37</v>
      </c>
      <c r="G1299" t="s">
        <v>10</v>
      </c>
      <c r="H1299" t="s">
        <v>8</v>
      </c>
      <c r="I1299" t="s">
        <v>59</v>
      </c>
      <c r="J1299" t="s">
        <v>73</v>
      </c>
      <c r="K1299" t="s">
        <v>64</v>
      </c>
      <c r="L1299">
        <v>3</v>
      </c>
      <c r="M1299" s="12">
        <v>120</v>
      </c>
      <c r="N1299" s="12">
        <v>81.599999999999994</v>
      </c>
      <c r="O1299">
        <v>3</v>
      </c>
      <c r="P1299" s="12">
        <v>349.2</v>
      </c>
      <c r="Q1299" s="12">
        <v>244.79999999999998</v>
      </c>
      <c r="R1299" s="12">
        <v>104.4</v>
      </c>
      <c r="S1299" t="s">
        <v>113</v>
      </c>
      <c r="T1299" t="s">
        <v>107</v>
      </c>
      <c r="U1299" t="s">
        <v>1203</v>
      </c>
    </row>
    <row r="1300" spans="1:21" x14ac:dyDescent="0.25">
      <c r="A1300" t="s">
        <v>3221</v>
      </c>
      <c r="B1300" s="8">
        <v>45687</v>
      </c>
      <c r="C1300" t="s">
        <v>2121</v>
      </c>
      <c r="D1300" t="s">
        <v>1112</v>
      </c>
      <c r="E1300" t="s">
        <v>218</v>
      </c>
      <c r="F1300">
        <v>43</v>
      </c>
      <c r="G1300" t="s">
        <v>290</v>
      </c>
      <c r="H1300" t="s">
        <v>3</v>
      </c>
      <c r="I1300" t="s">
        <v>34</v>
      </c>
      <c r="J1300" t="s">
        <v>137</v>
      </c>
      <c r="K1300" t="s">
        <v>22</v>
      </c>
      <c r="L1300">
        <v>2</v>
      </c>
      <c r="M1300" s="12">
        <v>6900</v>
      </c>
      <c r="N1300" s="12">
        <v>5727</v>
      </c>
      <c r="O1300">
        <v>5</v>
      </c>
      <c r="P1300" s="12">
        <v>13110</v>
      </c>
      <c r="Q1300" s="12">
        <v>11454</v>
      </c>
      <c r="R1300" s="12">
        <v>1656</v>
      </c>
      <c r="S1300" t="s">
        <v>1246</v>
      </c>
      <c r="T1300" t="s">
        <v>108</v>
      </c>
      <c r="U1300" t="s">
        <v>1201</v>
      </c>
    </row>
    <row r="1301" spans="1:21" x14ac:dyDescent="0.25">
      <c r="A1301" t="s">
        <v>3222</v>
      </c>
      <c r="B1301" s="8">
        <v>45696</v>
      </c>
      <c r="C1301" t="s">
        <v>3044</v>
      </c>
      <c r="D1301" t="s">
        <v>1191</v>
      </c>
      <c r="E1301" t="s">
        <v>218</v>
      </c>
      <c r="F1301">
        <v>39</v>
      </c>
      <c r="G1301" t="s">
        <v>7</v>
      </c>
      <c r="H1301" t="s">
        <v>8</v>
      </c>
      <c r="I1301" t="s">
        <v>57</v>
      </c>
      <c r="J1301" t="s">
        <v>67</v>
      </c>
      <c r="K1301" t="s">
        <v>64</v>
      </c>
      <c r="L1301">
        <v>2</v>
      </c>
      <c r="M1301" s="12">
        <v>150</v>
      </c>
      <c r="N1301" s="12">
        <v>97.5</v>
      </c>
      <c r="O1301">
        <v>5</v>
      </c>
      <c r="P1301" s="12">
        <v>285</v>
      </c>
      <c r="Q1301" s="12">
        <v>195</v>
      </c>
      <c r="R1301" s="12">
        <v>90</v>
      </c>
      <c r="S1301" t="s">
        <v>113</v>
      </c>
      <c r="T1301" t="s">
        <v>109</v>
      </c>
      <c r="U1301" t="s">
        <v>1196</v>
      </c>
    </row>
    <row r="1302" spans="1:21" x14ac:dyDescent="0.25">
      <c r="A1302" t="s">
        <v>3223</v>
      </c>
      <c r="B1302" s="8">
        <v>45983</v>
      </c>
      <c r="C1302" t="s">
        <v>3612</v>
      </c>
      <c r="D1302" t="s">
        <v>515</v>
      </c>
      <c r="E1302" t="s">
        <v>218</v>
      </c>
      <c r="F1302">
        <v>41</v>
      </c>
      <c r="G1302" t="s">
        <v>289</v>
      </c>
      <c r="H1302" t="s">
        <v>3</v>
      </c>
      <c r="I1302" t="s">
        <v>51</v>
      </c>
      <c r="J1302" t="s">
        <v>54</v>
      </c>
      <c r="K1302" t="s">
        <v>43</v>
      </c>
      <c r="L1302">
        <v>5</v>
      </c>
      <c r="M1302" s="12">
        <v>27499</v>
      </c>
      <c r="N1302" s="12">
        <v>21724.210000000003</v>
      </c>
      <c r="O1302">
        <v>16</v>
      </c>
      <c r="P1302" s="12">
        <v>115495.8</v>
      </c>
      <c r="Q1302" s="12">
        <v>108621.05000000002</v>
      </c>
      <c r="R1302" s="12">
        <v>6874.7499999999854</v>
      </c>
      <c r="S1302" t="s">
        <v>113</v>
      </c>
      <c r="T1302" t="s">
        <v>107</v>
      </c>
      <c r="U1302" t="s">
        <v>1211</v>
      </c>
    </row>
    <row r="1303" spans="1:21" x14ac:dyDescent="0.25">
      <c r="A1303" t="s">
        <v>3225</v>
      </c>
      <c r="B1303" s="8">
        <v>45984</v>
      </c>
      <c r="C1303" t="s">
        <v>2263</v>
      </c>
      <c r="D1303" t="s">
        <v>796</v>
      </c>
      <c r="E1303" t="s">
        <v>218</v>
      </c>
      <c r="F1303">
        <v>60</v>
      </c>
      <c r="G1303" t="s">
        <v>290</v>
      </c>
      <c r="H1303" t="s">
        <v>3</v>
      </c>
      <c r="I1303" t="s">
        <v>38</v>
      </c>
      <c r="J1303" t="s">
        <v>37</v>
      </c>
      <c r="K1303" t="s">
        <v>22</v>
      </c>
      <c r="L1303">
        <v>3</v>
      </c>
      <c r="M1303" s="12">
        <v>1650</v>
      </c>
      <c r="N1303" s="12">
        <v>990</v>
      </c>
      <c r="O1303">
        <v>17</v>
      </c>
      <c r="P1303" s="12">
        <v>4108.5</v>
      </c>
      <c r="Q1303" s="12">
        <v>2970</v>
      </c>
      <c r="R1303" s="12">
        <v>1138.5</v>
      </c>
      <c r="S1303" t="s">
        <v>1246</v>
      </c>
      <c r="T1303" t="s">
        <v>109</v>
      </c>
      <c r="U1303" t="s">
        <v>1209</v>
      </c>
    </row>
    <row r="1304" spans="1:21" x14ac:dyDescent="0.25">
      <c r="A1304" t="s">
        <v>3227</v>
      </c>
      <c r="B1304" s="8">
        <v>46014</v>
      </c>
      <c r="C1304" t="s">
        <v>3971</v>
      </c>
      <c r="D1304" t="s">
        <v>903</v>
      </c>
      <c r="E1304" t="s">
        <v>218</v>
      </c>
      <c r="F1304">
        <v>56</v>
      </c>
      <c r="G1304" t="s">
        <v>4</v>
      </c>
      <c r="H1304" t="s">
        <v>3</v>
      </c>
      <c r="I1304" t="s">
        <v>51</v>
      </c>
      <c r="J1304" t="s">
        <v>54</v>
      </c>
      <c r="K1304" t="s">
        <v>43</v>
      </c>
      <c r="L1304">
        <v>2</v>
      </c>
      <c r="M1304" s="12">
        <v>27499</v>
      </c>
      <c r="N1304" s="12">
        <v>21724.210000000003</v>
      </c>
      <c r="O1304">
        <v>12</v>
      </c>
      <c r="P1304" s="12">
        <v>48398.239999999998</v>
      </c>
      <c r="Q1304" s="12">
        <v>43448.420000000006</v>
      </c>
      <c r="R1304" s="12">
        <v>4949.8199999999924</v>
      </c>
      <c r="S1304" t="s">
        <v>113</v>
      </c>
      <c r="T1304" t="s">
        <v>107</v>
      </c>
      <c r="U1304" t="s">
        <v>1194</v>
      </c>
    </row>
    <row r="1305" spans="1:21" x14ac:dyDescent="0.25">
      <c r="A1305" t="s">
        <v>3229</v>
      </c>
      <c r="B1305" s="8">
        <v>45823</v>
      </c>
      <c r="C1305" t="s">
        <v>3185</v>
      </c>
      <c r="D1305" t="s">
        <v>848</v>
      </c>
      <c r="E1305" t="s">
        <v>218</v>
      </c>
      <c r="F1305">
        <v>47</v>
      </c>
      <c r="G1305" t="s">
        <v>10</v>
      </c>
      <c r="H1305" t="s">
        <v>8</v>
      </c>
      <c r="I1305" t="s">
        <v>63</v>
      </c>
      <c r="J1305" t="s">
        <v>77</v>
      </c>
      <c r="K1305" t="s">
        <v>64</v>
      </c>
      <c r="L1305">
        <v>2</v>
      </c>
      <c r="M1305" s="12">
        <v>650</v>
      </c>
      <c r="N1305" s="12">
        <v>468</v>
      </c>
      <c r="O1305">
        <v>10</v>
      </c>
      <c r="P1305" s="12">
        <v>1170</v>
      </c>
      <c r="Q1305" s="12">
        <v>936</v>
      </c>
      <c r="R1305" s="12">
        <v>234</v>
      </c>
      <c r="S1305" t="s">
        <v>1246</v>
      </c>
      <c r="T1305" t="s">
        <v>107</v>
      </c>
      <c r="U1305" t="s">
        <v>1199</v>
      </c>
    </row>
    <row r="1306" spans="1:21" x14ac:dyDescent="0.25">
      <c r="A1306" t="s">
        <v>3230</v>
      </c>
      <c r="B1306" s="8">
        <v>46009</v>
      </c>
      <c r="C1306" t="s">
        <v>1594</v>
      </c>
      <c r="D1306" t="s">
        <v>938</v>
      </c>
      <c r="E1306" t="s">
        <v>218</v>
      </c>
      <c r="F1306">
        <v>34</v>
      </c>
      <c r="G1306" t="s">
        <v>11</v>
      </c>
      <c r="H1306" t="s">
        <v>12</v>
      </c>
      <c r="I1306" t="s">
        <v>34</v>
      </c>
      <c r="J1306" t="s">
        <v>137</v>
      </c>
      <c r="K1306" t="s">
        <v>22</v>
      </c>
      <c r="L1306">
        <v>2</v>
      </c>
      <c r="M1306" s="12">
        <v>6900</v>
      </c>
      <c r="N1306" s="12">
        <v>5727</v>
      </c>
      <c r="O1306">
        <v>18</v>
      </c>
      <c r="P1306" s="12">
        <v>11316</v>
      </c>
      <c r="Q1306" s="12">
        <v>11454</v>
      </c>
      <c r="R1306" s="12">
        <v>-138</v>
      </c>
      <c r="S1306" t="s">
        <v>113</v>
      </c>
      <c r="T1306" t="s">
        <v>107</v>
      </c>
      <c r="U1306" t="s">
        <v>1207</v>
      </c>
    </row>
    <row r="1307" spans="1:21" x14ac:dyDescent="0.25">
      <c r="A1307" t="s">
        <v>3231</v>
      </c>
      <c r="B1307" s="8">
        <v>45658</v>
      </c>
      <c r="C1307" t="s">
        <v>2951</v>
      </c>
      <c r="D1307" t="s">
        <v>594</v>
      </c>
      <c r="E1307" t="s">
        <v>218</v>
      </c>
      <c r="F1307">
        <v>60</v>
      </c>
      <c r="G1307" t="s">
        <v>7</v>
      </c>
      <c r="H1307" t="s">
        <v>8</v>
      </c>
      <c r="I1307" t="s">
        <v>61</v>
      </c>
      <c r="J1307" t="s">
        <v>146</v>
      </c>
      <c r="K1307" t="s">
        <v>64</v>
      </c>
      <c r="L1307">
        <v>3</v>
      </c>
      <c r="M1307" s="12">
        <v>250</v>
      </c>
      <c r="N1307" s="12">
        <v>155</v>
      </c>
      <c r="O1307">
        <v>13</v>
      </c>
      <c r="P1307" s="12">
        <v>652.5</v>
      </c>
      <c r="Q1307" s="12">
        <v>465</v>
      </c>
      <c r="R1307" s="12">
        <v>187.5</v>
      </c>
      <c r="S1307" t="s">
        <v>1246</v>
      </c>
      <c r="T1307" t="s">
        <v>109</v>
      </c>
      <c r="U1307" t="s">
        <v>1207</v>
      </c>
    </row>
    <row r="1308" spans="1:21" x14ac:dyDescent="0.25">
      <c r="A1308" t="s">
        <v>3232</v>
      </c>
      <c r="B1308" s="8">
        <v>45934</v>
      </c>
      <c r="C1308" t="s">
        <v>1293</v>
      </c>
      <c r="D1308" t="s">
        <v>1113</v>
      </c>
      <c r="E1308" t="s">
        <v>198</v>
      </c>
      <c r="F1308">
        <v>50</v>
      </c>
      <c r="G1308" t="s">
        <v>14</v>
      </c>
      <c r="H1308" t="s">
        <v>15</v>
      </c>
      <c r="I1308" t="s">
        <v>63</v>
      </c>
      <c r="J1308" t="s">
        <v>77</v>
      </c>
      <c r="K1308" t="s">
        <v>64</v>
      </c>
      <c r="L1308">
        <v>1</v>
      </c>
      <c r="M1308" s="12">
        <v>650</v>
      </c>
      <c r="N1308" s="12">
        <v>468</v>
      </c>
      <c r="O1308">
        <v>4</v>
      </c>
      <c r="P1308" s="12">
        <v>624</v>
      </c>
      <c r="Q1308" s="12">
        <v>468</v>
      </c>
      <c r="R1308" s="12">
        <v>156</v>
      </c>
      <c r="S1308" t="s">
        <v>1246</v>
      </c>
      <c r="T1308" t="s">
        <v>109</v>
      </c>
      <c r="U1308" t="s">
        <v>1205</v>
      </c>
    </row>
    <row r="1309" spans="1:21" x14ac:dyDescent="0.25">
      <c r="A1309" t="s">
        <v>3233</v>
      </c>
      <c r="B1309" s="8">
        <v>45734</v>
      </c>
      <c r="C1309" t="s">
        <v>5095</v>
      </c>
      <c r="D1309" t="s">
        <v>416</v>
      </c>
      <c r="E1309" t="s">
        <v>198</v>
      </c>
      <c r="F1309">
        <v>51</v>
      </c>
      <c r="G1309" t="s">
        <v>289</v>
      </c>
      <c r="H1309" t="s">
        <v>3</v>
      </c>
      <c r="I1309" t="s">
        <v>45</v>
      </c>
      <c r="J1309" t="s">
        <v>46</v>
      </c>
      <c r="K1309" t="s">
        <v>43</v>
      </c>
      <c r="L1309">
        <v>2</v>
      </c>
      <c r="M1309" s="12">
        <v>11999</v>
      </c>
      <c r="N1309" s="12">
        <v>8999.25</v>
      </c>
      <c r="O1309">
        <v>9</v>
      </c>
      <c r="P1309" s="12">
        <v>21838.18</v>
      </c>
      <c r="Q1309" s="12">
        <v>17998.5</v>
      </c>
      <c r="R1309" s="12">
        <v>3839.6800000000003</v>
      </c>
      <c r="S1309" t="s">
        <v>1249</v>
      </c>
      <c r="T1309" t="s">
        <v>107</v>
      </c>
      <c r="U1309" t="s">
        <v>1199</v>
      </c>
    </row>
    <row r="1310" spans="1:21" x14ac:dyDescent="0.25">
      <c r="A1310" t="s">
        <v>3234</v>
      </c>
      <c r="B1310" s="8">
        <v>45781</v>
      </c>
      <c r="C1310" t="s">
        <v>1932</v>
      </c>
      <c r="D1310" t="s">
        <v>794</v>
      </c>
      <c r="E1310" t="s">
        <v>218</v>
      </c>
      <c r="F1310">
        <v>64</v>
      </c>
      <c r="G1310" t="s">
        <v>14</v>
      </c>
      <c r="H1310" t="s">
        <v>15</v>
      </c>
      <c r="I1310" t="s">
        <v>24</v>
      </c>
      <c r="J1310" t="s">
        <v>25</v>
      </c>
      <c r="K1310" t="s">
        <v>22</v>
      </c>
      <c r="L1310">
        <v>4</v>
      </c>
      <c r="M1310" s="12">
        <v>35800</v>
      </c>
      <c r="N1310" s="12">
        <v>28640</v>
      </c>
      <c r="O1310">
        <v>9</v>
      </c>
      <c r="P1310" s="12">
        <v>130312</v>
      </c>
      <c r="Q1310" s="12">
        <v>114560</v>
      </c>
      <c r="R1310" s="12">
        <v>15752</v>
      </c>
      <c r="S1310" t="s">
        <v>113</v>
      </c>
      <c r="T1310" t="s">
        <v>108</v>
      </c>
      <c r="U1310" t="s">
        <v>1199</v>
      </c>
    </row>
    <row r="1311" spans="1:21" x14ac:dyDescent="0.25">
      <c r="A1311" t="s">
        <v>3235</v>
      </c>
      <c r="B1311" s="8">
        <v>45869</v>
      </c>
      <c r="C1311" t="s">
        <v>1502</v>
      </c>
      <c r="D1311" t="s">
        <v>492</v>
      </c>
      <c r="E1311" t="s">
        <v>198</v>
      </c>
      <c r="F1311">
        <v>31</v>
      </c>
      <c r="G1311" t="s">
        <v>289</v>
      </c>
      <c r="H1311" t="s">
        <v>3</v>
      </c>
      <c r="I1311" t="s">
        <v>59</v>
      </c>
      <c r="J1311" t="s">
        <v>73</v>
      </c>
      <c r="K1311" t="s">
        <v>64</v>
      </c>
      <c r="L1311">
        <v>1</v>
      </c>
      <c r="M1311" s="12">
        <v>120</v>
      </c>
      <c r="N1311" s="12">
        <v>81.599999999999994</v>
      </c>
      <c r="O1311">
        <v>5</v>
      </c>
      <c r="P1311" s="12">
        <v>114</v>
      </c>
      <c r="Q1311" s="12">
        <v>81.599999999999994</v>
      </c>
      <c r="R1311" s="12">
        <v>32.400000000000006</v>
      </c>
      <c r="S1311" t="s">
        <v>1246</v>
      </c>
      <c r="T1311" t="s">
        <v>110</v>
      </c>
      <c r="U1311" t="s">
        <v>1196</v>
      </c>
    </row>
    <row r="1312" spans="1:21" x14ac:dyDescent="0.25">
      <c r="A1312" t="s">
        <v>3236</v>
      </c>
      <c r="B1312" s="8">
        <v>45997</v>
      </c>
      <c r="C1312" t="s">
        <v>1460</v>
      </c>
      <c r="D1312" t="s">
        <v>1039</v>
      </c>
      <c r="E1312" t="s">
        <v>218</v>
      </c>
      <c r="F1312">
        <v>48</v>
      </c>
      <c r="G1312" t="s">
        <v>5</v>
      </c>
      <c r="H1312" t="s">
        <v>3</v>
      </c>
      <c r="I1312" t="s">
        <v>40</v>
      </c>
      <c r="J1312" t="s">
        <v>39</v>
      </c>
      <c r="K1312" t="s">
        <v>22</v>
      </c>
      <c r="L1312">
        <v>4</v>
      </c>
      <c r="M1312" s="12">
        <v>1100</v>
      </c>
      <c r="N1312" s="12">
        <v>715</v>
      </c>
      <c r="O1312">
        <v>10</v>
      </c>
      <c r="P1312" s="12">
        <v>3960</v>
      </c>
      <c r="Q1312" s="12">
        <v>2860</v>
      </c>
      <c r="R1312" s="12">
        <v>1100</v>
      </c>
      <c r="S1312" t="s">
        <v>1246</v>
      </c>
      <c r="T1312" t="s">
        <v>107</v>
      </c>
      <c r="U1312" t="s">
        <v>1196</v>
      </c>
    </row>
    <row r="1313" spans="1:21" x14ac:dyDescent="0.25">
      <c r="A1313" t="s">
        <v>3237</v>
      </c>
      <c r="B1313" s="8">
        <v>45695</v>
      </c>
      <c r="C1313" t="s">
        <v>1594</v>
      </c>
      <c r="D1313" t="s">
        <v>938</v>
      </c>
      <c r="E1313" t="s">
        <v>218</v>
      </c>
      <c r="F1313">
        <v>34</v>
      </c>
      <c r="G1313" t="s">
        <v>11</v>
      </c>
      <c r="H1313" t="s">
        <v>12</v>
      </c>
      <c r="I1313" t="s">
        <v>63</v>
      </c>
      <c r="J1313" t="s">
        <v>77</v>
      </c>
      <c r="K1313" t="s">
        <v>64</v>
      </c>
      <c r="L1313">
        <v>5</v>
      </c>
      <c r="M1313" s="12">
        <v>650</v>
      </c>
      <c r="N1313" s="12">
        <v>468</v>
      </c>
      <c r="O1313">
        <v>0</v>
      </c>
      <c r="P1313" s="12">
        <v>3250</v>
      </c>
      <c r="Q1313" s="12">
        <v>2340</v>
      </c>
      <c r="R1313" s="12">
        <v>910</v>
      </c>
      <c r="S1313" t="s">
        <v>1246</v>
      </c>
      <c r="T1313" t="s">
        <v>107</v>
      </c>
      <c r="U1313" t="s">
        <v>1205</v>
      </c>
    </row>
    <row r="1314" spans="1:21" x14ac:dyDescent="0.25">
      <c r="A1314" t="s">
        <v>3238</v>
      </c>
      <c r="B1314" s="8">
        <v>45870</v>
      </c>
      <c r="C1314" t="s">
        <v>1870</v>
      </c>
      <c r="D1314" t="s">
        <v>831</v>
      </c>
      <c r="E1314" t="s">
        <v>198</v>
      </c>
      <c r="F1314">
        <v>57</v>
      </c>
      <c r="G1314" t="s">
        <v>11</v>
      </c>
      <c r="H1314" t="s">
        <v>12</v>
      </c>
      <c r="I1314" t="s">
        <v>57</v>
      </c>
      <c r="J1314" t="s">
        <v>67</v>
      </c>
      <c r="K1314" t="s">
        <v>64</v>
      </c>
      <c r="L1314">
        <v>2</v>
      </c>
      <c r="M1314" s="12">
        <v>150</v>
      </c>
      <c r="N1314" s="12">
        <v>97.5</v>
      </c>
      <c r="O1314">
        <v>0</v>
      </c>
      <c r="P1314" s="12">
        <v>300</v>
      </c>
      <c r="Q1314" s="12">
        <v>195</v>
      </c>
      <c r="R1314" s="12">
        <v>105</v>
      </c>
      <c r="S1314" t="s">
        <v>113</v>
      </c>
      <c r="T1314" t="s">
        <v>108</v>
      </c>
      <c r="U1314" t="s">
        <v>1203</v>
      </c>
    </row>
    <row r="1315" spans="1:21" x14ac:dyDescent="0.25">
      <c r="A1315" t="s">
        <v>3239</v>
      </c>
      <c r="B1315" s="8">
        <v>45660</v>
      </c>
      <c r="C1315" t="s">
        <v>1436</v>
      </c>
      <c r="D1315" t="s">
        <v>1148</v>
      </c>
      <c r="E1315" t="s">
        <v>218</v>
      </c>
      <c r="F1315">
        <v>43</v>
      </c>
      <c r="G1315" t="s">
        <v>289</v>
      </c>
      <c r="H1315" t="s">
        <v>3</v>
      </c>
      <c r="I1315" t="s">
        <v>61</v>
      </c>
      <c r="J1315" t="s">
        <v>146</v>
      </c>
      <c r="K1315" t="s">
        <v>64</v>
      </c>
      <c r="L1315">
        <v>3</v>
      </c>
      <c r="M1315" s="12">
        <v>250</v>
      </c>
      <c r="N1315" s="12">
        <v>155</v>
      </c>
      <c r="O1315">
        <v>9</v>
      </c>
      <c r="P1315" s="12">
        <v>682.5</v>
      </c>
      <c r="Q1315" s="12">
        <v>465</v>
      </c>
      <c r="R1315" s="12">
        <v>217.5</v>
      </c>
      <c r="S1315" t="s">
        <v>113</v>
      </c>
      <c r="T1315" t="s">
        <v>107</v>
      </c>
      <c r="U1315" t="s">
        <v>1198</v>
      </c>
    </row>
    <row r="1316" spans="1:21" x14ac:dyDescent="0.25">
      <c r="A1316" t="s">
        <v>3240</v>
      </c>
      <c r="B1316" s="8">
        <v>45662</v>
      </c>
      <c r="C1316" t="s">
        <v>1458</v>
      </c>
      <c r="D1316" t="s">
        <v>1038</v>
      </c>
      <c r="E1316" t="s">
        <v>198</v>
      </c>
      <c r="F1316">
        <v>61</v>
      </c>
      <c r="G1316" t="s">
        <v>17</v>
      </c>
      <c r="H1316" t="s">
        <v>15</v>
      </c>
      <c r="I1316" t="s">
        <v>49</v>
      </c>
      <c r="J1316" t="s">
        <v>56</v>
      </c>
      <c r="K1316" t="s">
        <v>43</v>
      </c>
      <c r="L1316">
        <v>3</v>
      </c>
      <c r="M1316" s="12">
        <v>31999</v>
      </c>
      <c r="N1316" s="12">
        <v>25599.200000000001</v>
      </c>
      <c r="O1316">
        <v>4</v>
      </c>
      <c r="P1316" s="12">
        <v>92157.119999999995</v>
      </c>
      <c r="Q1316" s="12">
        <v>76797.600000000006</v>
      </c>
      <c r="R1316" s="12">
        <v>15359.51999999999</v>
      </c>
      <c r="S1316" t="s">
        <v>1246</v>
      </c>
      <c r="T1316" t="s">
        <v>107</v>
      </c>
      <c r="U1316" t="s">
        <v>1199</v>
      </c>
    </row>
    <row r="1317" spans="1:21" x14ac:dyDescent="0.25">
      <c r="A1317" t="s">
        <v>3241</v>
      </c>
      <c r="B1317" s="8">
        <v>45788</v>
      </c>
      <c r="C1317" t="s">
        <v>2234</v>
      </c>
      <c r="D1317" t="s">
        <v>570</v>
      </c>
      <c r="E1317" t="s">
        <v>198</v>
      </c>
      <c r="F1317">
        <v>29</v>
      </c>
      <c r="G1317" t="s">
        <v>4</v>
      </c>
      <c r="H1317" t="s">
        <v>3</v>
      </c>
      <c r="I1317" t="s">
        <v>55</v>
      </c>
      <c r="J1317" t="s">
        <v>65</v>
      </c>
      <c r="K1317" t="s">
        <v>64</v>
      </c>
      <c r="L1317">
        <v>3</v>
      </c>
      <c r="M1317" s="12">
        <v>80</v>
      </c>
      <c r="N1317" s="12">
        <v>56</v>
      </c>
      <c r="O1317">
        <v>11</v>
      </c>
      <c r="P1317" s="12">
        <v>213.6</v>
      </c>
      <c r="Q1317" s="12">
        <v>168</v>
      </c>
      <c r="R1317" s="12">
        <v>45.599999999999994</v>
      </c>
      <c r="S1317" t="s">
        <v>113</v>
      </c>
      <c r="T1317" t="s">
        <v>107</v>
      </c>
      <c r="U1317" t="s">
        <v>1205</v>
      </c>
    </row>
    <row r="1318" spans="1:21" x14ac:dyDescent="0.25">
      <c r="A1318" t="s">
        <v>3243</v>
      </c>
      <c r="B1318" s="8">
        <v>45693</v>
      </c>
      <c r="C1318" t="s">
        <v>1727</v>
      </c>
      <c r="D1318" t="s">
        <v>485</v>
      </c>
      <c r="E1318" t="s">
        <v>198</v>
      </c>
      <c r="F1318">
        <v>41</v>
      </c>
      <c r="G1318" t="s">
        <v>9</v>
      </c>
      <c r="H1318" t="s">
        <v>8</v>
      </c>
      <c r="I1318" t="s">
        <v>24</v>
      </c>
      <c r="J1318" t="s">
        <v>25</v>
      </c>
      <c r="K1318" t="s">
        <v>22</v>
      </c>
      <c r="L1318">
        <v>4</v>
      </c>
      <c r="M1318" s="12">
        <v>35800</v>
      </c>
      <c r="N1318" s="12">
        <v>28640</v>
      </c>
      <c r="O1318">
        <v>6</v>
      </c>
      <c r="P1318" s="12">
        <v>134608</v>
      </c>
      <c r="Q1318" s="12">
        <v>114560</v>
      </c>
      <c r="R1318" s="12">
        <v>20048</v>
      </c>
      <c r="S1318" t="s">
        <v>113</v>
      </c>
      <c r="T1318" t="s">
        <v>111</v>
      </c>
      <c r="U1318" t="s">
        <v>1207</v>
      </c>
    </row>
    <row r="1319" spans="1:21" x14ac:dyDescent="0.25">
      <c r="A1319" t="s">
        <v>3244</v>
      </c>
      <c r="B1319" s="8">
        <v>45822</v>
      </c>
      <c r="C1319" t="s">
        <v>2663</v>
      </c>
      <c r="D1319" t="s">
        <v>403</v>
      </c>
      <c r="E1319" t="s">
        <v>218</v>
      </c>
      <c r="F1319">
        <v>60</v>
      </c>
      <c r="G1319" t="s">
        <v>290</v>
      </c>
      <c r="H1319" t="s">
        <v>3</v>
      </c>
      <c r="I1319" t="s">
        <v>55</v>
      </c>
      <c r="J1319" t="s">
        <v>65</v>
      </c>
      <c r="K1319" t="s">
        <v>64</v>
      </c>
      <c r="L1319">
        <v>1</v>
      </c>
      <c r="M1319" s="12">
        <v>80</v>
      </c>
      <c r="N1319" s="12">
        <v>56</v>
      </c>
      <c r="O1319">
        <v>8</v>
      </c>
      <c r="P1319" s="12">
        <v>73.600000000000009</v>
      </c>
      <c r="Q1319" s="12">
        <v>56</v>
      </c>
      <c r="R1319" s="12">
        <v>17.600000000000009</v>
      </c>
      <c r="S1319" t="s">
        <v>113</v>
      </c>
      <c r="T1319" t="s">
        <v>108</v>
      </c>
      <c r="U1319" t="s">
        <v>1194</v>
      </c>
    </row>
    <row r="1320" spans="1:21" x14ac:dyDescent="0.25">
      <c r="A1320" t="s">
        <v>3245</v>
      </c>
      <c r="B1320" s="8">
        <v>45912</v>
      </c>
      <c r="C1320" t="s">
        <v>3143</v>
      </c>
      <c r="D1320" t="s">
        <v>776</v>
      </c>
      <c r="E1320" t="s">
        <v>198</v>
      </c>
      <c r="F1320">
        <v>21</v>
      </c>
      <c r="G1320" t="s">
        <v>4</v>
      </c>
      <c r="H1320" t="s">
        <v>3</v>
      </c>
      <c r="I1320" t="s">
        <v>21</v>
      </c>
      <c r="J1320" t="s">
        <v>23</v>
      </c>
      <c r="K1320" t="s">
        <v>22</v>
      </c>
      <c r="L1320">
        <v>4</v>
      </c>
      <c r="M1320" s="12">
        <v>54999</v>
      </c>
      <c r="N1320" s="12">
        <v>45099.18</v>
      </c>
      <c r="O1320">
        <v>8</v>
      </c>
      <c r="P1320" s="12">
        <v>202396.32</v>
      </c>
      <c r="Q1320" s="12">
        <v>180396.72</v>
      </c>
      <c r="R1320" s="12">
        <v>21999.600000000006</v>
      </c>
      <c r="S1320" t="s">
        <v>113</v>
      </c>
      <c r="T1320" t="s">
        <v>109</v>
      </c>
      <c r="U1320" t="s">
        <v>1201</v>
      </c>
    </row>
    <row r="1321" spans="1:21" x14ac:dyDescent="0.25">
      <c r="A1321" t="s">
        <v>3247</v>
      </c>
      <c r="B1321" s="8">
        <v>45837</v>
      </c>
      <c r="C1321" t="s">
        <v>1333</v>
      </c>
      <c r="D1321" t="s">
        <v>1049</v>
      </c>
      <c r="E1321" t="s">
        <v>198</v>
      </c>
      <c r="F1321">
        <v>62</v>
      </c>
      <c r="G1321" t="s">
        <v>14</v>
      </c>
      <c r="H1321" t="s">
        <v>15</v>
      </c>
      <c r="I1321" t="s">
        <v>49</v>
      </c>
      <c r="J1321" t="s">
        <v>56</v>
      </c>
      <c r="K1321" t="s">
        <v>43</v>
      </c>
      <c r="L1321">
        <v>3</v>
      </c>
      <c r="M1321" s="12">
        <v>31999</v>
      </c>
      <c r="N1321" s="12">
        <v>25599.200000000001</v>
      </c>
      <c r="O1321">
        <v>3</v>
      </c>
      <c r="P1321" s="12">
        <v>93117.09</v>
      </c>
      <c r="Q1321" s="12">
        <v>76797.600000000006</v>
      </c>
      <c r="R1321" s="12">
        <v>16319.489999999991</v>
      </c>
      <c r="S1321" t="s">
        <v>1249</v>
      </c>
      <c r="T1321" t="s">
        <v>107</v>
      </c>
      <c r="U1321" t="s">
        <v>1207</v>
      </c>
    </row>
    <row r="1322" spans="1:21" x14ac:dyDescent="0.25">
      <c r="A1322" t="s">
        <v>3248</v>
      </c>
      <c r="B1322" s="8">
        <v>45944</v>
      </c>
      <c r="C1322" t="s">
        <v>2042</v>
      </c>
      <c r="D1322" t="s">
        <v>509</v>
      </c>
      <c r="E1322" t="s">
        <v>198</v>
      </c>
      <c r="F1322">
        <v>32</v>
      </c>
      <c r="G1322" t="s">
        <v>7</v>
      </c>
      <c r="H1322" t="s">
        <v>8</v>
      </c>
      <c r="I1322" t="s">
        <v>47</v>
      </c>
      <c r="J1322" t="s">
        <v>52</v>
      </c>
      <c r="K1322" t="s">
        <v>43</v>
      </c>
      <c r="L1322">
        <v>4</v>
      </c>
      <c r="M1322" s="12">
        <v>42999</v>
      </c>
      <c r="N1322" s="12">
        <v>33539.22</v>
      </c>
      <c r="O1322">
        <v>5</v>
      </c>
      <c r="P1322" s="12">
        <v>163396.19999999998</v>
      </c>
      <c r="Q1322" s="12">
        <v>134156.88</v>
      </c>
      <c r="R1322" s="12">
        <v>29239.319999999978</v>
      </c>
      <c r="S1322" t="s">
        <v>1246</v>
      </c>
      <c r="T1322" t="s">
        <v>107</v>
      </c>
      <c r="U1322" t="s">
        <v>1201</v>
      </c>
    </row>
    <row r="1323" spans="1:21" x14ac:dyDescent="0.25">
      <c r="A1323" t="s">
        <v>3249</v>
      </c>
      <c r="B1323" s="8">
        <v>45859</v>
      </c>
      <c r="C1323" t="s">
        <v>1937</v>
      </c>
      <c r="D1323" t="s">
        <v>559</v>
      </c>
      <c r="E1323" t="s">
        <v>198</v>
      </c>
      <c r="F1323">
        <v>59</v>
      </c>
      <c r="G1323" t="s">
        <v>16</v>
      </c>
      <c r="H1323" t="s">
        <v>15</v>
      </c>
      <c r="I1323" t="s">
        <v>42</v>
      </c>
      <c r="J1323" t="s">
        <v>44</v>
      </c>
      <c r="K1323" t="s">
        <v>43</v>
      </c>
      <c r="L1323">
        <v>4</v>
      </c>
      <c r="M1323" s="12">
        <v>8999</v>
      </c>
      <c r="N1323" s="12">
        <v>6479.28</v>
      </c>
      <c r="O1323">
        <v>6</v>
      </c>
      <c r="P1323" s="12">
        <v>33836.239999999998</v>
      </c>
      <c r="Q1323" s="12">
        <v>25917.119999999999</v>
      </c>
      <c r="R1323" s="12">
        <v>7919.119999999999</v>
      </c>
      <c r="S1323" t="s">
        <v>113</v>
      </c>
      <c r="T1323" t="s">
        <v>109</v>
      </c>
      <c r="U1323" t="s">
        <v>1205</v>
      </c>
    </row>
    <row r="1324" spans="1:21" x14ac:dyDescent="0.25">
      <c r="A1324" t="s">
        <v>3250</v>
      </c>
      <c r="B1324" s="8">
        <v>45850</v>
      </c>
      <c r="C1324" t="s">
        <v>2735</v>
      </c>
      <c r="D1324" t="s">
        <v>793</v>
      </c>
      <c r="E1324" t="s">
        <v>198</v>
      </c>
      <c r="F1324">
        <v>35</v>
      </c>
      <c r="G1324" t="s">
        <v>9</v>
      </c>
      <c r="H1324" t="s">
        <v>8</v>
      </c>
      <c r="I1324" t="s">
        <v>63</v>
      </c>
      <c r="J1324" t="s">
        <v>77</v>
      </c>
      <c r="K1324" t="s">
        <v>64</v>
      </c>
      <c r="L1324">
        <v>3</v>
      </c>
      <c r="M1324" s="12">
        <v>650</v>
      </c>
      <c r="N1324" s="12">
        <v>468</v>
      </c>
      <c r="O1324">
        <v>4</v>
      </c>
      <c r="P1324" s="12">
        <v>1872</v>
      </c>
      <c r="Q1324" s="12">
        <v>1404</v>
      </c>
      <c r="R1324" s="12">
        <v>468</v>
      </c>
      <c r="S1324" t="s">
        <v>113</v>
      </c>
      <c r="T1324" t="s">
        <v>108</v>
      </c>
      <c r="U1324" t="s">
        <v>1199</v>
      </c>
    </row>
    <row r="1325" spans="1:21" x14ac:dyDescent="0.25">
      <c r="A1325" t="s">
        <v>3252</v>
      </c>
      <c r="B1325" s="8">
        <v>45791</v>
      </c>
      <c r="C1325" t="s">
        <v>3369</v>
      </c>
      <c r="D1325" t="s">
        <v>450</v>
      </c>
      <c r="E1325" t="s">
        <v>218</v>
      </c>
      <c r="F1325">
        <v>28</v>
      </c>
      <c r="G1325" t="s">
        <v>7</v>
      </c>
      <c r="H1325" t="s">
        <v>8</v>
      </c>
      <c r="I1325" t="s">
        <v>42</v>
      </c>
      <c r="J1325" t="s">
        <v>44</v>
      </c>
      <c r="K1325" t="s">
        <v>43</v>
      </c>
      <c r="L1325">
        <v>5</v>
      </c>
      <c r="M1325" s="12">
        <v>8999</v>
      </c>
      <c r="N1325" s="12">
        <v>6479.28</v>
      </c>
      <c r="O1325">
        <v>3</v>
      </c>
      <c r="P1325" s="12">
        <v>43645.15</v>
      </c>
      <c r="Q1325" s="12">
        <v>32396.399999999998</v>
      </c>
      <c r="R1325" s="12">
        <v>11248.750000000004</v>
      </c>
      <c r="S1325" t="s">
        <v>1246</v>
      </c>
      <c r="T1325" t="s">
        <v>107</v>
      </c>
      <c r="U1325" t="s">
        <v>1205</v>
      </c>
    </row>
    <row r="1326" spans="1:21" x14ac:dyDescent="0.25">
      <c r="A1326" t="s">
        <v>3253</v>
      </c>
      <c r="B1326" s="8">
        <v>45663</v>
      </c>
      <c r="C1326" t="s">
        <v>2206</v>
      </c>
      <c r="D1326" t="s">
        <v>846</v>
      </c>
      <c r="E1326" t="s">
        <v>218</v>
      </c>
      <c r="F1326">
        <v>52</v>
      </c>
      <c r="G1326" t="s">
        <v>14</v>
      </c>
      <c r="H1326" t="s">
        <v>15</v>
      </c>
      <c r="I1326" t="s">
        <v>34</v>
      </c>
      <c r="J1326" t="s">
        <v>137</v>
      </c>
      <c r="K1326" t="s">
        <v>22</v>
      </c>
      <c r="L1326">
        <v>1</v>
      </c>
      <c r="M1326" s="12">
        <v>6900</v>
      </c>
      <c r="N1326" s="12">
        <v>5727</v>
      </c>
      <c r="O1326">
        <v>5</v>
      </c>
      <c r="P1326" s="12">
        <v>6555</v>
      </c>
      <c r="Q1326" s="12">
        <v>5727</v>
      </c>
      <c r="R1326" s="12">
        <v>828</v>
      </c>
      <c r="S1326" t="s">
        <v>1246</v>
      </c>
      <c r="T1326" t="s">
        <v>109</v>
      </c>
      <c r="U1326" t="s">
        <v>1207</v>
      </c>
    </row>
    <row r="1327" spans="1:21" x14ac:dyDescent="0.25">
      <c r="A1327" t="s">
        <v>3254</v>
      </c>
      <c r="B1327" s="8">
        <v>45757</v>
      </c>
      <c r="C1327" t="s">
        <v>2392</v>
      </c>
      <c r="D1327" t="s">
        <v>667</v>
      </c>
      <c r="E1327" t="s">
        <v>218</v>
      </c>
      <c r="F1327">
        <v>25</v>
      </c>
      <c r="G1327" t="s">
        <v>10</v>
      </c>
      <c r="H1327" t="s">
        <v>8</v>
      </c>
      <c r="I1327" t="s">
        <v>49</v>
      </c>
      <c r="J1327" t="s">
        <v>56</v>
      </c>
      <c r="K1327" t="s">
        <v>43</v>
      </c>
      <c r="L1327">
        <v>2</v>
      </c>
      <c r="M1327" s="12">
        <v>31999</v>
      </c>
      <c r="N1327" s="12">
        <v>25599.200000000001</v>
      </c>
      <c r="O1327">
        <v>7</v>
      </c>
      <c r="P1327" s="12">
        <v>59518.14</v>
      </c>
      <c r="Q1327" s="12">
        <v>51198.400000000001</v>
      </c>
      <c r="R1327" s="12">
        <v>8319.739999999998</v>
      </c>
      <c r="S1327" t="s">
        <v>113</v>
      </c>
      <c r="T1327" t="s">
        <v>108</v>
      </c>
      <c r="U1327" t="s">
        <v>1203</v>
      </c>
    </row>
    <row r="1328" spans="1:21" x14ac:dyDescent="0.25">
      <c r="A1328" t="s">
        <v>3255</v>
      </c>
      <c r="B1328" s="8">
        <v>45930</v>
      </c>
      <c r="C1328" t="s">
        <v>1460</v>
      </c>
      <c r="D1328" t="s">
        <v>1039</v>
      </c>
      <c r="E1328" t="s">
        <v>218</v>
      </c>
      <c r="F1328">
        <v>48</v>
      </c>
      <c r="G1328" t="s">
        <v>5</v>
      </c>
      <c r="H1328" t="s">
        <v>3</v>
      </c>
      <c r="I1328" t="s">
        <v>51</v>
      </c>
      <c r="J1328" t="s">
        <v>54</v>
      </c>
      <c r="K1328" t="s">
        <v>43</v>
      </c>
      <c r="L1328">
        <v>5</v>
      </c>
      <c r="M1328" s="12">
        <v>27499</v>
      </c>
      <c r="N1328" s="12">
        <v>21724.210000000003</v>
      </c>
      <c r="O1328">
        <v>9</v>
      </c>
      <c r="P1328" s="12">
        <v>125120.45</v>
      </c>
      <c r="Q1328" s="12">
        <v>108621.05000000002</v>
      </c>
      <c r="R1328" s="12">
        <v>16499.39999999998</v>
      </c>
      <c r="S1328" t="s">
        <v>113</v>
      </c>
      <c r="T1328" t="s">
        <v>109</v>
      </c>
      <c r="U1328" t="s">
        <v>1203</v>
      </c>
    </row>
    <row r="1329" spans="1:21" x14ac:dyDescent="0.25">
      <c r="A1329" t="s">
        <v>3256</v>
      </c>
      <c r="B1329" s="8">
        <v>45677</v>
      </c>
      <c r="C1329" t="s">
        <v>2424</v>
      </c>
      <c r="D1329" t="s">
        <v>536</v>
      </c>
      <c r="E1329" t="s">
        <v>198</v>
      </c>
      <c r="F1329">
        <v>59</v>
      </c>
      <c r="G1329" t="s">
        <v>2</v>
      </c>
      <c r="H1329" t="s">
        <v>3</v>
      </c>
      <c r="I1329" t="s">
        <v>30</v>
      </c>
      <c r="J1329" t="s">
        <v>41</v>
      </c>
      <c r="K1329" t="s">
        <v>22</v>
      </c>
      <c r="L1329">
        <v>3</v>
      </c>
      <c r="M1329" s="12">
        <v>13749</v>
      </c>
      <c r="N1329" s="12">
        <v>10999.2</v>
      </c>
      <c r="O1329">
        <v>5</v>
      </c>
      <c r="P1329" s="12">
        <v>39184.65</v>
      </c>
      <c r="Q1329" s="12">
        <v>32997.600000000006</v>
      </c>
      <c r="R1329" s="12">
        <v>6187.0499999999956</v>
      </c>
      <c r="S1329" t="s">
        <v>113</v>
      </c>
      <c r="T1329" t="s">
        <v>109</v>
      </c>
      <c r="U1329" t="s">
        <v>1203</v>
      </c>
    </row>
    <row r="1330" spans="1:21" x14ac:dyDescent="0.25">
      <c r="A1330" t="s">
        <v>3257</v>
      </c>
      <c r="B1330" s="8">
        <v>45714</v>
      </c>
      <c r="C1330" t="s">
        <v>1245</v>
      </c>
      <c r="D1330" t="s">
        <v>493</v>
      </c>
      <c r="E1330" t="s">
        <v>218</v>
      </c>
      <c r="F1330">
        <v>54</v>
      </c>
      <c r="G1330" t="s">
        <v>290</v>
      </c>
      <c r="H1330" t="s">
        <v>3</v>
      </c>
      <c r="I1330" t="s">
        <v>61</v>
      </c>
      <c r="J1330" t="s">
        <v>146</v>
      </c>
      <c r="K1330" t="s">
        <v>64</v>
      </c>
      <c r="L1330">
        <v>5</v>
      </c>
      <c r="M1330" s="12">
        <v>250</v>
      </c>
      <c r="N1330" s="12">
        <v>155</v>
      </c>
      <c r="O1330">
        <v>2</v>
      </c>
      <c r="P1330" s="12">
        <v>1225</v>
      </c>
      <c r="Q1330" s="12">
        <v>775</v>
      </c>
      <c r="R1330" s="12">
        <v>450</v>
      </c>
      <c r="S1330" t="s">
        <v>1249</v>
      </c>
      <c r="T1330" t="s">
        <v>110</v>
      </c>
      <c r="U1330" t="s">
        <v>1198</v>
      </c>
    </row>
    <row r="1331" spans="1:21" x14ac:dyDescent="0.25">
      <c r="A1331" t="s">
        <v>3258</v>
      </c>
      <c r="B1331" s="8">
        <v>45867</v>
      </c>
      <c r="C1331" t="s">
        <v>2379</v>
      </c>
      <c r="D1331" t="s">
        <v>750</v>
      </c>
      <c r="E1331" t="s">
        <v>218</v>
      </c>
      <c r="F1331">
        <v>24</v>
      </c>
      <c r="G1331" t="s">
        <v>9</v>
      </c>
      <c r="H1331" t="s">
        <v>8</v>
      </c>
      <c r="I1331" t="s">
        <v>40</v>
      </c>
      <c r="J1331" t="s">
        <v>39</v>
      </c>
      <c r="K1331" t="s">
        <v>22</v>
      </c>
      <c r="L1331">
        <v>1</v>
      </c>
      <c r="M1331" s="12">
        <v>1100</v>
      </c>
      <c r="N1331" s="12">
        <v>715</v>
      </c>
      <c r="O1331">
        <v>4</v>
      </c>
      <c r="P1331" s="12">
        <v>1056</v>
      </c>
      <c r="Q1331" s="12">
        <v>715</v>
      </c>
      <c r="R1331" s="12">
        <v>341</v>
      </c>
      <c r="S1331" t="s">
        <v>113</v>
      </c>
      <c r="T1331" t="s">
        <v>109</v>
      </c>
      <c r="U1331" t="s">
        <v>1194</v>
      </c>
    </row>
    <row r="1332" spans="1:21" x14ac:dyDescent="0.25">
      <c r="A1332" t="s">
        <v>3259</v>
      </c>
      <c r="B1332" s="8">
        <v>45979</v>
      </c>
      <c r="C1332" t="s">
        <v>2084</v>
      </c>
      <c r="D1332" t="s">
        <v>1175</v>
      </c>
      <c r="E1332" t="s">
        <v>198</v>
      </c>
      <c r="F1332">
        <v>50</v>
      </c>
      <c r="G1332" t="s">
        <v>9</v>
      </c>
      <c r="H1332" t="s">
        <v>8</v>
      </c>
      <c r="I1332" t="s">
        <v>34</v>
      </c>
      <c r="J1332" t="s">
        <v>137</v>
      </c>
      <c r="K1332" t="s">
        <v>22</v>
      </c>
      <c r="L1332">
        <v>4</v>
      </c>
      <c r="M1332" s="12">
        <v>6900</v>
      </c>
      <c r="N1332" s="12">
        <v>5727</v>
      </c>
      <c r="O1332">
        <v>14</v>
      </c>
      <c r="P1332" s="12">
        <v>23736</v>
      </c>
      <c r="Q1332" s="12">
        <v>22908</v>
      </c>
      <c r="R1332" s="12">
        <v>828</v>
      </c>
      <c r="S1332" t="s">
        <v>1246</v>
      </c>
      <c r="T1332" t="s">
        <v>107</v>
      </c>
      <c r="U1332" t="s">
        <v>1201</v>
      </c>
    </row>
    <row r="1333" spans="1:21" x14ac:dyDescent="0.25">
      <c r="A1333" t="s">
        <v>3260</v>
      </c>
      <c r="B1333" s="8">
        <v>45950</v>
      </c>
      <c r="C1333" t="s">
        <v>2479</v>
      </c>
      <c r="D1333" t="s">
        <v>731</v>
      </c>
      <c r="E1333" t="s">
        <v>198</v>
      </c>
      <c r="F1333">
        <v>52</v>
      </c>
      <c r="G1333" t="s">
        <v>5</v>
      </c>
      <c r="H1333" t="s">
        <v>3</v>
      </c>
      <c r="I1333" t="s">
        <v>61</v>
      </c>
      <c r="J1333" t="s">
        <v>146</v>
      </c>
      <c r="K1333" t="s">
        <v>64</v>
      </c>
      <c r="L1333">
        <v>1</v>
      </c>
      <c r="M1333" s="12">
        <v>250</v>
      </c>
      <c r="N1333" s="12">
        <v>155</v>
      </c>
      <c r="O1333">
        <v>4</v>
      </c>
      <c r="P1333" s="12">
        <v>240</v>
      </c>
      <c r="Q1333" s="12">
        <v>155</v>
      </c>
      <c r="R1333" s="12">
        <v>85</v>
      </c>
      <c r="S1333" t="s">
        <v>1246</v>
      </c>
      <c r="T1333" t="s">
        <v>110</v>
      </c>
      <c r="U1333" t="s">
        <v>1209</v>
      </c>
    </row>
    <row r="1334" spans="1:21" x14ac:dyDescent="0.25">
      <c r="A1334" t="s">
        <v>3262</v>
      </c>
      <c r="B1334" s="8">
        <v>45872</v>
      </c>
      <c r="C1334" t="s">
        <v>1751</v>
      </c>
      <c r="D1334" t="s">
        <v>795</v>
      </c>
      <c r="E1334" t="s">
        <v>198</v>
      </c>
      <c r="F1334">
        <v>65</v>
      </c>
      <c r="G1334" t="s">
        <v>17</v>
      </c>
      <c r="H1334" t="s">
        <v>15</v>
      </c>
      <c r="I1334" t="s">
        <v>24</v>
      </c>
      <c r="J1334" t="s">
        <v>25</v>
      </c>
      <c r="K1334" t="s">
        <v>22</v>
      </c>
      <c r="L1334">
        <v>4</v>
      </c>
      <c r="M1334" s="12">
        <v>35800</v>
      </c>
      <c r="N1334" s="12">
        <v>28640</v>
      </c>
      <c r="O1334">
        <v>3</v>
      </c>
      <c r="P1334" s="12">
        <v>138904</v>
      </c>
      <c r="Q1334" s="12">
        <v>114560</v>
      </c>
      <c r="R1334" s="12">
        <v>24344</v>
      </c>
      <c r="S1334" t="s">
        <v>113</v>
      </c>
      <c r="T1334" t="s">
        <v>109</v>
      </c>
      <c r="U1334" t="s">
        <v>1205</v>
      </c>
    </row>
    <row r="1335" spans="1:21" x14ac:dyDescent="0.25">
      <c r="A1335" t="s">
        <v>3263</v>
      </c>
      <c r="B1335" s="8">
        <v>45818</v>
      </c>
      <c r="C1335" t="s">
        <v>2268</v>
      </c>
      <c r="D1335" t="s">
        <v>892</v>
      </c>
      <c r="E1335" t="s">
        <v>218</v>
      </c>
      <c r="F1335">
        <v>35</v>
      </c>
      <c r="G1335" t="s">
        <v>9</v>
      </c>
      <c r="H1335" t="s">
        <v>8</v>
      </c>
      <c r="I1335" t="s">
        <v>32</v>
      </c>
      <c r="J1335" t="s">
        <v>29</v>
      </c>
      <c r="K1335" t="s">
        <v>22</v>
      </c>
      <c r="L1335">
        <v>5</v>
      </c>
      <c r="M1335" s="12">
        <v>9500</v>
      </c>
      <c r="N1335" s="12">
        <v>6650</v>
      </c>
      <c r="O1335">
        <v>7</v>
      </c>
      <c r="P1335" s="12">
        <v>44175</v>
      </c>
      <c r="Q1335" s="12">
        <v>33250</v>
      </c>
      <c r="R1335" s="12">
        <v>10925</v>
      </c>
      <c r="S1335" t="s">
        <v>113</v>
      </c>
      <c r="T1335" t="s">
        <v>108</v>
      </c>
      <c r="U1335" t="s">
        <v>1199</v>
      </c>
    </row>
    <row r="1336" spans="1:21" x14ac:dyDescent="0.25">
      <c r="A1336" t="s">
        <v>3264</v>
      </c>
      <c r="B1336" s="8">
        <v>45729</v>
      </c>
      <c r="C1336" t="s">
        <v>4562</v>
      </c>
      <c r="D1336" t="s">
        <v>1122</v>
      </c>
      <c r="E1336" t="s">
        <v>198</v>
      </c>
      <c r="F1336">
        <v>30</v>
      </c>
      <c r="G1336" t="s">
        <v>4</v>
      </c>
      <c r="H1336" t="s">
        <v>3</v>
      </c>
      <c r="I1336" t="s">
        <v>42</v>
      </c>
      <c r="J1336" t="s">
        <v>44</v>
      </c>
      <c r="K1336" t="s">
        <v>43</v>
      </c>
      <c r="L1336">
        <v>3</v>
      </c>
      <c r="M1336" s="12">
        <v>8999</v>
      </c>
      <c r="N1336" s="12">
        <v>6479.28</v>
      </c>
      <c r="O1336">
        <v>9</v>
      </c>
      <c r="P1336" s="12">
        <v>24567.27</v>
      </c>
      <c r="Q1336" s="12">
        <v>19437.84</v>
      </c>
      <c r="R1336" s="12">
        <v>5129.43</v>
      </c>
      <c r="S1336" t="s">
        <v>1246</v>
      </c>
      <c r="T1336" t="s">
        <v>107</v>
      </c>
      <c r="U1336" t="s">
        <v>1198</v>
      </c>
    </row>
    <row r="1337" spans="1:21" x14ac:dyDescent="0.25">
      <c r="A1337" t="s">
        <v>3265</v>
      </c>
      <c r="B1337" s="8">
        <v>45709</v>
      </c>
      <c r="C1337" t="s">
        <v>1466</v>
      </c>
      <c r="D1337" t="s">
        <v>691</v>
      </c>
      <c r="E1337" t="s">
        <v>218</v>
      </c>
      <c r="F1337">
        <v>40</v>
      </c>
      <c r="G1337" t="s">
        <v>5</v>
      </c>
      <c r="H1337" t="s">
        <v>3</v>
      </c>
      <c r="I1337" t="s">
        <v>28</v>
      </c>
      <c r="J1337" t="s">
        <v>35</v>
      </c>
      <c r="K1337" t="s">
        <v>22</v>
      </c>
      <c r="L1337">
        <v>2</v>
      </c>
      <c r="M1337" s="12">
        <v>16499</v>
      </c>
      <c r="N1337" s="12">
        <v>14519.12</v>
      </c>
      <c r="O1337">
        <v>7</v>
      </c>
      <c r="P1337" s="12">
        <v>30688.14</v>
      </c>
      <c r="Q1337" s="12">
        <v>29038.240000000002</v>
      </c>
      <c r="R1337" s="12">
        <v>1649.8999999999978</v>
      </c>
      <c r="S1337" t="s">
        <v>1246</v>
      </c>
      <c r="T1337" t="s">
        <v>109</v>
      </c>
      <c r="U1337" t="s">
        <v>1203</v>
      </c>
    </row>
    <row r="1338" spans="1:21" x14ac:dyDescent="0.25">
      <c r="A1338" t="s">
        <v>3266</v>
      </c>
      <c r="B1338" s="8">
        <v>45705</v>
      </c>
      <c r="C1338" t="s">
        <v>3804</v>
      </c>
      <c r="D1338" t="s">
        <v>807</v>
      </c>
      <c r="E1338" t="s">
        <v>218</v>
      </c>
      <c r="F1338">
        <v>19</v>
      </c>
      <c r="G1338" t="s">
        <v>16</v>
      </c>
      <c r="H1338" t="s">
        <v>15</v>
      </c>
      <c r="I1338" t="s">
        <v>36</v>
      </c>
      <c r="J1338" t="s">
        <v>136</v>
      </c>
      <c r="K1338" t="s">
        <v>22</v>
      </c>
      <c r="L1338">
        <v>5</v>
      </c>
      <c r="M1338" s="12">
        <v>3590</v>
      </c>
      <c r="N1338" s="12">
        <v>2333.5</v>
      </c>
      <c r="O1338">
        <v>3</v>
      </c>
      <c r="P1338" s="12">
        <v>17411.5</v>
      </c>
      <c r="Q1338" s="12">
        <v>11667.5</v>
      </c>
      <c r="R1338" s="12">
        <v>5744</v>
      </c>
      <c r="S1338" t="s">
        <v>113</v>
      </c>
      <c r="T1338" t="s">
        <v>107</v>
      </c>
      <c r="U1338" t="s">
        <v>1203</v>
      </c>
    </row>
    <row r="1339" spans="1:21" x14ac:dyDescent="0.25">
      <c r="A1339" t="s">
        <v>3268</v>
      </c>
      <c r="B1339" s="8">
        <v>45747</v>
      </c>
      <c r="C1339" t="s">
        <v>2873</v>
      </c>
      <c r="D1339" t="s">
        <v>687</v>
      </c>
      <c r="E1339" t="s">
        <v>218</v>
      </c>
      <c r="F1339">
        <v>45</v>
      </c>
      <c r="G1339" t="s">
        <v>290</v>
      </c>
      <c r="H1339" t="s">
        <v>3</v>
      </c>
      <c r="I1339" t="s">
        <v>45</v>
      </c>
      <c r="J1339" t="s">
        <v>46</v>
      </c>
      <c r="K1339" t="s">
        <v>43</v>
      </c>
      <c r="L1339">
        <v>1</v>
      </c>
      <c r="M1339" s="12">
        <v>11999</v>
      </c>
      <c r="N1339" s="12">
        <v>8999.25</v>
      </c>
      <c r="O1339">
        <v>5</v>
      </c>
      <c r="P1339" s="12">
        <v>11399.05</v>
      </c>
      <c r="Q1339" s="12">
        <v>8999.25</v>
      </c>
      <c r="R1339" s="12">
        <v>2399.7999999999993</v>
      </c>
      <c r="S1339" t="s">
        <v>113</v>
      </c>
      <c r="T1339" t="s">
        <v>110</v>
      </c>
      <c r="U1339" t="s">
        <v>1201</v>
      </c>
    </row>
    <row r="1340" spans="1:21" x14ac:dyDescent="0.25">
      <c r="A1340" t="s">
        <v>3269</v>
      </c>
      <c r="B1340" s="8">
        <v>45927</v>
      </c>
      <c r="C1340" t="s">
        <v>3132</v>
      </c>
      <c r="D1340" t="s">
        <v>1051</v>
      </c>
      <c r="E1340" t="s">
        <v>218</v>
      </c>
      <c r="F1340">
        <v>50</v>
      </c>
      <c r="G1340" t="s">
        <v>11</v>
      </c>
      <c r="H1340" t="s">
        <v>12</v>
      </c>
      <c r="I1340" t="s">
        <v>36</v>
      </c>
      <c r="J1340" t="s">
        <v>136</v>
      </c>
      <c r="K1340" t="s">
        <v>22</v>
      </c>
      <c r="L1340">
        <v>5</v>
      </c>
      <c r="M1340" s="12">
        <v>3590</v>
      </c>
      <c r="N1340" s="12">
        <v>2333.5</v>
      </c>
      <c r="O1340">
        <v>3</v>
      </c>
      <c r="P1340" s="12">
        <v>17411.5</v>
      </c>
      <c r="Q1340" s="12">
        <v>11667.5</v>
      </c>
      <c r="R1340" s="12">
        <v>5744</v>
      </c>
      <c r="S1340" t="s">
        <v>1246</v>
      </c>
      <c r="T1340" t="s">
        <v>109</v>
      </c>
      <c r="U1340" t="s">
        <v>1199</v>
      </c>
    </row>
    <row r="1341" spans="1:21" x14ac:dyDescent="0.25">
      <c r="A1341" t="s">
        <v>3270</v>
      </c>
      <c r="B1341" s="8">
        <v>45851</v>
      </c>
      <c r="C1341" t="s">
        <v>2428</v>
      </c>
      <c r="D1341" t="s">
        <v>1016</v>
      </c>
      <c r="E1341" t="s">
        <v>218</v>
      </c>
      <c r="F1341">
        <v>26</v>
      </c>
      <c r="G1341" t="s">
        <v>4</v>
      </c>
      <c r="H1341" t="s">
        <v>3</v>
      </c>
      <c r="I1341" t="s">
        <v>53</v>
      </c>
      <c r="J1341" t="s">
        <v>48</v>
      </c>
      <c r="K1341" t="s">
        <v>43</v>
      </c>
      <c r="L1341">
        <v>3</v>
      </c>
      <c r="M1341" s="12">
        <v>6499</v>
      </c>
      <c r="N1341" s="12">
        <v>4549.2999999999993</v>
      </c>
      <c r="O1341">
        <v>6</v>
      </c>
      <c r="P1341" s="12">
        <v>18327.18</v>
      </c>
      <c r="Q1341" s="12">
        <v>13647.899999999998</v>
      </c>
      <c r="R1341" s="12">
        <v>4679.2800000000025</v>
      </c>
      <c r="S1341" t="s">
        <v>113</v>
      </c>
      <c r="T1341" t="s">
        <v>107</v>
      </c>
      <c r="U1341" t="s">
        <v>1207</v>
      </c>
    </row>
    <row r="1342" spans="1:21" x14ac:dyDescent="0.25">
      <c r="A1342" t="s">
        <v>3271</v>
      </c>
      <c r="B1342" s="8">
        <v>46000</v>
      </c>
      <c r="C1342" t="s">
        <v>2031</v>
      </c>
      <c r="D1342" t="s">
        <v>363</v>
      </c>
      <c r="E1342" t="s">
        <v>218</v>
      </c>
      <c r="F1342">
        <v>33</v>
      </c>
      <c r="G1342" t="s">
        <v>5</v>
      </c>
      <c r="H1342" t="s">
        <v>3</v>
      </c>
      <c r="I1342" t="s">
        <v>40</v>
      </c>
      <c r="J1342" t="s">
        <v>39</v>
      </c>
      <c r="K1342" t="s">
        <v>22</v>
      </c>
      <c r="L1342">
        <v>5</v>
      </c>
      <c r="M1342" s="12">
        <v>1100</v>
      </c>
      <c r="N1342" s="12">
        <v>715</v>
      </c>
      <c r="O1342">
        <v>17</v>
      </c>
      <c r="P1342" s="12">
        <v>4565</v>
      </c>
      <c r="Q1342" s="12">
        <v>3575</v>
      </c>
      <c r="R1342" s="12">
        <v>990</v>
      </c>
      <c r="S1342" t="s">
        <v>1246</v>
      </c>
      <c r="T1342" t="s">
        <v>108</v>
      </c>
      <c r="U1342" t="s">
        <v>1199</v>
      </c>
    </row>
    <row r="1343" spans="1:21" x14ac:dyDescent="0.25">
      <c r="A1343" t="s">
        <v>3272</v>
      </c>
      <c r="B1343" s="8">
        <v>45867</v>
      </c>
      <c r="C1343" t="s">
        <v>3251</v>
      </c>
      <c r="D1343" t="s">
        <v>379</v>
      </c>
      <c r="E1343" t="s">
        <v>198</v>
      </c>
      <c r="F1343">
        <v>53</v>
      </c>
      <c r="G1343" t="s">
        <v>2</v>
      </c>
      <c r="H1343" t="s">
        <v>3</v>
      </c>
      <c r="I1343" t="s">
        <v>40</v>
      </c>
      <c r="J1343" t="s">
        <v>39</v>
      </c>
      <c r="K1343" t="s">
        <v>22</v>
      </c>
      <c r="L1343">
        <v>1</v>
      </c>
      <c r="M1343" s="12">
        <v>1100</v>
      </c>
      <c r="N1343" s="12">
        <v>715</v>
      </c>
      <c r="O1343">
        <v>5</v>
      </c>
      <c r="P1343" s="12">
        <v>1045</v>
      </c>
      <c r="Q1343" s="12">
        <v>715</v>
      </c>
      <c r="R1343" s="12">
        <v>330</v>
      </c>
      <c r="S1343" t="s">
        <v>113</v>
      </c>
      <c r="T1343" t="s">
        <v>108</v>
      </c>
      <c r="U1343" t="s">
        <v>1207</v>
      </c>
    </row>
    <row r="1344" spans="1:21" x14ac:dyDescent="0.25">
      <c r="A1344" t="s">
        <v>3273</v>
      </c>
      <c r="B1344" s="8">
        <v>45922</v>
      </c>
      <c r="C1344" t="s">
        <v>3643</v>
      </c>
      <c r="D1344" t="s">
        <v>632</v>
      </c>
      <c r="E1344" t="s">
        <v>198</v>
      </c>
      <c r="F1344">
        <v>36</v>
      </c>
      <c r="G1344" t="s">
        <v>289</v>
      </c>
      <c r="H1344" t="s">
        <v>3</v>
      </c>
      <c r="I1344" t="s">
        <v>26</v>
      </c>
      <c r="J1344" t="s">
        <v>27</v>
      </c>
      <c r="K1344" t="s">
        <v>22</v>
      </c>
      <c r="L1344">
        <v>5</v>
      </c>
      <c r="M1344" s="12">
        <v>27499</v>
      </c>
      <c r="N1344" s="12">
        <v>23374.149999999998</v>
      </c>
      <c r="O1344">
        <v>3</v>
      </c>
      <c r="P1344" s="12">
        <v>133370.15</v>
      </c>
      <c r="Q1344" s="12">
        <v>116870.74999999999</v>
      </c>
      <c r="R1344" s="12">
        <v>16499.400000000009</v>
      </c>
      <c r="S1344" t="s">
        <v>113</v>
      </c>
      <c r="T1344" t="s">
        <v>110</v>
      </c>
      <c r="U1344" t="s">
        <v>1203</v>
      </c>
    </row>
    <row r="1345" spans="1:21" x14ac:dyDescent="0.25">
      <c r="A1345" t="s">
        <v>3275</v>
      </c>
      <c r="B1345" s="8">
        <v>45658</v>
      </c>
      <c r="C1345" t="s">
        <v>1528</v>
      </c>
      <c r="D1345" t="s">
        <v>954</v>
      </c>
      <c r="E1345" t="s">
        <v>218</v>
      </c>
      <c r="F1345">
        <v>26</v>
      </c>
      <c r="G1345" t="s">
        <v>4</v>
      </c>
      <c r="H1345" t="s">
        <v>3</v>
      </c>
      <c r="I1345" t="s">
        <v>40</v>
      </c>
      <c r="J1345" t="s">
        <v>39</v>
      </c>
      <c r="K1345" t="s">
        <v>22</v>
      </c>
      <c r="L1345">
        <v>1</v>
      </c>
      <c r="M1345" s="12">
        <v>1100</v>
      </c>
      <c r="N1345" s="12">
        <v>715</v>
      </c>
      <c r="O1345">
        <v>10</v>
      </c>
      <c r="P1345" s="12">
        <v>990</v>
      </c>
      <c r="Q1345" s="12">
        <v>715</v>
      </c>
      <c r="R1345" s="12">
        <v>275</v>
      </c>
      <c r="S1345" t="s">
        <v>113</v>
      </c>
      <c r="T1345" t="s">
        <v>107</v>
      </c>
      <c r="U1345" t="s">
        <v>1196</v>
      </c>
    </row>
    <row r="1346" spans="1:21" x14ac:dyDescent="0.25">
      <c r="A1346" t="s">
        <v>3276</v>
      </c>
      <c r="B1346" s="8">
        <v>45856</v>
      </c>
      <c r="C1346" t="s">
        <v>3001</v>
      </c>
      <c r="D1346" t="s">
        <v>1013</v>
      </c>
      <c r="E1346" t="s">
        <v>218</v>
      </c>
      <c r="F1346">
        <v>22</v>
      </c>
      <c r="G1346" t="s">
        <v>4</v>
      </c>
      <c r="H1346" t="s">
        <v>3</v>
      </c>
      <c r="I1346" t="s">
        <v>28</v>
      </c>
      <c r="J1346" t="s">
        <v>35</v>
      </c>
      <c r="K1346" t="s">
        <v>22</v>
      </c>
      <c r="L1346">
        <v>2</v>
      </c>
      <c r="M1346" s="12">
        <v>16499</v>
      </c>
      <c r="N1346" s="12">
        <v>14519.12</v>
      </c>
      <c r="O1346">
        <v>7</v>
      </c>
      <c r="P1346" s="12">
        <v>30688.14</v>
      </c>
      <c r="Q1346" s="12">
        <v>29038.240000000002</v>
      </c>
      <c r="R1346" s="12">
        <v>1649.8999999999978</v>
      </c>
      <c r="S1346" t="s">
        <v>1246</v>
      </c>
      <c r="T1346" t="s">
        <v>107</v>
      </c>
      <c r="U1346" t="s">
        <v>1203</v>
      </c>
    </row>
    <row r="1347" spans="1:21" x14ac:dyDescent="0.25">
      <c r="A1347" t="s">
        <v>3277</v>
      </c>
      <c r="B1347" s="8">
        <v>45748</v>
      </c>
      <c r="C1347" t="s">
        <v>3612</v>
      </c>
      <c r="D1347" t="s">
        <v>515</v>
      </c>
      <c r="E1347" t="s">
        <v>218</v>
      </c>
      <c r="F1347">
        <v>41</v>
      </c>
      <c r="G1347" t="s">
        <v>289</v>
      </c>
      <c r="H1347" t="s">
        <v>3</v>
      </c>
      <c r="I1347" t="s">
        <v>53</v>
      </c>
      <c r="J1347" t="s">
        <v>48</v>
      </c>
      <c r="K1347" t="s">
        <v>43</v>
      </c>
      <c r="L1347">
        <v>1</v>
      </c>
      <c r="M1347" s="12">
        <v>6499</v>
      </c>
      <c r="N1347" s="12">
        <v>4549.2999999999993</v>
      </c>
      <c r="O1347">
        <v>8</v>
      </c>
      <c r="P1347" s="12">
        <v>5979.08</v>
      </c>
      <c r="Q1347" s="12">
        <v>4549.2999999999993</v>
      </c>
      <c r="R1347" s="12">
        <v>1429.7800000000007</v>
      </c>
      <c r="S1347" t="s">
        <v>113</v>
      </c>
      <c r="T1347" t="s">
        <v>107</v>
      </c>
      <c r="U1347" t="s">
        <v>1209</v>
      </c>
    </row>
    <row r="1348" spans="1:21" x14ac:dyDescent="0.25">
      <c r="A1348" t="s">
        <v>3278</v>
      </c>
      <c r="B1348" s="8">
        <v>45949</v>
      </c>
      <c r="C1348" t="s">
        <v>1500</v>
      </c>
      <c r="D1348" t="s">
        <v>636</v>
      </c>
      <c r="E1348" t="s">
        <v>198</v>
      </c>
      <c r="F1348">
        <v>43</v>
      </c>
      <c r="G1348" t="s">
        <v>2</v>
      </c>
      <c r="H1348" t="s">
        <v>3</v>
      </c>
      <c r="I1348" t="s">
        <v>42</v>
      </c>
      <c r="J1348" t="s">
        <v>44</v>
      </c>
      <c r="K1348" t="s">
        <v>43</v>
      </c>
      <c r="L1348">
        <v>2</v>
      </c>
      <c r="M1348" s="12">
        <v>8999</v>
      </c>
      <c r="N1348" s="12">
        <v>6479.28</v>
      </c>
      <c r="O1348">
        <v>7</v>
      </c>
      <c r="P1348" s="12">
        <v>16738.14</v>
      </c>
      <c r="Q1348" s="12">
        <v>12958.56</v>
      </c>
      <c r="R1348" s="12">
        <v>3779.58</v>
      </c>
      <c r="S1348" t="s">
        <v>1246</v>
      </c>
      <c r="T1348" t="s">
        <v>110</v>
      </c>
      <c r="U1348" t="s">
        <v>1209</v>
      </c>
    </row>
    <row r="1349" spans="1:21" x14ac:dyDescent="0.25">
      <c r="A1349" t="s">
        <v>3280</v>
      </c>
      <c r="B1349" s="8">
        <v>45742</v>
      </c>
      <c r="C1349" t="s">
        <v>3061</v>
      </c>
      <c r="D1349" t="s">
        <v>709</v>
      </c>
      <c r="E1349" t="s">
        <v>218</v>
      </c>
      <c r="F1349">
        <v>28</v>
      </c>
      <c r="G1349" t="s">
        <v>17</v>
      </c>
      <c r="H1349" t="s">
        <v>15</v>
      </c>
      <c r="I1349" t="s">
        <v>42</v>
      </c>
      <c r="J1349" t="s">
        <v>44</v>
      </c>
      <c r="K1349" t="s">
        <v>43</v>
      </c>
      <c r="L1349">
        <v>3</v>
      </c>
      <c r="M1349" s="12">
        <v>8999</v>
      </c>
      <c r="N1349" s="12">
        <v>6479.28</v>
      </c>
      <c r="O1349">
        <v>10</v>
      </c>
      <c r="P1349" s="12">
        <v>24297.3</v>
      </c>
      <c r="Q1349" s="12">
        <v>19437.84</v>
      </c>
      <c r="R1349" s="12">
        <v>4859.4599999999991</v>
      </c>
      <c r="S1349" t="s">
        <v>1246</v>
      </c>
      <c r="T1349" t="s">
        <v>107</v>
      </c>
      <c r="U1349" t="s">
        <v>1201</v>
      </c>
    </row>
    <row r="1350" spans="1:21" x14ac:dyDescent="0.25">
      <c r="A1350" t="s">
        <v>3281</v>
      </c>
      <c r="B1350" s="8">
        <v>45882</v>
      </c>
      <c r="C1350" t="s">
        <v>2514</v>
      </c>
      <c r="D1350" t="s">
        <v>480</v>
      </c>
      <c r="E1350" t="s">
        <v>218</v>
      </c>
      <c r="F1350">
        <v>43</v>
      </c>
      <c r="G1350" t="s">
        <v>2</v>
      </c>
      <c r="H1350" t="s">
        <v>3</v>
      </c>
      <c r="I1350" t="s">
        <v>59</v>
      </c>
      <c r="J1350" t="s">
        <v>73</v>
      </c>
      <c r="K1350" t="s">
        <v>64</v>
      </c>
      <c r="L1350">
        <v>4</v>
      </c>
      <c r="M1350" s="12">
        <v>120</v>
      </c>
      <c r="N1350" s="12">
        <v>81.599999999999994</v>
      </c>
      <c r="O1350">
        <v>0</v>
      </c>
      <c r="P1350" s="12">
        <v>480</v>
      </c>
      <c r="Q1350" s="12">
        <v>326.39999999999998</v>
      </c>
      <c r="R1350" s="12">
        <v>153.60000000000002</v>
      </c>
      <c r="S1350" t="s">
        <v>1246</v>
      </c>
      <c r="T1350" t="s">
        <v>107</v>
      </c>
      <c r="U1350" t="s">
        <v>1196</v>
      </c>
    </row>
    <row r="1351" spans="1:21" x14ac:dyDescent="0.25">
      <c r="A1351" t="s">
        <v>3282</v>
      </c>
      <c r="B1351" s="8">
        <v>45743</v>
      </c>
      <c r="C1351" t="s">
        <v>2359</v>
      </c>
      <c r="D1351" t="s">
        <v>428</v>
      </c>
      <c r="E1351" t="s">
        <v>218</v>
      </c>
      <c r="F1351">
        <v>32</v>
      </c>
      <c r="G1351" t="s">
        <v>11</v>
      </c>
      <c r="H1351" t="s">
        <v>12</v>
      </c>
      <c r="I1351" t="s">
        <v>24</v>
      </c>
      <c r="J1351" t="s">
        <v>25</v>
      </c>
      <c r="K1351" t="s">
        <v>22</v>
      </c>
      <c r="L1351">
        <v>1</v>
      </c>
      <c r="M1351" s="12">
        <v>35800</v>
      </c>
      <c r="N1351" s="12">
        <v>28640</v>
      </c>
      <c r="O1351">
        <v>7</v>
      </c>
      <c r="P1351" s="12">
        <v>33294</v>
      </c>
      <c r="Q1351" s="12">
        <v>28640</v>
      </c>
      <c r="R1351" s="12">
        <v>4654</v>
      </c>
      <c r="S1351" t="s">
        <v>1246</v>
      </c>
      <c r="T1351" t="s">
        <v>107</v>
      </c>
      <c r="U1351" t="s">
        <v>1203</v>
      </c>
    </row>
    <row r="1352" spans="1:21" x14ac:dyDescent="0.25">
      <c r="A1352" t="s">
        <v>3283</v>
      </c>
      <c r="B1352" s="8">
        <v>45790</v>
      </c>
      <c r="C1352" t="s">
        <v>1579</v>
      </c>
      <c r="D1352" t="s">
        <v>1021</v>
      </c>
      <c r="E1352" t="s">
        <v>218</v>
      </c>
      <c r="F1352">
        <v>51</v>
      </c>
      <c r="G1352" t="s">
        <v>10</v>
      </c>
      <c r="H1352" t="s">
        <v>8</v>
      </c>
      <c r="I1352" t="s">
        <v>36</v>
      </c>
      <c r="J1352" t="s">
        <v>136</v>
      </c>
      <c r="K1352" t="s">
        <v>22</v>
      </c>
      <c r="L1352">
        <v>1</v>
      </c>
      <c r="M1352" s="12">
        <v>3590</v>
      </c>
      <c r="N1352" s="12">
        <v>2333.5</v>
      </c>
      <c r="O1352">
        <v>6</v>
      </c>
      <c r="P1352" s="12">
        <v>3374.6</v>
      </c>
      <c r="Q1352" s="12">
        <v>2333.5</v>
      </c>
      <c r="R1352" s="12">
        <v>1041.0999999999999</v>
      </c>
      <c r="S1352" t="s">
        <v>1246</v>
      </c>
      <c r="T1352" t="s">
        <v>111</v>
      </c>
      <c r="U1352" t="s">
        <v>1198</v>
      </c>
    </row>
    <row r="1353" spans="1:21" x14ac:dyDescent="0.25">
      <c r="A1353" t="s">
        <v>3284</v>
      </c>
      <c r="B1353" s="8">
        <v>45911</v>
      </c>
      <c r="C1353" t="s">
        <v>3159</v>
      </c>
      <c r="D1353" t="s">
        <v>1065</v>
      </c>
      <c r="E1353" t="s">
        <v>198</v>
      </c>
      <c r="F1353">
        <v>50</v>
      </c>
      <c r="G1353" t="s">
        <v>7</v>
      </c>
      <c r="H1353" t="s">
        <v>8</v>
      </c>
      <c r="I1353" t="s">
        <v>42</v>
      </c>
      <c r="J1353" t="s">
        <v>44</v>
      </c>
      <c r="K1353" t="s">
        <v>43</v>
      </c>
      <c r="L1353">
        <v>3</v>
      </c>
      <c r="M1353" s="12">
        <v>8999</v>
      </c>
      <c r="N1353" s="12">
        <v>6479.28</v>
      </c>
      <c r="O1353">
        <v>7</v>
      </c>
      <c r="P1353" s="12">
        <v>25107.21</v>
      </c>
      <c r="Q1353" s="12">
        <v>19437.84</v>
      </c>
      <c r="R1353" s="12">
        <v>5669.369999999999</v>
      </c>
      <c r="S1353" t="s">
        <v>1249</v>
      </c>
      <c r="T1353" t="s">
        <v>107</v>
      </c>
      <c r="U1353" t="s">
        <v>1211</v>
      </c>
    </row>
    <row r="1354" spans="1:21" x14ac:dyDescent="0.25">
      <c r="A1354" t="s">
        <v>3285</v>
      </c>
      <c r="B1354" s="8">
        <v>45713</v>
      </c>
      <c r="C1354" t="s">
        <v>1995</v>
      </c>
      <c r="D1354" t="s">
        <v>753</v>
      </c>
      <c r="E1354" t="s">
        <v>218</v>
      </c>
      <c r="F1354">
        <v>25</v>
      </c>
      <c r="G1354" t="s">
        <v>16</v>
      </c>
      <c r="H1354" t="s">
        <v>15</v>
      </c>
      <c r="I1354" t="s">
        <v>21</v>
      </c>
      <c r="J1354" t="s">
        <v>23</v>
      </c>
      <c r="K1354" t="s">
        <v>22</v>
      </c>
      <c r="L1354">
        <v>5</v>
      </c>
      <c r="M1354" s="12">
        <v>54999</v>
      </c>
      <c r="N1354" s="12">
        <v>45099.18</v>
      </c>
      <c r="O1354">
        <v>4</v>
      </c>
      <c r="P1354" s="12">
        <v>263995.2</v>
      </c>
      <c r="Q1354" s="12">
        <v>225495.9</v>
      </c>
      <c r="R1354" s="12">
        <v>38499.300000000017</v>
      </c>
      <c r="S1354" t="s">
        <v>1246</v>
      </c>
      <c r="T1354" t="s">
        <v>107</v>
      </c>
      <c r="U1354" t="s">
        <v>1199</v>
      </c>
    </row>
    <row r="1355" spans="1:21" x14ac:dyDescent="0.25">
      <c r="A1355" t="s">
        <v>3287</v>
      </c>
      <c r="B1355" s="8">
        <v>45808</v>
      </c>
      <c r="C1355" t="s">
        <v>3398</v>
      </c>
      <c r="D1355" t="s">
        <v>641</v>
      </c>
      <c r="E1355" t="s">
        <v>198</v>
      </c>
      <c r="F1355">
        <v>45</v>
      </c>
      <c r="G1355" t="s">
        <v>17</v>
      </c>
      <c r="H1355" t="s">
        <v>15</v>
      </c>
      <c r="I1355" t="s">
        <v>49</v>
      </c>
      <c r="J1355" t="s">
        <v>56</v>
      </c>
      <c r="K1355" t="s">
        <v>43</v>
      </c>
      <c r="L1355">
        <v>1</v>
      </c>
      <c r="M1355" s="12">
        <v>31999</v>
      </c>
      <c r="N1355" s="12">
        <v>25599.200000000001</v>
      </c>
      <c r="O1355">
        <v>4</v>
      </c>
      <c r="P1355" s="12">
        <v>30719.039999999997</v>
      </c>
      <c r="Q1355" s="12">
        <v>25599.200000000001</v>
      </c>
      <c r="R1355" s="12">
        <v>5119.8399999999965</v>
      </c>
      <c r="S1355" t="s">
        <v>1246</v>
      </c>
      <c r="T1355" t="s">
        <v>110</v>
      </c>
      <c r="U1355" t="s">
        <v>1199</v>
      </c>
    </row>
    <row r="1356" spans="1:21" x14ac:dyDescent="0.25">
      <c r="A1356" t="s">
        <v>3288</v>
      </c>
      <c r="B1356" s="8">
        <v>45897</v>
      </c>
      <c r="C1356" t="s">
        <v>2147</v>
      </c>
      <c r="D1356" t="s">
        <v>894</v>
      </c>
      <c r="E1356" t="s">
        <v>198</v>
      </c>
      <c r="F1356">
        <v>50</v>
      </c>
      <c r="G1356" t="s">
        <v>11</v>
      </c>
      <c r="H1356" t="s">
        <v>12</v>
      </c>
      <c r="I1356" t="s">
        <v>53</v>
      </c>
      <c r="J1356" t="s">
        <v>48</v>
      </c>
      <c r="K1356" t="s">
        <v>43</v>
      </c>
      <c r="L1356">
        <v>2</v>
      </c>
      <c r="M1356" s="12">
        <v>6499</v>
      </c>
      <c r="N1356" s="12">
        <v>4549.2999999999993</v>
      </c>
      <c r="O1356">
        <v>10</v>
      </c>
      <c r="P1356" s="12">
        <v>11698.2</v>
      </c>
      <c r="Q1356" s="12">
        <v>9098.5999999999985</v>
      </c>
      <c r="R1356" s="12">
        <v>2599.6000000000022</v>
      </c>
      <c r="S1356" t="s">
        <v>1246</v>
      </c>
      <c r="T1356" t="s">
        <v>107</v>
      </c>
      <c r="U1356" t="s">
        <v>1199</v>
      </c>
    </row>
    <row r="1357" spans="1:21" x14ac:dyDescent="0.25">
      <c r="A1357" t="s">
        <v>3289</v>
      </c>
      <c r="B1357" s="8">
        <v>45701</v>
      </c>
      <c r="C1357" t="s">
        <v>2116</v>
      </c>
      <c r="D1357" t="s">
        <v>1025</v>
      </c>
      <c r="E1357" t="s">
        <v>218</v>
      </c>
      <c r="F1357">
        <v>27</v>
      </c>
      <c r="G1357" t="s">
        <v>4</v>
      </c>
      <c r="H1357" t="s">
        <v>3</v>
      </c>
      <c r="I1357" t="s">
        <v>30</v>
      </c>
      <c r="J1357" t="s">
        <v>41</v>
      </c>
      <c r="K1357" t="s">
        <v>22</v>
      </c>
      <c r="L1357">
        <v>4</v>
      </c>
      <c r="M1357" s="12">
        <v>13749</v>
      </c>
      <c r="N1357" s="12">
        <v>10999.2</v>
      </c>
      <c r="O1357">
        <v>7</v>
      </c>
      <c r="P1357" s="12">
        <v>51146.28</v>
      </c>
      <c r="Q1357" s="12">
        <v>43996.800000000003</v>
      </c>
      <c r="R1357" s="12">
        <v>7149.4799999999959</v>
      </c>
      <c r="S1357" t="s">
        <v>113</v>
      </c>
      <c r="T1357" t="s">
        <v>108</v>
      </c>
      <c r="U1357" t="s">
        <v>1194</v>
      </c>
    </row>
    <row r="1358" spans="1:21" x14ac:dyDescent="0.25">
      <c r="A1358" t="s">
        <v>3291</v>
      </c>
      <c r="B1358" s="8">
        <v>45990</v>
      </c>
      <c r="C1358" t="s">
        <v>1813</v>
      </c>
      <c r="D1358" t="s">
        <v>418</v>
      </c>
      <c r="E1358" t="s">
        <v>218</v>
      </c>
      <c r="F1358">
        <v>55</v>
      </c>
      <c r="G1358" t="s">
        <v>290</v>
      </c>
      <c r="H1358" t="s">
        <v>3</v>
      </c>
      <c r="I1358" t="s">
        <v>51</v>
      </c>
      <c r="J1358" t="s">
        <v>54</v>
      </c>
      <c r="K1358" t="s">
        <v>43</v>
      </c>
      <c r="L1358">
        <v>3</v>
      </c>
      <c r="M1358" s="12">
        <v>27499</v>
      </c>
      <c r="N1358" s="12">
        <v>21724.210000000003</v>
      </c>
      <c r="O1358">
        <v>16</v>
      </c>
      <c r="P1358" s="12">
        <v>69297.48</v>
      </c>
      <c r="Q1358" s="12">
        <v>65172.630000000005</v>
      </c>
      <c r="R1358" s="12">
        <v>4124.8499999999913</v>
      </c>
      <c r="S1358" t="s">
        <v>113</v>
      </c>
      <c r="T1358" t="s">
        <v>108</v>
      </c>
      <c r="U1358" t="s">
        <v>1207</v>
      </c>
    </row>
    <row r="1359" spans="1:21" x14ac:dyDescent="0.25">
      <c r="A1359" t="s">
        <v>3292</v>
      </c>
      <c r="B1359" s="8">
        <v>45972</v>
      </c>
      <c r="C1359" t="s">
        <v>2058</v>
      </c>
      <c r="D1359" t="s">
        <v>1092</v>
      </c>
      <c r="E1359" t="s">
        <v>218</v>
      </c>
      <c r="F1359">
        <v>62</v>
      </c>
      <c r="G1359" t="s">
        <v>9</v>
      </c>
      <c r="H1359" t="s">
        <v>8</v>
      </c>
      <c r="I1359" t="s">
        <v>45</v>
      </c>
      <c r="J1359" t="s">
        <v>46</v>
      </c>
      <c r="K1359" t="s">
        <v>43</v>
      </c>
      <c r="L1359">
        <v>5</v>
      </c>
      <c r="M1359" s="12">
        <v>11999</v>
      </c>
      <c r="N1359" s="12">
        <v>8999.25</v>
      </c>
      <c r="O1359">
        <v>15</v>
      </c>
      <c r="P1359" s="12">
        <v>50995.75</v>
      </c>
      <c r="Q1359" s="12">
        <v>44996.25</v>
      </c>
      <c r="R1359" s="12">
        <v>5999.5</v>
      </c>
      <c r="S1359" t="s">
        <v>113</v>
      </c>
      <c r="T1359" t="s">
        <v>109</v>
      </c>
      <c r="U1359" t="s">
        <v>1207</v>
      </c>
    </row>
    <row r="1360" spans="1:21" x14ac:dyDescent="0.25">
      <c r="A1360" t="s">
        <v>3294</v>
      </c>
      <c r="B1360" s="8">
        <v>45737</v>
      </c>
      <c r="C1360" t="s">
        <v>3781</v>
      </c>
      <c r="D1360" t="s">
        <v>877</v>
      </c>
      <c r="E1360" t="s">
        <v>218</v>
      </c>
      <c r="F1360">
        <v>21</v>
      </c>
      <c r="G1360" t="s">
        <v>7</v>
      </c>
      <c r="H1360" t="s">
        <v>8</v>
      </c>
      <c r="I1360" t="s">
        <v>51</v>
      </c>
      <c r="J1360" t="s">
        <v>54</v>
      </c>
      <c r="K1360" t="s">
        <v>43</v>
      </c>
      <c r="L1360">
        <v>5</v>
      </c>
      <c r="M1360" s="12">
        <v>27499</v>
      </c>
      <c r="N1360" s="12">
        <v>21724.210000000003</v>
      </c>
      <c r="O1360">
        <v>7</v>
      </c>
      <c r="P1360" s="12">
        <v>127870.34999999999</v>
      </c>
      <c r="Q1360" s="12">
        <v>108621.05000000002</v>
      </c>
      <c r="R1360" s="12">
        <v>19249.299999999974</v>
      </c>
      <c r="S1360" t="s">
        <v>1246</v>
      </c>
      <c r="T1360" t="s">
        <v>107</v>
      </c>
      <c r="U1360" t="s">
        <v>1211</v>
      </c>
    </row>
    <row r="1361" spans="1:21" x14ac:dyDescent="0.25">
      <c r="A1361" t="s">
        <v>3295</v>
      </c>
      <c r="B1361" s="8">
        <v>45739</v>
      </c>
      <c r="C1361" t="s">
        <v>1654</v>
      </c>
      <c r="D1361" t="s">
        <v>713</v>
      </c>
      <c r="E1361" t="s">
        <v>218</v>
      </c>
      <c r="F1361">
        <v>26</v>
      </c>
      <c r="G1361" t="s">
        <v>7</v>
      </c>
      <c r="H1361" t="s">
        <v>8</v>
      </c>
      <c r="I1361" t="s">
        <v>53</v>
      </c>
      <c r="J1361" t="s">
        <v>48</v>
      </c>
      <c r="K1361" t="s">
        <v>43</v>
      </c>
      <c r="L1361">
        <v>2</v>
      </c>
      <c r="M1361" s="12">
        <v>6499</v>
      </c>
      <c r="N1361" s="12">
        <v>4549.2999999999993</v>
      </c>
      <c r="O1361">
        <v>6</v>
      </c>
      <c r="P1361" s="12">
        <v>12218.119999999999</v>
      </c>
      <c r="Q1361" s="12">
        <v>9098.5999999999985</v>
      </c>
      <c r="R1361" s="12">
        <v>3119.5200000000004</v>
      </c>
      <c r="S1361" t="s">
        <v>113</v>
      </c>
      <c r="T1361" t="s">
        <v>107</v>
      </c>
      <c r="U1361" t="s">
        <v>1199</v>
      </c>
    </row>
    <row r="1362" spans="1:21" x14ac:dyDescent="0.25">
      <c r="A1362" t="s">
        <v>3297</v>
      </c>
      <c r="B1362" s="8">
        <v>45659</v>
      </c>
      <c r="C1362" t="s">
        <v>1372</v>
      </c>
      <c r="D1362" t="s">
        <v>1181</v>
      </c>
      <c r="E1362" t="s">
        <v>218</v>
      </c>
      <c r="F1362">
        <v>29</v>
      </c>
      <c r="G1362" t="s">
        <v>4</v>
      </c>
      <c r="H1362" t="s">
        <v>3</v>
      </c>
      <c r="I1362" t="s">
        <v>45</v>
      </c>
      <c r="J1362" t="s">
        <v>46</v>
      </c>
      <c r="K1362" t="s">
        <v>43</v>
      </c>
      <c r="L1362">
        <v>3</v>
      </c>
      <c r="M1362" s="12">
        <v>11999</v>
      </c>
      <c r="N1362" s="12">
        <v>8999.25</v>
      </c>
      <c r="O1362">
        <v>5</v>
      </c>
      <c r="P1362" s="12">
        <v>34197.15</v>
      </c>
      <c r="Q1362" s="12">
        <v>26997.75</v>
      </c>
      <c r="R1362" s="12">
        <v>7199.4000000000015</v>
      </c>
      <c r="S1362" t="s">
        <v>1246</v>
      </c>
      <c r="T1362" t="s">
        <v>108</v>
      </c>
      <c r="U1362" t="s">
        <v>1211</v>
      </c>
    </row>
    <row r="1363" spans="1:21" x14ac:dyDescent="0.25">
      <c r="A1363" t="s">
        <v>3299</v>
      </c>
      <c r="B1363" s="8">
        <v>45967</v>
      </c>
      <c r="C1363" t="s">
        <v>1265</v>
      </c>
      <c r="D1363" t="s">
        <v>972</v>
      </c>
      <c r="E1363" t="s">
        <v>198</v>
      </c>
      <c r="F1363">
        <v>61</v>
      </c>
      <c r="G1363" t="s">
        <v>17</v>
      </c>
      <c r="H1363" t="s">
        <v>15</v>
      </c>
      <c r="I1363" t="s">
        <v>40</v>
      </c>
      <c r="J1363" t="s">
        <v>39</v>
      </c>
      <c r="K1363" t="s">
        <v>22</v>
      </c>
      <c r="L1363">
        <v>1</v>
      </c>
      <c r="M1363" s="12">
        <v>1100</v>
      </c>
      <c r="N1363" s="12">
        <v>715</v>
      </c>
      <c r="O1363">
        <v>14</v>
      </c>
      <c r="P1363" s="12">
        <v>946</v>
      </c>
      <c r="Q1363" s="12">
        <v>715</v>
      </c>
      <c r="R1363" s="12">
        <v>231</v>
      </c>
      <c r="S1363" t="s">
        <v>113</v>
      </c>
      <c r="T1363" t="s">
        <v>107</v>
      </c>
      <c r="U1363" t="s">
        <v>1198</v>
      </c>
    </row>
    <row r="1364" spans="1:21" x14ac:dyDescent="0.25">
      <c r="A1364" t="s">
        <v>3300</v>
      </c>
      <c r="B1364" s="8">
        <v>45857</v>
      </c>
      <c r="C1364" t="s">
        <v>1642</v>
      </c>
      <c r="D1364" t="s">
        <v>1129</v>
      </c>
      <c r="E1364" t="s">
        <v>198</v>
      </c>
      <c r="F1364">
        <v>47</v>
      </c>
      <c r="G1364" t="s">
        <v>11</v>
      </c>
      <c r="H1364" t="s">
        <v>12</v>
      </c>
      <c r="I1364" t="s">
        <v>38</v>
      </c>
      <c r="J1364" t="s">
        <v>37</v>
      </c>
      <c r="K1364" t="s">
        <v>22</v>
      </c>
      <c r="L1364">
        <v>1</v>
      </c>
      <c r="M1364" s="12">
        <v>1650</v>
      </c>
      <c r="N1364" s="12">
        <v>990</v>
      </c>
      <c r="O1364">
        <v>5</v>
      </c>
      <c r="P1364" s="12">
        <v>1567.5</v>
      </c>
      <c r="Q1364" s="12">
        <v>990</v>
      </c>
      <c r="R1364" s="12">
        <v>577.5</v>
      </c>
      <c r="S1364" t="s">
        <v>113</v>
      </c>
      <c r="T1364" t="s">
        <v>107</v>
      </c>
      <c r="U1364" t="s">
        <v>1203</v>
      </c>
    </row>
    <row r="1365" spans="1:21" x14ac:dyDescent="0.25">
      <c r="A1365" t="s">
        <v>3301</v>
      </c>
      <c r="B1365" s="8">
        <v>45918</v>
      </c>
      <c r="C1365" t="s">
        <v>2173</v>
      </c>
      <c r="D1365" t="s">
        <v>1076</v>
      </c>
      <c r="E1365" t="s">
        <v>198</v>
      </c>
      <c r="F1365">
        <v>30</v>
      </c>
      <c r="G1365" t="s">
        <v>2</v>
      </c>
      <c r="H1365" t="s">
        <v>3</v>
      </c>
      <c r="I1365" t="s">
        <v>28</v>
      </c>
      <c r="J1365" t="s">
        <v>35</v>
      </c>
      <c r="K1365" t="s">
        <v>22</v>
      </c>
      <c r="L1365">
        <v>4</v>
      </c>
      <c r="M1365" s="12">
        <v>16499</v>
      </c>
      <c r="N1365" s="12">
        <v>14519.12</v>
      </c>
      <c r="O1365">
        <v>5</v>
      </c>
      <c r="P1365" s="12">
        <v>62696.2</v>
      </c>
      <c r="Q1365" s="12">
        <v>58076.480000000003</v>
      </c>
      <c r="R1365" s="12">
        <v>4619.7199999999939</v>
      </c>
      <c r="S1365" t="s">
        <v>1246</v>
      </c>
      <c r="T1365" t="s">
        <v>108</v>
      </c>
      <c r="U1365" t="s">
        <v>1205</v>
      </c>
    </row>
    <row r="1366" spans="1:21" x14ac:dyDescent="0.25">
      <c r="A1366" t="s">
        <v>3302</v>
      </c>
      <c r="B1366" s="8">
        <v>45670</v>
      </c>
      <c r="C1366" t="s">
        <v>2607</v>
      </c>
      <c r="D1366" t="s">
        <v>1074</v>
      </c>
      <c r="E1366" t="s">
        <v>218</v>
      </c>
      <c r="F1366">
        <v>58</v>
      </c>
      <c r="G1366" t="s">
        <v>9</v>
      </c>
      <c r="H1366" t="s">
        <v>8</v>
      </c>
      <c r="I1366" t="s">
        <v>63</v>
      </c>
      <c r="J1366" t="s">
        <v>77</v>
      </c>
      <c r="K1366" t="s">
        <v>64</v>
      </c>
      <c r="L1366">
        <v>1</v>
      </c>
      <c r="M1366" s="12">
        <v>650</v>
      </c>
      <c r="N1366" s="12">
        <v>468</v>
      </c>
      <c r="O1366">
        <v>14</v>
      </c>
      <c r="P1366" s="12">
        <v>559</v>
      </c>
      <c r="Q1366" s="12">
        <v>468</v>
      </c>
      <c r="R1366" s="12">
        <v>91</v>
      </c>
      <c r="S1366" t="s">
        <v>1246</v>
      </c>
      <c r="T1366" t="s">
        <v>109</v>
      </c>
      <c r="U1366" t="s">
        <v>1207</v>
      </c>
    </row>
    <row r="1367" spans="1:21" x14ac:dyDescent="0.25">
      <c r="A1367" t="s">
        <v>3303</v>
      </c>
      <c r="B1367" s="8">
        <v>45835</v>
      </c>
      <c r="C1367" t="s">
        <v>1248</v>
      </c>
      <c r="D1367" t="s">
        <v>540</v>
      </c>
      <c r="E1367" t="s">
        <v>218</v>
      </c>
      <c r="F1367">
        <v>18</v>
      </c>
      <c r="G1367" t="s">
        <v>16</v>
      </c>
      <c r="H1367" t="s">
        <v>15</v>
      </c>
      <c r="I1367" t="s">
        <v>40</v>
      </c>
      <c r="J1367" t="s">
        <v>39</v>
      </c>
      <c r="K1367" t="s">
        <v>22</v>
      </c>
      <c r="L1367">
        <v>1</v>
      </c>
      <c r="M1367" s="12">
        <v>1100</v>
      </c>
      <c r="N1367" s="12">
        <v>715</v>
      </c>
      <c r="O1367">
        <v>10</v>
      </c>
      <c r="P1367" s="12">
        <v>990</v>
      </c>
      <c r="Q1367" s="12">
        <v>715</v>
      </c>
      <c r="R1367" s="12">
        <v>275</v>
      </c>
      <c r="S1367" t="s">
        <v>1249</v>
      </c>
      <c r="T1367" t="s">
        <v>109</v>
      </c>
      <c r="U1367" t="s">
        <v>1194</v>
      </c>
    </row>
    <row r="1368" spans="1:21" x14ac:dyDescent="0.25">
      <c r="A1368" t="s">
        <v>3304</v>
      </c>
      <c r="B1368" s="8">
        <v>46021</v>
      </c>
      <c r="C1368" t="s">
        <v>2627</v>
      </c>
      <c r="D1368" t="s">
        <v>970</v>
      </c>
      <c r="E1368" t="s">
        <v>198</v>
      </c>
      <c r="F1368">
        <v>58</v>
      </c>
      <c r="G1368" t="s">
        <v>16</v>
      </c>
      <c r="H1368" t="s">
        <v>15</v>
      </c>
      <c r="I1368" t="s">
        <v>63</v>
      </c>
      <c r="J1368" t="s">
        <v>77</v>
      </c>
      <c r="K1368" t="s">
        <v>64</v>
      </c>
      <c r="L1368">
        <v>5</v>
      </c>
      <c r="M1368" s="12">
        <v>650</v>
      </c>
      <c r="N1368" s="12">
        <v>468</v>
      </c>
      <c r="O1368">
        <v>8</v>
      </c>
      <c r="P1368" s="12">
        <v>2990</v>
      </c>
      <c r="Q1368" s="12">
        <v>2340</v>
      </c>
      <c r="R1368" s="12">
        <v>650</v>
      </c>
      <c r="S1368" t="s">
        <v>1249</v>
      </c>
      <c r="T1368" t="s">
        <v>107</v>
      </c>
      <c r="U1368" t="s">
        <v>1196</v>
      </c>
    </row>
    <row r="1369" spans="1:21" x14ac:dyDescent="0.25">
      <c r="A1369" t="s">
        <v>3305</v>
      </c>
      <c r="B1369" s="8">
        <v>45734</v>
      </c>
      <c r="C1369" t="s">
        <v>5099</v>
      </c>
      <c r="D1369" t="s">
        <v>920</v>
      </c>
      <c r="E1369" t="s">
        <v>218</v>
      </c>
      <c r="F1369">
        <v>32</v>
      </c>
      <c r="G1369" t="s">
        <v>16</v>
      </c>
      <c r="H1369" t="s">
        <v>15</v>
      </c>
      <c r="I1369" t="s">
        <v>30</v>
      </c>
      <c r="J1369" t="s">
        <v>41</v>
      </c>
      <c r="K1369" t="s">
        <v>22</v>
      </c>
      <c r="L1369">
        <v>5</v>
      </c>
      <c r="M1369" s="12">
        <v>13749</v>
      </c>
      <c r="N1369" s="12">
        <v>10999.2</v>
      </c>
      <c r="O1369">
        <v>5</v>
      </c>
      <c r="P1369" s="12">
        <v>65307.75</v>
      </c>
      <c r="Q1369" s="12">
        <v>54996</v>
      </c>
      <c r="R1369" s="12">
        <v>10311.75</v>
      </c>
      <c r="S1369" t="s">
        <v>1246</v>
      </c>
      <c r="T1369" t="s">
        <v>109</v>
      </c>
      <c r="U1369" t="s">
        <v>1203</v>
      </c>
    </row>
    <row r="1370" spans="1:21" x14ac:dyDescent="0.25">
      <c r="A1370" t="s">
        <v>3306</v>
      </c>
      <c r="B1370" s="8">
        <v>45992</v>
      </c>
      <c r="C1370" t="s">
        <v>4204</v>
      </c>
      <c r="D1370" t="s">
        <v>481</v>
      </c>
      <c r="E1370" t="s">
        <v>198</v>
      </c>
      <c r="F1370">
        <v>34</v>
      </c>
      <c r="G1370" t="s">
        <v>5</v>
      </c>
      <c r="H1370" t="s">
        <v>3</v>
      </c>
      <c r="I1370" t="s">
        <v>28</v>
      </c>
      <c r="J1370" t="s">
        <v>35</v>
      </c>
      <c r="K1370" t="s">
        <v>22</v>
      </c>
      <c r="L1370">
        <v>3</v>
      </c>
      <c r="M1370" s="12">
        <v>16499</v>
      </c>
      <c r="N1370" s="12">
        <v>14519.12</v>
      </c>
      <c r="O1370">
        <v>16</v>
      </c>
      <c r="P1370" s="12">
        <v>41577.479999999996</v>
      </c>
      <c r="Q1370" s="12">
        <v>43557.36</v>
      </c>
      <c r="R1370" s="12">
        <v>-1979.8800000000047</v>
      </c>
      <c r="S1370" t="s">
        <v>113</v>
      </c>
      <c r="T1370" t="s">
        <v>108</v>
      </c>
      <c r="U1370" t="s">
        <v>1201</v>
      </c>
    </row>
    <row r="1371" spans="1:21" x14ac:dyDescent="0.25">
      <c r="A1371" t="s">
        <v>3307</v>
      </c>
      <c r="B1371" s="8">
        <v>45832</v>
      </c>
      <c r="C1371" t="s">
        <v>1690</v>
      </c>
      <c r="D1371" t="s">
        <v>1006</v>
      </c>
      <c r="E1371" t="s">
        <v>218</v>
      </c>
      <c r="F1371">
        <v>44</v>
      </c>
      <c r="G1371" t="s">
        <v>7</v>
      </c>
      <c r="H1371" t="s">
        <v>8</v>
      </c>
      <c r="I1371" t="s">
        <v>53</v>
      </c>
      <c r="J1371" t="s">
        <v>48</v>
      </c>
      <c r="K1371" t="s">
        <v>43</v>
      </c>
      <c r="L1371">
        <v>3</v>
      </c>
      <c r="M1371" s="12">
        <v>6499</v>
      </c>
      <c r="N1371" s="12">
        <v>4549.2999999999993</v>
      </c>
      <c r="O1371">
        <v>4</v>
      </c>
      <c r="P1371" s="12">
        <v>18717.12</v>
      </c>
      <c r="Q1371" s="12">
        <v>13647.899999999998</v>
      </c>
      <c r="R1371" s="12">
        <v>5069.2200000000012</v>
      </c>
      <c r="S1371" t="s">
        <v>1246</v>
      </c>
      <c r="T1371" t="s">
        <v>107</v>
      </c>
      <c r="U1371" t="s">
        <v>1196</v>
      </c>
    </row>
    <row r="1372" spans="1:21" x14ac:dyDescent="0.25">
      <c r="A1372" t="s">
        <v>3309</v>
      </c>
      <c r="B1372" s="8">
        <v>45967</v>
      </c>
      <c r="C1372" t="s">
        <v>2036</v>
      </c>
      <c r="D1372" t="s">
        <v>1077</v>
      </c>
      <c r="E1372" t="s">
        <v>218</v>
      </c>
      <c r="F1372">
        <v>32</v>
      </c>
      <c r="G1372" t="s">
        <v>16</v>
      </c>
      <c r="H1372" t="s">
        <v>15</v>
      </c>
      <c r="I1372" t="s">
        <v>36</v>
      </c>
      <c r="J1372" t="s">
        <v>136</v>
      </c>
      <c r="K1372" t="s">
        <v>22</v>
      </c>
      <c r="L1372">
        <v>5</v>
      </c>
      <c r="M1372" s="12">
        <v>3590</v>
      </c>
      <c r="N1372" s="12">
        <v>2333.5</v>
      </c>
      <c r="O1372">
        <v>14</v>
      </c>
      <c r="P1372" s="12">
        <v>15437</v>
      </c>
      <c r="Q1372" s="12">
        <v>11667.5</v>
      </c>
      <c r="R1372" s="12">
        <v>3769.5</v>
      </c>
      <c r="S1372" t="s">
        <v>1246</v>
      </c>
      <c r="T1372" t="s">
        <v>107</v>
      </c>
      <c r="U1372" t="s">
        <v>1194</v>
      </c>
    </row>
    <row r="1373" spans="1:21" x14ac:dyDescent="0.25">
      <c r="A1373" t="s">
        <v>3310</v>
      </c>
      <c r="B1373" s="8">
        <v>45734</v>
      </c>
      <c r="C1373" t="s">
        <v>2484</v>
      </c>
      <c r="D1373" t="s">
        <v>458</v>
      </c>
      <c r="E1373" t="s">
        <v>198</v>
      </c>
      <c r="F1373">
        <v>38</v>
      </c>
      <c r="G1373" t="s">
        <v>14</v>
      </c>
      <c r="H1373" t="s">
        <v>15</v>
      </c>
      <c r="I1373" t="s">
        <v>34</v>
      </c>
      <c r="J1373" t="s">
        <v>137</v>
      </c>
      <c r="K1373" t="s">
        <v>22</v>
      </c>
      <c r="L1373">
        <v>1</v>
      </c>
      <c r="M1373" s="12">
        <v>6900</v>
      </c>
      <c r="N1373" s="12">
        <v>5727</v>
      </c>
      <c r="O1373">
        <v>3</v>
      </c>
      <c r="P1373" s="12">
        <v>6693</v>
      </c>
      <c r="Q1373" s="12">
        <v>5727</v>
      </c>
      <c r="R1373" s="12">
        <v>966</v>
      </c>
      <c r="S1373" t="s">
        <v>1246</v>
      </c>
      <c r="T1373" t="s">
        <v>108</v>
      </c>
      <c r="U1373" t="s">
        <v>1209</v>
      </c>
    </row>
    <row r="1374" spans="1:21" x14ac:dyDescent="0.25">
      <c r="A1374" t="s">
        <v>3311</v>
      </c>
      <c r="B1374" s="8">
        <v>45874</v>
      </c>
      <c r="C1374" t="s">
        <v>3046</v>
      </c>
      <c r="D1374" t="s">
        <v>910</v>
      </c>
      <c r="E1374" t="s">
        <v>218</v>
      </c>
      <c r="F1374">
        <v>62</v>
      </c>
      <c r="G1374" t="s">
        <v>2</v>
      </c>
      <c r="H1374" t="s">
        <v>3</v>
      </c>
      <c r="I1374" t="s">
        <v>40</v>
      </c>
      <c r="J1374" t="s">
        <v>39</v>
      </c>
      <c r="K1374" t="s">
        <v>22</v>
      </c>
      <c r="L1374">
        <v>4</v>
      </c>
      <c r="M1374" s="12">
        <v>1100</v>
      </c>
      <c r="N1374" s="12">
        <v>715</v>
      </c>
      <c r="O1374">
        <v>8</v>
      </c>
      <c r="P1374" s="12">
        <v>4048</v>
      </c>
      <c r="Q1374" s="12">
        <v>2860</v>
      </c>
      <c r="R1374" s="12">
        <v>1188</v>
      </c>
      <c r="S1374" t="s">
        <v>1246</v>
      </c>
      <c r="T1374" t="s">
        <v>109</v>
      </c>
      <c r="U1374" t="s">
        <v>1198</v>
      </c>
    </row>
    <row r="1375" spans="1:21" x14ac:dyDescent="0.25">
      <c r="A1375" t="s">
        <v>3313</v>
      </c>
      <c r="B1375" s="8">
        <v>45734</v>
      </c>
      <c r="C1375" t="s">
        <v>1376</v>
      </c>
      <c r="D1375" t="s">
        <v>1011</v>
      </c>
      <c r="E1375" t="s">
        <v>218</v>
      </c>
      <c r="F1375">
        <v>51</v>
      </c>
      <c r="G1375" t="s">
        <v>7</v>
      </c>
      <c r="H1375" t="s">
        <v>8</v>
      </c>
      <c r="I1375" t="s">
        <v>38</v>
      </c>
      <c r="J1375" t="s">
        <v>37</v>
      </c>
      <c r="K1375" t="s">
        <v>22</v>
      </c>
      <c r="L1375">
        <v>2</v>
      </c>
      <c r="M1375" s="12">
        <v>1650</v>
      </c>
      <c r="N1375" s="12">
        <v>990</v>
      </c>
      <c r="O1375">
        <v>3</v>
      </c>
      <c r="P1375" s="12">
        <v>3201</v>
      </c>
      <c r="Q1375" s="12">
        <v>1980</v>
      </c>
      <c r="R1375" s="12">
        <v>1221</v>
      </c>
      <c r="S1375" t="s">
        <v>1246</v>
      </c>
      <c r="T1375" t="s">
        <v>107</v>
      </c>
      <c r="U1375" t="s">
        <v>1194</v>
      </c>
    </row>
    <row r="1376" spans="1:21" x14ac:dyDescent="0.25">
      <c r="A1376" t="s">
        <v>3314</v>
      </c>
      <c r="B1376" s="8">
        <v>46003</v>
      </c>
      <c r="C1376" t="s">
        <v>1753</v>
      </c>
      <c r="D1376" t="s">
        <v>962</v>
      </c>
      <c r="E1376" t="s">
        <v>218</v>
      </c>
      <c r="F1376">
        <v>50</v>
      </c>
      <c r="G1376" t="s">
        <v>11</v>
      </c>
      <c r="H1376" t="s">
        <v>12</v>
      </c>
      <c r="I1376" t="s">
        <v>32</v>
      </c>
      <c r="J1376" t="s">
        <v>29</v>
      </c>
      <c r="K1376" t="s">
        <v>22</v>
      </c>
      <c r="L1376">
        <v>5</v>
      </c>
      <c r="M1376" s="12">
        <v>9500</v>
      </c>
      <c r="N1376" s="12">
        <v>6650</v>
      </c>
      <c r="O1376">
        <v>10</v>
      </c>
      <c r="P1376" s="12">
        <v>42750</v>
      </c>
      <c r="Q1376" s="12">
        <v>33250</v>
      </c>
      <c r="R1376" s="12">
        <v>9500</v>
      </c>
      <c r="S1376" t="s">
        <v>113</v>
      </c>
      <c r="T1376" t="s">
        <v>108</v>
      </c>
      <c r="U1376" t="s">
        <v>1209</v>
      </c>
    </row>
    <row r="1377" spans="1:21" x14ac:dyDescent="0.25">
      <c r="A1377" t="s">
        <v>3315</v>
      </c>
      <c r="B1377" s="8">
        <v>45919</v>
      </c>
      <c r="C1377" t="s">
        <v>1419</v>
      </c>
      <c r="D1377" t="s">
        <v>781</v>
      </c>
      <c r="E1377" t="s">
        <v>218</v>
      </c>
      <c r="F1377">
        <v>56</v>
      </c>
      <c r="G1377" t="s">
        <v>290</v>
      </c>
      <c r="H1377" t="s">
        <v>3</v>
      </c>
      <c r="I1377" t="s">
        <v>49</v>
      </c>
      <c r="J1377" t="s">
        <v>56</v>
      </c>
      <c r="K1377" t="s">
        <v>43</v>
      </c>
      <c r="L1377">
        <v>5</v>
      </c>
      <c r="M1377" s="12">
        <v>31999</v>
      </c>
      <c r="N1377" s="12">
        <v>25599.200000000001</v>
      </c>
      <c r="O1377">
        <v>8</v>
      </c>
      <c r="P1377" s="12">
        <v>147195.4</v>
      </c>
      <c r="Q1377" s="12">
        <v>127996</v>
      </c>
      <c r="R1377" s="12">
        <v>19199.399999999994</v>
      </c>
      <c r="S1377" t="s">
        <v>1246</v>
      </c>
      <c r="T1377" t="s">
        <v>111</v>
      </c>
      <c r="U1377" t="s">
        <v>1198</v>
      </c>
    </row>
    <row r="1378" spans="1:21" x14ac:dyDescent="0.25">
      <c r="A1378" t="s">
        <v>3316</v>
      </c>
      <c r="B1378" s="8">
        <v>46016</v>
      </c>
      <c r="C1378" t="s">
        <v>2770</v>
      </c>
      <c r="D1378" t="s">
        <v>411</v>
      </c>
      <c r="E1378" t="s">
        <v>218</v>
      </c>
      <c r="F1378">
        <v>45</v>
      </c>
      <c r="G1378" t="s">
        <v>17</v>
      </c>
      <c r="H1378" t="s">
        <v>15</v>
      </c>
      <c r="I1378" t="s">
        <v>59</v>
      </c>
      <c r="J1378" t="s">
        <v>73</v>
      </c>
      <c r="K1378" t="s">
        <v>64</v>
      </c>
      <c r="L1378">
        <v>1</v>
      </c>
      <c r="M1378" s="12">
        <v>120</v>
      </c>
      <c r="N1378" s="12">
        <v>81.599999999999994</v>
      </c>
      <c r="O1378">
        <v>4</v>
      </c>
      <c r="P1378" s="12">
        <v>115.19999999999999</v>
      </c>
      <c r="Q1378" s="12">
        <v>81.599999999999994</v>
      </c>
      <c r="R1378" s="12">
        <v>33.599999999999994</v>
      </c>
      <c r="S1378" t="s">
        <v>1246</v>
      </c>
      <c r="T1378" t="s">
        <v>108</v>
      </c>
      <c r="U1378" t="s">
        <v>1199</v>
      </c>
    </row>
    <row r="1379" spans="1:21" x14ac:dyDescent="0.25">
      <c r="A1379" t="s">
        <v>3318</v>
      </c>
      <c r="B1379" s="8">
        <v>45948</v>
      </c>
      <c r="C1379" t="s">
        <v>2219</v>
      </c>
      <c r="D1379" t="s">
        <v>1160</v>
      </c>
      <c r="E1379" t="s">
        <v>198</v>
      </c>
      <c r="F1379">
        <v>49</v>
      </c>
      <c r="G1379" t="s">
        <v>14</v>
      </c>
      <c r="H1379" t="s">
        <v>15</v>
      </c>
      <c r="I1379" t="s">
        <v>55</v>
      </c>
      <c r="J1379" t="s">
        <v>65</v>
      </c>
      <c r="K1379" t="s">
        <v>64</v>
      </c>
      <c r="L1379">
        <v>1</v>
      </c>
      <c r="M1379" s="12">
        <v>80</v>
      </c>
      <c r="N1379" s="12">
        <v>56</v>
      </c>
      <c r="O1379">
        <v>4</v>
      </c>
      <c r="P1379" s="12">
        <v>76.8</v>
      </c>
      <c r="Q1379" s="12">
        <v>56</v>
      </c>
      <c r="R1379" s="12">
        <v>20.799999999999997</v>
      </c>
      <c r="S1379" t="s">
        <v>1246</v>
      </c>
      <c r="T1379" t="s">
        <v>107</v>
      </c>
      <c r="U1379" t="s">
        <v>1198</v>
      </c>
    </row>
    <row r="1380" spans="1:21" x14ac:dyDescent="0.25">
      <c r="A1380" t="s">
        <v>3319</v>
      </c>
      <c r="B1380" s="8">
        <v>45665</v>
      </c>
      <c r="C1380" t="s">
        <v>1506</v>
      </c>
      <c r="D1380" t="s">
        <v>1072</v>
      </c>
      <c r="E1380" t="s">
        <v>198</v>
      </c>
      <c r="F1380">
        <v>48</v>
      </c>
      <c r="G1380" t="s">
        <v>5</v>
      </c>
      <c r="H1380" t="s">
        <v>3</v>
      </c>
      <c r="I1380" t="s">
        <v>47</v>
      </c>
      <c r="J1380" t="s">
        <v>52</v>
      </c>
      <c r="K1380" t="s">
        <v>43</v>
      </c>
      <c r="L1380">
        <v>3</v>
      </c>
      <c r="M1380" s="12">
        <v>42999</v>
      </c>
      <c r="N1380" s="12">
        <v>33539.22</v>
      </c>
      <c r="O1380">
        <v>2</v>
      </c>
      <c r="P1380" s="12">
        <v>126417.06</v>
      </c>
      <c r="Q1380" s="12">
        <v>100617.66</v>
      </c>
      <c r="R1380" s="12">
        <v>25799.399999999994</v>
      </c>
      <c r="S1380" t="s">
        <v>113</v>
      </c>
      <c r="T1380" t="s">
        <v>109</v>
      </c>
      <c r="U1380" t="s">
        <v>1205</v>
      </c>
    </row>
    <row r="1381" spans="1:21" x14ac:dyDescent="0.25">
      <c r="A1381" t="s">
        <v>3320</v>
      </c>
      <c r="B1381" s="8">
        <v>45827</v>
      </c>
      <c r="C1381" t="s">
        <v>1616</v>
      </c>
      <c r="D1381" t="s">
        <v>582</v>
      </c>
      <c r="E1381" t="s">
        <v>198</v>
      </c>
      <c r="F1381">
        <v>61</v>
      </c>
      <c r="G1381" t="s">
        <v>14</v>
      </c>
      <c r="H1381" t="s">
        <v>15</v>
      </c>
      <c r="I1381" t="s">
        <v>21</v>
      </c>
      <c r="J1381" t="s">
        <v>23</v>
      </c>
      <c r="K1381" t="s">
        <v>22</v>
      </c>
      <c r="L1381">
        <v>4</v>
      </c>
      <c r="M1381" s="12">
        <v>54999</v>
      </c>
      <c r="N1381" s="12">
        <v>45099.18</v>
      </c>
      <c r="O1381">
        <v>6</v>
      </c>
      <c r="P1381" s="12">
        <v>206796.24</v>
      </c>
      <c r="Q1381" s="12">
        <v>180396.72</v>
      </c>
      <c r="R1381" s="12">
        <v>26399.51999999999</v>
      </c>
      <c r="S1381" t="s">
        <v>1246</v>
      </c>
      <c r="T1381" t="s">
        <v>107</v>
      </c>
      <c r="U1381" t="s">
        <v>1203</v>
      </c>
    </row>
    <row r="1382" spans="1:21" x14ac:dyDescent="0.25">
      <c r="A1382" t="s">
        <v>3321</v>
      </c>
      <c r="B1382" s="8">
        <v>45901</v>
      </c>
      <c r="C1382" t="s">
        <v>2611</v>
      </c>
      <c r="D1382" t="s">
        <v>674</v>
      </c>
      <c r="E1382" t="s">
        <v>218</v>
      </c>
      <c r="F1382">
        <v>50</v>
      </c>
      <c r="G1382" t="s">
        <v>11</v>
      </c>
      <c r="H1382" t="s">
        <v>12</v>
      </c>
      <c r="I1382" t="s">
        <v>51</v>
      </c>
      <c r="J1382" t="s">
        <v>54</v>
      </c>
      <c r="K1382" t="s">
        <v>43</v>
      </c>
      <c r="L1382">
        <v>4</v>
      </c>
      <c r="M1382" s="12">
        <v>27499</v>
      </c>
      <c r="N1382" s="12">
        <v>21724.210000000003</v>
      </c>
      <c r="O1382">
        <v>7</v>
      </c>
      <c r="P1382" s="12">
        <v>102296.28</v>
      </c>
      <c r="Q1382" s="12">
        <v>86896.840000000011</v>
      </c>
      <c r="R1382" s="12">
        <v>15399.439999999988</v>
      </c>
      <c r="S1382" t="s">
        <v>1246</v>
      </c>
      <c r="T1382" t="s">
        <v>109</v>
      </c>
      <c r="U1382" t="s">
        <v>1194</v>
      </c>
    </row>
    <row r="1383" spans="1:21" x14ac:dyDescent="0.25">
      <c r="A1383" t="s">
        <v>3322</v>
      </c>
      <c r="B1383" s="8">
        <v>45753</v>
      </c>
      <c r="C1383" t="s">
        <v>2905</v>
      </c>
      <c r="D1383" t="s">
        <v>471</v>
      </c>
      <c r="E1383" t="s">
        <v>198</v>
      </c>
      <c r="F1383">
        <v>39</v>
      </c>
      <c r="G1383" t="s">
        <v>5</v>
      </c>
      <c r="H1383" t="s">
        <v>3</v>
      </c>
      <c r="I1383" t="s">
        <v>42</v>
      </c>
      <c r="J1383" t="s">
        <v>44</v>
      </c>
      <c r="K1383" t="s">
        <v>43</v>
      </c>
      <c r="L1383">
        <v>3</v>
      </c>
      <c r="M1383" s="12">
        <v>8999</v>
      </c>
      <c r="N1383" s="12">
        <v>6479.28</v>
      </c>
      <c r="O1383">
        <v>8</v>
      </c>
      <c r="P1383" s="12">
        <v>24837.24</v>
      </c>
      <c r="Q1383" s="12">
        <v>19437.84</v>
      </c>
      <c r="R1383" s="12">
        <v>5399.4000000000015</v>
      </c>
      <c r="S1383" t="s">
        <v>1246</v>
      </c>
      <c r="T1383" t="s">
        <v>107</v>
      </c>
      <c r="U1383" t="s">
        <v>1201</v>
      </c>
    </row>
    <row r="1384" spans="1:21" x14ac:dyDescent="0.25">
      <c r="A1384" t="s">
        <v>3323</v>
      </c>
      <c r="B1384" s="8">
        <v>46001</v>
      </c>
      <c r="C1384" t="s">
        <v>2543</v>
      </c>
      <c r="D1384" t="s">
        <v>958</v>
      </c>
      <c r="E1384" t="s">
        <v>218</v>
      </c>
      <c r="F1384">
        <v>34</v>
      </c>
      <c r="G1384" t="s">
        <v>4</v>
      </c>
      <c r="H1384" t="s">
        <v>3</v>
      </c>
      <c r="I1384" t="s">
        <v>47</v>
      </c>
      <c r="J1384" t="s">
        <v>52</v>
      </c>
      <c r="K1384" t="s">
        <v>43</v>
      </c>
      <c r="L1384">
        <v>3</v>
      </c>
      <c r="M1384" s="12">
        <v>42999</v>
      </c>
      <c r="N1384" s="12">
        <v>33539.22</v>
      </c>
      <c r="O1384">
        <v>14</v>
      </c>
      <c r="P1384" s="12">
        <v>110937.42</v>
      </c>
      <c r="Q1384" s="12">
        <v>100617.66</v>
      </c>
      <c r="R1384" s="12">
        <v>10319.759999999995</v>
      </c>
      <c r="S1384" t="s">
        <v>1246</v>
      </c>
      <c r="T1384" t="s">
        <v>107</v>
      </c>
      <c r="U1384" t="s">
        <v>1209</v>
      </c>
    </row>
    <row r="1385" spans="1:21" x14ac:dyDescent="0.25">
      <c r="A1385" t="s">
        <v>3324</v>
      </c>
      <c r="B1385" s="8">
        <v>45996</v>
      </c>
      <c r="C1385" t="s">
        <v>1245</v>
      </c>
      <c r="D1385" t="s">
        <v>493</v>
      </c>
      <c r="E1385" t="s">
        <v>218</v>
      </c>
      <c r="F1385">
        <v>54</v>
      </c>
      <c r="G1385" t="s">
        <v>290</v>
      </c>
      <c r="H1385" t="s">
        <v>3</v>
      </c>
      <c r="I1385" t="s">
        <v>55</v>
      </c>
      <c r="J1385" t="s">
        <v>65</v>
      </c>
      <c r="K1385" t="s">
        <v>64</v>
      </c>
      <c r="L1385">
        <v>2</v>
      </c>
      <c r="M1385" s="12">
        <v>80</v>
      </c>
      <c r="N1385" s="12">
        <v>56</v>
      </c>
      <c r="O1385">
        <v>7</v>
      </c>
      <c r="P1385" s="12">
        <v>148.79999999999998</v>
      </c>
      <c r="Q1385" s="12">
        <v>112</v>
      </c>
      <c r="R1385" s="12">
        <v>36.799999999999983</v>
      </c>
      <c r="S1385" t="s">
        <v>1246</v>
      </c>
      <c r="T1385" t="s">
        <v>109</v>
      </c>
      <c r="U1385" t="s">
        <v>1203</v>
      </c>
    </row>
    <row r="1386" spans="1:21" x14ac:dyDescent="0.25">
      <c r="A1386" t="s">
        <v>3326</v>
      </c>
      <c r="B1386" s="8">
        <v>45974</v>
      </c>
      <c r="C1386" t="s">
        <v>3075</v>
      </c>
      <c r="D1386" t="s">
        <v>633</v>
      </c>
      <c r="E1386" t="s">
        <v>218</v>
      </c>
      <c r="F1386">
        <v>26</v>
      </c>
      <c r="G1386" t="s">
        <v>4</v>
      </c>
      <c r="H1386" t="s">
        <v>3</v>
      </c>
      <c r="I1386" t="s">
        <v>38</v>
      </c>
      <c r="J1386" t="s">
        <v>37</v>
      </c>
      <c r="K1386" t="s">
        <v>22</v>
      </c>
      <c r="L1386">
        <v>3</v>
      </c>
      <c r="M1386" s="12">
        <v>1650</v>
      </c>
      <c r="N1386" s="12">
        <v>990</v>
      </c>
      <c r="O1386">
        <v>10</v>
      </c>
      <c r="P1386" s="12">
        <v>4455</v>
      </c>
      <c r="Q1386" s="12">
        <v>2970</v>
      </c>
      <c r="R1386" s="12">
        <v>1485</v>
      </c>
      <c r="S1386" t="s">
        <v>1246</v>
      </c>
      <c r="T1386" t="s">
        <v>110</v>
      </c>
      <c r="U1386" t="s">
        <v>1205</v>
      </c>
    </row>
    <row r="1387" spans="1:21" x14ac:dyDescent="0.25">
      <c r="A1387" t="s">
        <v>3327</v>
      </c>
      <c r="B1387" s="8">
        <v>45747</v>
      </c>
      <c r="C1387" t="s">
        <v>2160</v>
      </c>
      <c r="D1387" t="s">
        <v>606</v>
      </c>
      <c r="E1387" t="s">
        <v>218</v>
      </c>
      <c r="F1387">
        <v>60</v>
      </c>
      <c r="G1387" t="s">
        <v>14</v>
      </c>
      <c r="H1387" t="s">
        <v>15</v>
      </c>
      <c r="I1387" t="s">
        <v>40</v>
      </c>
      <c r="J1387" t="s">
        <v>39</v>
      </c>
      <c r="K1387" t="s">
        <v>22</v>
      </c>
      <c r="L1387">
        <v>3</v>
      </c>
      <c r="M1387" s="12">
        <v>1100</v>
      </c>
      <c r="N1387" s="12">
        <v>715</v>
      </c>
      <c r="O1387">
        <v>4</v>
      </c>
      <c r="P1387" s="12">
        <v>3168</v>
      </c>
      <c r="Q1387" s="12">
        <v>2145</v>
      </c>
      <c r="R1387" s="12">
        <v>1023</v>
      </c>
      <c r="S1387" t="s">
        <v>1246</v>
      </c>
      <c r="T1387" t="s">
        <v>108</v>
      </c>
      <c r="U1387" t="s">
        <v>1203</v>
      </c>
    </row>
    <row r="1388" spans="1:21" x14ac:dyDescent="0.25">
      <c r="A1388" t="s">
        <v>3328</v>
      </c>
      <c r="B1388" s="8">
        <v>46020</v>
      </c>
      <c r="C1388" t="s">
        <v>2660</v>
      </c>
      <c r="D1388" t="s">
        <v>555</v>
      </c>
      <c r="E1388" t="s">
        <v>218</v>
      </c>
      <c r="F1388">
        <v>48</v>
      </c>
      <c r="G1388" t="s">
        <v>16</v>
      </c>
      <c r="H1388" t="s">
        <v>15</v>
      </c>
      <c r="I1388" t="s">
        <v>53</v>
      </c>
      <c r="J1388" t="s">
        <v>48</v>
      </c>
      <c r="K1388" t="s">
        <v>43</v>
      </c>
      <c r="L1388">
        <v>1</v>
      </c>
      <c r="M1388" s="12">
        <v>6499</v>
      </c>
      <c r="N1388" s="12">
        <v>4549.2999999999993</v>
      </c>
      <c r="O1388">
        <v>12</v>
      </c>
      <c r="P1388" s="12">
        <v>5719.12</v>
      </c>
      <c r="Q1388" s="12">
        <v>4549.2999999999993</v>
      </c>
      <c r="R1388" s="12">
        <v>1169.8200000000006</v>
      </c>
      <c r="S1388" t="s">
        <v>1246</v>
      </c>
      <c r="T1388" t="s">
        <v>109</v>
      </c>
      <c r="U1388" t="s">
        <v>1209</v>
      </c>
    </row>
    <row r="1389" spans="1:21" x14ac:dyDescent="0.25">
      <c r="A1389" t="s">
        <v>3329</v>
      </c>
      <c r="B1389" s="8">
        <v>45952</v>
      </c>
      <c r="C1389" t="s">
        <v>2003</v>
      </c>
      <c r="D1389" t="s">
        <v>1089</v>
      </c>
      <c r="E1389" t="s">
        <v>198</v>
      </c>
      <c r="F1389">
        <v>49</v>
      </c>
      <c r="G1389" t="s">
        <v>4</v>
      </c>
      <c r="H1389" t="s">
        <v>3</v>
      </c>
      <c r="I1389" t="s">
        <v>59</v>
      </c>
      <c r="J1389" t="s">
        <v>73</v>
      </c>
      <c r="K1389" t="s">
        <v>64</v>
      </c>
      <c r="L1389">
        <v>1</v>
      </c>
      <c r="M1389" s="12">
        <v>120</v>
      </c>
      <c r="N1389" s="12">
        <v>81.599999999999994</v>
      </c>
      <c r="O1389">
        <v>3</v>
      </c>
      <c r="P1389" s="12">
        <v>116.39999999999999</v>
      </c>
      <c r="Q1389" s="12">
        <v>81.599999999999994</v>
      </c>
      <c r="R1389" s="12">
        <v>34.799999999999997</v>
      </c>
      <c r="S1389" t="s">
        <v>1246</v>
      </c>
      <c r="T1389" t="s">
        <v>107</v>
      </c>
      <c r="U1389" t="s">
        <v>1198</v>
      </c>
    </row>
    <row r="1390" spans="1:21" x14ac:dyDescent="0.25">
      <c r="A1390" t="s">
        <v>3330</v>
      </c>
      <c r="B1390" s="8">
        <v>45944</v>
      </c>
      <c r="C1390" t="s">
        <v>3041</v>
      </c>
      <c r="D1390" t="s">
        <v>843</v>
      </c>
      <c r="E1390" t="s">
        <v>218</v>
      </c>
      <c r="F1390">
        <v>19</v>
      </c>
      <c r="G1390" t="s">
        <v>7</v>
      </c>
      <c r="H1390" t="s">
        <v>8</v>
      </c>
      <c r="I1390" t="s">
        <v>59</v>
      </c>
      <c r="J1390" t="s">
        <v>73</v>
      </c>
      <c r="K1390" t="s">
        <v>64</v>
      </c>
      <c r="L1390">
        <v>4</v>
      </c>
      <c r="M1390" s="12">
        <v>120</v>
      </c>
      <c r="N1390" s="12">
        <v>81.599999999999994</v>
      </c>
      <c r="O1390">
        <v>5</v>
      </c>
      <c r="P1390" s="12">
        <v>456</v>
      </c>
      <c r="Q1390" s="12">
        <v>326.39999999999998</v>
      </c>
      <c r="R1390" s="12">
        <v>129.60000000000002</v>
      </c>
      <c r="S1390" t="s">
        <v>113</v>
      </c>
      <c r="T1390" t="s">
        <v>107</v>
      </c>
      <c r="U1390" t="s">
        <v>1201</v>
      </c>
    </row>
    <row r="1391" spans="1:21" x14ac:dyDescent="0.25">
      <c r="A1391" t="s">
        <v>3332</v>
      </c>
      <c r="B1391" s="8">
        <v>45915</v>
      </c>
      <c r="C1391" t="s">
        <v>2359</v>
      </c>
      <c r="D1391" t="s">
        <v>428</v>
      </c>
      <c r="E1391" t="s">
        <v>218</v>
      </c>
      <c r="F1391">
        <v>32</v>
      </c>
      <c r="G1391" t="s">
        <v>11</v>
      </c>
      <c r="H1391" t="s">
        <v>12</v>
      </c>
      <c r="I1391" t="s">
        <v>53</v>
      </c>
      <c r="J1391" t="s">
        <v>48</v>
      </c>
      <c r="K1391" t="s">
        <v>43</v>
      </c>
      <c r="L1391">
        <v>3</v>
      </c>
      <c r="M1391" s="12">
        <v>6499</v>
      </c>
      <c r="N1391" s="12">
        <v>4549.2999999999993</v>
      </c>
      <c r="O1391">
        <v>9</v>
      </c>
      <c r="P1391" s="12">
        <v>17742.27</v>
      </c>
      <c r="Q1391" s="12">
        <v>13647.899999999998</v>
      </c>
      <c r="R1391" s="12">
        <v>4094.3700000000026</v>
      </c>
      <c r="S1391" t="s">
        <v>1246</v>
      </c>
      <c r="T1391" t="s">
        <v>107</v>
      </c>
      <c r="U1391" t="s">
        <v>1211</v>
      </c>
    </row>
    <row r="1392" spans="1:21" x14ac:dyDescent="0.25">
      <c r="A1392" t="s">
        <v>3334</v>
      </c>
      <c r="B1392" s="8">
        <v>45805</v>
      </c>
      <c r="C1392" t="s">
        <v>1910</v>
      </c>
      <c r="D1392" t="s">
        <v>433</v>
      </c>
      <c r="E1392" t="s">
        <v>198</v>
      </c>
      <c r="F1392">
        <v>27</v>
      </c>
      <c r="G1392" t="s">
        <v>10</v>
      </c>
      <c r="H1392" t="s">
        <v>8</v>
      </c>
      <c r="I1392" t="s">
        <v>36</v>
      </c>
      <c r="J1392" t="s">
        <v>136</v>
      </c>
      <c r="K1392" t="s">
        <v>22</v>
      </c>
      <c r="L1392">
        <v>2</v>
      </c>
      <c r="M1392" s="12">
        <v>3590</v>
      </c>
      <c r="N1392" s="12">
        <v>2333.5</v>
      </c>
      <c r="O1392">
        <v>5</v>
      </c>
      <c r="P1392" s="12">
        <v>6821</v>
      </c>
      <c r="Q1392" s="12">
        <v>4667</v>
      </c>
      <c r="R1392" s="12">
        <v>2154</v>
      </c>
      <c r="S1392" t="s">
        <v>113</v>
      </c>
      <c r="T1392" t="s">
        <v>107</v>
      </c>
      <c r="U1392" t="s">
        <v>1194</v>
      </c>
    </row>
    <row r="1393" spans="1:21" x14ac:dyDescent="0.25">
      <c r="A1393" t="s">
        <v>3335</v>
      </c>
      <c r="B1393" s="8">
        <v>45752</v>
      </c>
      <c r="C1393" t="s">
        <v>2969</v>
      </c>
      <c r="D1393" t="s">
        <v>539</v>
      </c>
      <c r="E1393" t="s">
        <v>218</v>
      </c>
      <c r="F1393">
        <v>27</v>
      </c>
      <c r="G1393" t="s">
        <v>11</v>
      </c>
      <c r="H1393" t="s">
        <v>12</v>
      </c>
      <c r="I1393" t="s">
        <v>59</v>
      </c>
      <c r="J1393" t="s">
        <v>73</v>
      </c>
      <c r="K1393" t="s">
        <v>64</v>
      </c>
      <c r="L1393">
        <v>3</v>
      </c>
      <c r="M1393" s="12">
        <v>120</v>
      </c>
      <c r="N1393" s="12">
        <v>81.599999999999994</v>
      </c>
      <c r="O1393">
        <v>4</v>
      </c>
      <c r="P1393" s="12">
        <v>345.59999999999997</v>
      </c>
      <c r="Q1393" s="12">
        <v>244.79999999999998</v>
      </c>
      <c r="R1393" s="12">
        <v>100.79999999999998</v>
      </c>
      <c r="S1393" t="s">
        <v>1246</v>
      </c>
      <c r="T1393" t="s">
        <v>109</v>
      </c>
      <c r="U1393" t="s">
        <v>1211</v>
      </c>
    </row>
    <row r="1394" spans="1:21" x14ac:dyDescent="0.25">
      <c r="A1394" t="s">
        <v>3336</v>
      </c>
      <c r="B1394" s="8">
        <v>46011</v>
      </c>
      <c r="C1394" t="s">
        <v>2551</v>
      </c>
      <c r="D1394" t="s">
        <v>541</v>
      </c>
      <c r="E1394" t="s">
        <v>198</v>
      </c>
      <c r="F1394">
        <v>22</v>
      </c>
      <c r="G1394" t="s">
        <v>14</v>
      </c>
      <c r="H1394" t="s">
        <v>15</v>
      </c>
      <c r="I1394" t="s">
        <v>47</v>
      </c>
      <c r="J1394" t="s">
        <v>52</v>
      </c>
      <c r="K1394" t="s">
        <v>43</v>
      </c>
      <c r="L1394">
        <v>2</v>
      </c>
      <c r="M1394" s="12">
        <v>42999</v>
      </c>
      <c r="N1394" s="12">
        <v>33539.22</v>
      </c>
      <c r="O1394">
        <v>17</v>
      </c>
      <c r="P1394" s="12">
        <v>71378.34</v>
      </c>
      <c r="Q1394" s="12">
        <v>67078.44</v>
      </c>
      <c r="R1394" s="12">
        <v>4299.8999999999942</v>
      </c>
      <c r="S1394" t="s">
        <v>1246</v>
      </c>
      <c r="T1394" t="s">
        <v>108</v>
      </c>
      <c r="U1394" t="s">
        <v>1201</v>
      </c>
    </row>
    <row r="1395" spans="1:21" x14ac:dyDescent="0.25">
      <c r="A1395" t="s">
        <v>3337</v>
      </c>
      <c r="B1395" s="8">
        <v>45901</v>
      </c>
      <c r="C1395" t="s">
        <v>4617</v>
      </c>
      <c r="D1395" t="s">
        <v>617</v>
      </c>
      <c r="E1395" t="s">
        <v>198</v>
      </c>
      <c r="F1395">
        <v>42</v>
      </c>
      <c r="G1395" t="s">
        <v>16</v>
      </c>
      <c r="H1395" t="s">
        <v>15</v>
      </c>
      <c r="I1395" t="s">
        <v>45</v>
      </c>
      <c r="J1395" t="s">
        <v>46</v>
      </c>
      <c r="K1395" t="s">
        <v>43</v>
      </c>
      <c r="L1395">
        <v>3</v>
      </c>
      <c r="M1395" s="12">
        <v>11999</v>
      </c>
      <c r="N1395" s="12">
        <v>8999.25</v>
      </c>
      <c r="O1395">
        <v>10</v>
      </c>
      <c r="P1395" s="12">
        <v>32397.3</v>
      </c>
      <c r="Q1395" s="12">
        <v>26997.75</v>
      </c>
      <c r="R1395" s="12">
        <v>5399.5499999999993</v>
      </c>
      <c r="S1395" t="s">
        <v>1246</v>
      </c>
      <c r="T1395" t="s">
        <v>108</v>
      </c>
      <c r="U1395" t="s">
        <v>1199</v>
      </c>
    </row>
    <row r="1396" spans="1:21" x14ac:dyDescent="0.25">
      <c r="A1396" t="s">
        <v>3339</v>
      </c>
      <c r="B1396" s="8">
        <v>45802</v>
      </c>
      <c r="C1396" t="s">
        <v>3993</v>
      </c>
      <c r="D1396" t="s">
        <v>1192</v>
      </c>
      <c r="E1396" t="s">
        <v>218</v>
      </c>
      <c r="F1396">
        <v>59</v>
      </c>
      <c r="G1396" t="s">
        <v>14</v>
      </c>
      <c r="H1396" t="s">
        <v>15</v>
      </c>
      <c r="I1396" t="s">
        <v>42</v>
      </c>
      <c r="J1396" t="s">
        <v>44</v>
      </c>
      <c r="K1396" t="s">
        <v>43</v>
      </c>
      <c r="L1396">
        <v>3</v>
      </c>
      <c r="M1396" s="12">
        <v>8999</v>
      </c>
      <c r="N1396" s="12">
        <v>6479.28</v>
      </c>
      <c r="O1396">
        <v>4</v>
      </c>
      <c r="P1396" s="12">
        <v>25917.119999999999</v>
      </c>
      <c r="Q1396" s="12">
        <v>19437.84</v>
      </c>
      <c r="R1396" s="12">
        <v>6479.2799999999988</v>
      </c>
      <c r="S1396" t="s">
        <v>1246</v>
      </c>
      <c r="T1396" t="s">
        <v>107</v>
      </c>
      <c r="U1396" t="s">
        <v>1199</v>
      </c>
    </row>
    <row r="1397" spans="1:21" x14ac:dyDescent="0.25">
      <c r="A1397" t="s">
        <v>3340</v>
      </c>
      <c r="B1397" s="8">
        <v>45780</v>
      </c>
      <c r="C1397" t="s">
        <v>2333</v>
      </c>
      <c r="D1397" t="s">
        <v>937</v>
      </c>
      <c r="E1397" t="s">
        <v>218</v>
      </c>
      <c r="F1397">
        <v>31</v>
      </c>
      <c r="G1397" t="s">
        <v>14</v>
      </c>
      <c r="H1397" t="s">
        <v>15</v>
      </c>
      <c r="I1397" t="s">
        <v>40</v>
      </c>
      <c r="J1397" t="s">
        <v>39</v>
      </c>
      <c r="K1397" t="s">
        <v>22</v>
      </c>
      <c r="L1397">
        <v>5</v>
      </c>
      <c r="M1397" s="12">
        <v>1100</v>
      </c>
      <c r="N1397" s="12">
        <v>715</v>
      </c>
      <c r="O1397">
        <v>5</v>
      </c>
      <c r="P1397" s="12">
        <v>5225</v>
      </c>
      <c r="Q1397" s="12">
        <v>3575</v>
      </c>
      <c r="R1397" s="12">
        <v>1650</v>
      </c>
      <c r="S1397" t="s">
        <v>1246</v>
      </c>
      <c r="T1397" t="s">
        <v>109</v>
      </c>
      <c r="U1397" t="s">
        <v>1207</v>
      </c>
    </row>
    <row r="1398" spans="1:21" x14ac:dyDescent="0.25">
      <c r="A1398" t="s">
        <v>3342</v>
      </c>
      <c r="B1398" s="8">
        <v>46005</v>
      </c>
      <c r="C1398" t="s">
        <v>4654</v>
      </c>
      <c r="D1398" t="s">
        <v>943</v>
      </c>
      <c r="E1398" t="s">
        <v>198</v>
      </c>
      <c r="F1398">
        <v>23</v>
      </c>
      <c r="G1398" t="s">
        <v>16</v>
      </c>
      <c r="H1398" t="s">
        <v>15</v>
      </c>
      <c r="I1398" t="s">
        <v>55</v>
      </c>
      <c r="J1398" t="s">
        <v>65</v>
      </c>
      <c r="K1398" t="s">
        <v>64</v>
      </c>
      <c r="L1398">
        <v>1</v>
      </c>
      <c r="M1398" s="12">
        <v>80</v>
      </c>
      <c r="N1398" s="12">
        <v>56</v>
      </c>
      <c r="O1398">
        <v>4</v>
      </c>
      <c r="P1398" s="12">
        <v>76.8</v>
      </c>
      <c r="Q1398" s="12">
        <v>56</v>
      </c>
      <c r="R1398" s="12">
        <v>20.799999999999997</v>
      </c>
      <c r="S1398" t="s">
        <v>1246</v>
      </c>
      <c r="T1398" t="s">
        <v>107</v>
      </c>
      <c r="U1398" t="s">
        <v>1201</v>
      </c>
    </row>
    <row r="1399" spans="1:21" x14ac:dyDescent="0.25">
      <c r="A1399" t="s">
        <v>3343</v>
      </c>
      <c r="B1399" s="8">
        <v>45983</v>
      </c>
      <c r="C1399" t="s">
        <v>2748</v>
      </c>
      <c r="D1399" t="s">
        <v>834</v>
      </c>
      <c r="E1399" t="s">
        <v>198</v>
      </c>
      <c r="F1399">
        <v>65</v>
      </c>
      <c r="G1399" t="s">
        <v>4</v>
      </c>
      <c r="H1399" t="s">
        <v>3</v>
      </c>
      <c r="I1399" t="s">
        <v>24</v>
      </c>
      <c r="J1399" t="s">
        <v>25</v>
      </c>
      <c r="K1399" t="s">
        <v>22</v>
      </c>
      <c r="L1399">
        <v>3</v>
      </c>
      <c r="M1399" s="12">
        <v>35800</v>
      </c>
      <c r="N1399" s="12">
        <v>28640</v>
      </c>
      <c r="O1399">
        <v>10</v>
      </c>
      <c r="P1399" s="12">
        <v>96660</v>
      </c>
      <c r="Q1399" s="12">
        <v>85920</v>
      </c>
      <c r="R1399" s="12">
        <v>10740</v>
      </c>
      <c r="S1399" t="s">
        <v>1246</v>
      </c>
      <c r="T1399" t="s">
        <v>111</v>
      </c>
      <c r="U1399" t="s">
        <v>1198</v>
      </c>
    </row>
    <row r="1400" spans="1:21" x14ac:dyDescent="0.25">
      <c r="A1400" t="s">
        <v>3344</v>
      </c>
      <c r="B1400" s="8">
        <v>45662</v>
      </c>
      <c r="C1400" t="s">
        <v>3414</v>
      </c>
      <c r="D1400" t="s">
        <v>1019</v>
      </c>
      <c r="E1400" t="s">
        <v>198</v>
      </c>
      <c r="F1400">
        <v>55</v>
      </c>
      <c r="G1400" t="s">
        <v>2</v>
      </c>
      <c r="H1400" t="s">
        <v>3</v>
      </c>
      <c r="I1400" t="s">
        <v>55</v>
      </c>
      <c r="J1400" t="s">
        <v>65</v>
      </c>
      <c r="K1400" t="s">
        <v>64</v>
      </c>
      <c r="L1400">
        <v>5</v>
      </c>
      <c r="M1400" s="12">
        <v>80</v>
      </c>
      <c r="N1400" s="12">
        <v>56</v>
      </c>
      <c r="O1400">
        <v>15</v>
      </c>
      <c r="P1400" s="12">
        <v>340</v>
      </c>
      <c r="Q1400" s="12">
        <v>280</v>
      </c>
      <c r="R1400" s="12">
        <v>60</v>
      </c>
      <c r="S1400" t="s">
        <v>113</v>
      </c>
      <c r="T1400" t="s">
        <v>108</v>
      </c>
      <c r="U1400" t="s">
        <v>1199</v>
      </c>
    </row>
    <row r="1401" spans="1:21" x14ac:dyDescent="0.25">
      <c r="A1401" t="s">
        <v>3345</v>
      </c>
      <c r="B1401" s="8">
        <v>45833</v>
      </c>
      <c r="C1401" t="s">
        <v>1555</v>
      </c>
      <c r="D1401" t="s">
        <v>968</v>
      </c>
      <c r="E1401" t="s">
        <v>218</v>
      </c>
      <c r="F1401">
        <v>63</v>
      </c>
      <c r="G1401" t="s">
        <v>16</v>
      </c>
      <c r="H1401" t="s">
        <v>15</v>
      </c>
      <c r="I1401" t="s">
        <v>63</v>
      </c>
      <c r="J1401" t="s">
        <v>77</v>
      </c>
      <c r="K1401" t="s">
        <v>64</v>
      </c>
      <c r="L1401">
        <v>1</v>
      </c>
      <c r="M1401" s="12">
        <v>650</v>
      </c>
      <c r="N1401" s="12">
        <v>468</v>
      </c>
      <c r="O1401">
        <v>12</v>
      </c>
      <c r="P1401" s="12">
        <v>572</v>
      </c>
      <c r="Q1401" s="12">
        <v>468</v>
      </c>
      <c r="R1401" s="12">
        <v>104</v>
      </c>
      <c r="S1401" t="s">
        <v>1246</v>
      </c>
      <c r="T1401" t="s">
        <v>110</v>
      </c>
      <c r="U1401" t="s">
        <v>1207</v>
      </c>
    </row>
    <row r="1402" spans="1:21" x14ac:dyDescent="0.25">
      <c r="A1402" t="s">
        <v>3346</v>
      </c>
      <c r="B1402" s="8">
        <v>45920</v>
      </c>
      <c r="C1402" t="s">
        <v>2324</v>
      </c>
      <c r="D1402" t="s">
        <v>1130</v>
      </c>
      <c r="E1402" t="s">
        <v>198</v>
      </c>
      <c r="F1402">
        <v>34</v>
      </c>
      <c r="G1402" t="s">
        <v>17</v>
      </c>
      <c r="H1402" t="s">
        <v>15</v>
      </c>
      <c r="I1402" t="s">
        <v>59</v>
      </c>
      <c r="J1402" t="s">
        <v>73</v>
      </c>
      <c r="K1402" t="s">
        <v>64</v>
      </c>
      <c r="L1402">
        <v>3</v>
      </c>
      <c r="M1402" s="12">
        <v>120</v>
      </c>
      <c r="N1402" s="12">
        <v>81.599999999999994</v>
      </c>
      <c r="O1402">
        <v>0</v>
      </c>
      <c r="P1402" s="12">
        <v>360</v>
      </c>
      <c r="Q1402" s="12">
        <v>244.79999999999998</v>
      </c>
      <c r="R1402" s="12">
        <v>115.20000000000002</v>
      </c>
      <c r="S1402" t="s">
        <v>1246</v>
      </c>
      <c r="T1402" t="s">
        <v>110</v>
      </c>
      <c r="U1402" t="s">
        <v>1211</v>
      </c>
    </row>
    <row r="1403" spans="1:21" x14ac:dyDescent="0.25">
      <c r="A1403" t="s">
        <v>3348</v>
      </c>
      <c r="B1403" s="8">
        <v>45835</v>
      </c>
      <c r="C1403" t="s">
        <v>2129</v>
      </c>
      <c r="D1403" t="s">
        <v>368</v>
      </c>
      <c r="E1403" t="s">
        <v>198</v>
      </c>
      <c r="F1403">
        <v>40</v>
      </c>
      <c r="G1403" t="s">
        <v>16</v>
      </c>
      <c r="H1403" t="s">
        <v>15</v>
      </c>
      <c r="I1403" t="s">
        <v>53</v>
      </c>
      <c r="J1403" t="s">
        <v>48</v>
      </c>
      <c r="K1403" t="s">
        <v>43</v>
      </c>
      <c r="L1403">
        <v>1</v>
      </c>
      <c r="M1403" s="12">
        <v>6499</v>
      </c>
      <c r="N1403" s="12">
        <v>4549.2999999999993</v>
      </c>
      <c r="O1403">
        <v>5</v>
      </c>
      <c r="P1403" s="12">
        <v>6174.0499999999993</v>
      </c>
      <c r="Q1403" s="12">
        <v>4549.2999999999993</v>
      </c>
      <c r="R1403" s="12">
        <v>1624.75</v>
      </c>
      <c r="S1403" t="s">
        <v>1246</v>
      </c>
      <c r="T1403" t="s">
        <v>110</v>
      </c>
      <c r="U1403" t="s">
        <v>1199</v>
      </c>
    </row>
    <row r="1404" spans="1:21" x14ac:dyDescent="0.25">
      <c r="A1404" t="s">
        <v>3349</v>
      </c>
      <c r="B1404" s="8">
        <v>45696</v>
      </c>
      <c r="C1404" t="s">
        <v>2167</v>
      </c>
      <c r="D1404" t="s">
        <v>569</v>
      </c>
      <c r="E1404" t="s">
        <v>218</v>
      </c>
      <c r="F1404">
        <v>21</v>
      </c>
      <c r="G1404" t="s">
        <v>14</v>
      </c>
      <c r="H1404" t="s">
        <v>15</v>
      </c>
      <c r="I1404" t="s">
        <v>38</v>
      </c>
      <c r="J1404" t="s">
        <v>37</v>
      </c>
      <c r="K1404" t="s">
        <v>22</v>
      </c>
      <c r="L1404">
        <v>2</v>
      </c>
      <c r="M1404" s="12">
        <v>1650</v>
      </c>
      <c r="N1404" s="12">
        <v>990</v>
      </c>
      <c r="O1404">
        <v>8</v>
      </c>
      <c r="P1404" s="12">
        <v>3036</v>
      </c>
      <c r="Q1404" s="12">
        <v>1980</v>
      </c>
      <c r="R1404" s="12">
        <v>1056</v>
      </c>
      <c r="S1404" t="s">
        <v>1249</v>
      </c>
      <c r="T1404" t="s">
        <v>107</v>
      </c>
      <c r="U1404" t="s">
        <v>1198</v>
      </c>
    </row>
    <row r="1405" spans="1:21" x14ac:dyDescent="0.25">
      <c r="A1405" t="s">
        <v>3350</v>
      </c>
      <c r="B1405" s="8">
        <v>46001</v>
      </c>
      <c r="C1405" t="s">
        <v>4780</v>
      </c>
      <c r="D1405" t="s">
        <v>1056</v>
      </c>
      <c r="E1405" t="s">
        <v>218</v>
      </c>
      <c r="F1405">
        <v>31</v>
      </c>
      <c r="G1405" t="s">
        <v>10</v>
      </c>
      <c r="H1405" t="s">
        <v>8</v>
      </c>
      <c r="I1405" t="s">
        <v>24</v>
      </c>
      <c r="J1405" t="s">
        <v>25</v>
      </c>
      <c r="K1405" t="s">
        <v>22</v>
      </c>
      <c r="L1405">
        <v>4</v>
      </c>
      <c r="M1405" s="12">
        <v>35800</v>
      </c>
      <c r="N1405" s="12">
        <v>28640</v>
      </c>
      <c r="O1405">
        <v>15</v>
      </c>
      <c r="P1405" s="12">
        <v>121720</v>
      </c>
      <c r="Q1405" s="12">
        <v>114560</v>
      </c>
      <c r="R1405" s="12">
        <v>7160</v>
      </c>
      <c r="S1405" t="s">
        <v>1246</v>
      </c>
      <c r="T1405" t="s">
        <v>111</v>
      </c>
      <c r="U1405" t="s">
        <v>1201</v>
      </c>
    </row>
    <row r="1406" spans="1:21" x14ac:dyDescent="0.25">
      <c r="A1406" t="s">
        <v>3351</v>
      </c>
      <c r="B1406" s="8">
        <v>45977</v>
      </c>
      <c r="C1406" t="s">
        <v>1335</v>
      </c>
      <c r="D1406" t="s">
        <v>521</v>
      </c>
      <c r="E1406" t="s">
        <v>218</v>
      </c>
      <c r="F1406">
        <v>59</v>
      </c>
      <c r="G1406" t="s">
        <v>9</v>
      </c>
      <c r="H1406" t="s">
        <v>8</v>
      </c>
      <c r="I1406" t="s">
        <v>63</v>
      </c>
      <c r="J1406" t="s">
        <v>77</v>
      </c>
      <c r="K1406" t="s">
        <v>64</v>
      </c>
      <c r="L1406">
        <v>3</v>
      </c>
      <c r="M1406" s="12">
        <v>650</v>
      </c>
      <c r="N1406" s="12">
        <v>468</v>
      </c>
      <c r="O1406">
        <v>3</v>
      </c>
      <c r="P1406" s="12">
        <v>1891.5</v>
      </c>
      <c r="Q1406" s="12">
        <v>1404</v>
      </c>
      <c r="R1406" s="12">
        <v>487.5</v>
      </c>
      <c r="S1406" t="s">
        <v>1246</v>
      </c>
      <c r="T1406" t="s">
        <v>108</v>
      </c>
      <c r="U1406" t="s">
        <v>1194</v>
      </c>
    </row>
    <row r="1407" spans="1:21" x14ac:dyDescent="0.25">
      <c r="A1407" t="s">
        <v>3352</v>
      </c>
      <c r="B1407" s="8">
        <v>45835</v>
      </c>
      <c r="C1407" t="s">
        <v>1396</v>
      </c>
      <c r="D1407" t="s">
        <v>1153</v>
      </c>
      <c r="E1407" t="s">
        <v>218</v>
      </c>
      <c r="F1407">
        <v>49</v>
      </c>
      <c r="G1407" t="s">
        <v>10</v>
      </c>
      <c r="H1407" t="s">
        <v>8</v>
      </c>
      <c r="I1407" t="s">
        <v>61</v>
      </c>
      <c r="J1407" t="s">
        <v>146</v>
      </c>
      <c r="K1407" t="s">
        <v>64</v>
      </c>
      <c r="L1407">
        <v>5</v>
      </c>
      <c r="M1407" s="12">
        <v>250</v>
      </c>
      <c r="N1407" s="12">
        <v>155</v>
      </c>
      <c r="O1407">
        <v>12</v>
      </c>
      <c r="P1407" s="12">
        <v>1100</v>
      </c>
      <c r="Q1407" s="12">
        <v>775</v>
      </c>
      <c r="R1407" s="12">
        <v>325</v>
      </c>
      <c r="S1407" t="s">
        <v>1249</v>
      </c>
      <c r="T1407" t="s">
        <v>109</v>
      </c>
      <c r="U1407" t="s">
        <v>1205</v>
      </c>
    </row>
    <row r="1408" spans="1:21" x14ac:dyDescent="0.25">
      <c r="A1408" t="s">
        <v>3353</v>
      </c>
      <c r="B1408" s="8">
        <v>45971</v>
      </c>
      <c r="C1408" t="s">
        <v>5093</v>
      </c>
      <c r="D1408" t="s">
        <v>638</v>
      </c>
      <c r="E1408" t="s">
        <v>218</v>
      </c>
      <c r="F1408">
        <v>46</v>
      </c>
      <c r="G1408" t="s">
        <v>289</v>
      </c>
      <c r="H1408" t="s">
        <v>3</v>
      </c>
      <c r="I1408" t="s">
        <v>28</v>
      </c>
      <c r="J1408" t="s">
        <v>35</v>
      </c>
      <c r="K1408" t="s">
        <v>22</v>
      </c>
      <c r="L1408">
        <v>3</v>
      </c>
      <c r="M1408" s="12">
        <v>16499</v>
      </c>
      <c r="N1408" s="12">
        <v>14519.12</v>
      </c>
      <c r="O1408">
        <v>16</v>
      </c>
      <c r="P1408" s="12">
        <v>41577.479999999996</v>
      </c>
      <c r="Q1408" s="12">
        <v>43557.36</v>
      </c>
      <c r="R1408" s="12">
        <v>-1979.8800000000047</v>
      </c>
      <c r="S1408" t="s">
        <v>113</v>
      </c>
      <c r="T1408" t="s">
        <v>110</v>
      </c>
      <c r="U1408" t="s">
        <v>1194</v>
      </c>
    </row>
    <row r="1409" spans="1:21" x14ac:dyDescent="0.25">
      <c r="A1409" t="s">
        <v>3354</v>
      </c>
      <c r="B1409" s="8">
        <v>45870</v>
      </c>
      <c r="C1409" t="s">
        <v>2407</v>
      </c>
      <c r="D1409" t="s">
        <v>1146</v>
      </c>
      <c r="E1409" t="s">
        <v>218</v>
      </c>
      <c r="F1409">
        <v>18</v>
      </c>
      <c r="G1409" t="s">
        <v>10</v>
      </c>
      <c r="H1409" t="s">
        <v>8</v>
      </c>
      <c r="I1409" t="s">
        <v>51</v>
      </c>
      <c r="J1409" t="s">
        <v>54</v>
      </c>
      <c r="K1409" t="s">
        <v>43</v>
      </c>
      <c r="L1409">
        <v>2</v>
      </c>
      <c r="M1409" s="12">
        <v>27499</v>
      </c>
      <c r="N1409" s="12">
        <v>21724.210000000003</v>
      </c>
      <c r="O1409">
        <v>10</v>
      </c>
      <c r="P1409" s="12">
        <v>49498.200000000004</v>
      </c>
      <c r="Q1409" s="12">
        <v>43448.420000000006</v>
      </c>
      <c r="R1409" s="12">
        <v>6049.7799999999988</v>
      </c>
      <c r="S1409" t="s">
        <v>1246</v>
      </c>
      <c r="T1409" t="s">
        <v>107</v>
      </c>
      <c r="U1409" t="s">
        <v>1205</v>
      </c>
    </row>
    <row r="1410" spans="1:21" x14ac:dyDescent="0.25">
      <c r="A1410" t="s">
        <v>3355</v>
      </c>
      <c r="B1410" s="8">
        <v>45664</v>
      </c>
      <c r="C1410" t="s">
        <v>1991</v>
      </c>
      <c r="D1410" t="s">
        <v>856</v>
      </c>
      <c r="E1410" t="s">
        <v>218</v>
      </c>
      <c r="F1410">
        <v>34</v>
      </c>
      <c r="G1410" t="s">
        <v>290</v>
      </c>
      <c r="H1410" t="s">
        <v>3</v>
      </c>
      <c r="I1410" t="s">
        <v>21</v>
      </c>
      <c r="J1410" t="s">
        <v>23</v>
      </c>
      <c r="K1410" t="s">
        <v>22</v>
      </c>
      <c r="L1410">
        <v>2</v>
      </c>
      <c r="M1410" s="12">
        <v>54999</v>
      </c>
      <c r="N1410" s="12">
        <v>45099.18</v>
      </c>
      <c r="O1410">
        <v>7</v>
      </c>
      <c r="P1410" s="12">
        <v>102298.14</v>
      </c>
      <c r="Q1410" s="12">
        <v>90198.36</v>
      </c>
      <c r="R1410" s="12">
        <v>12099.779999999999</v>
      </c>
      <c r="S1410" t="s">
        <v>1246</v>
      </c>
      <c r="T1410" t="s">
        <v>109</v>
      </c>
      <c r="U1410" t="s">
        <v>1201</v>
      </c>
    </row>
    <row r="1411" spans="1:21" x14ac:dyDescent="0.25">
      <c r="A1411" t="s">
        <v>3356</v>
      </c>
      <c r="B1411" s="8">
        <v>45940</v>
      </c>
      <c r="C1411" t="s">
        <v>1979</v>
      </c>
      <c r="D1411" t="s">
        <v>1033</v>
      </c>
      <c r="E1411" t="s">
        <v>218</v>
      </c>
      <c r="F1411">
        <v>57</v>
      </c>
      <c r="G1411" t="s">
        <v>2</v>
      </c>
      <c r="H1411" t="s">
        <v>3</v>
      </c>
      <c r="I1411" t="s">
        <v>59</v>
      </c>
      <c r="J1411" t="s">
        <v>73</v>
      </c>
      <c r="K1411" t="s">
        <v>64</v>
      </c>
      <c r="L1411">
        <v>3</v>
      </c>
      <c r="M1411" s="12">
        <v>120</v>
      </c>
      <c r="N1411" s="12">
        <v>81.599999999999994</v>
      </c>
      <c r="O1411">
        <v>0</v>
      </c>
      <c r="P1411" s="12">
        <v>360</v>
      </c>
      <c r="Q1411" s="12">
        <v>244.79999999999998</v>
      </c>
      <c r="R1411" s="12">
        <v>115.20000000000002</v>
      </c>
      <c r="S1411" t="s">
        <v>1246</v>
      </c>
      <c r="T1411" t="s">
        <v>107</v>
      </c>
      <c r="U1411" t="s">
        <v>1194</v>
      </c>
    </row>
    <row r="1412" spans="1:21" x14ac:dyDescent="0.25">
      <c r="A1412" t="s">
        <v>3358</v>
      </c>
      <c r="B1412" s="8">
        <v>45960</v>
      </c>
      <c r="C1412" t="s">
        <v>3373</v>
      </c>
      <c r="D1412" t="s">
        <v>466</v>
      </c>
      <c r="E1412" t="s">
        <v>198</v>
      </c>
      <c r="F1412">
        <v>49</v>
      </c>
      <c r="G1412" t="s">
        <v>7</v>
      </c>
      <c r="H1412" t="s">
        <v>8</v>
      </c>
      <c r="I1412" t="s">
        <v>24</v>
      </c>
      <c r="J1412" t="s">
        <v>25</v>
      </c>
      <c r="K1412" t="s">
        <v>22</v>
      </c>
      <c r="L1412">
        <v>5</v>
      </c>
      <c r="M1412" s="12">
        <v>35800</v>
      </c>
      <c r="N1412" s="12">
        <v>28640</v>
      </c>
      <c r="O1412">
        <v>5</v>
      </c>
      <c r="P1412" s="12">
        <v>170050</v>
      </c>
      <c r="Q1412" s="12">
        <v>143200</v>
      </c>
      <c r="R1412" s="12">
        <v>26850</v>
      </c>
      <c r="S1412" t="s">
        <v>1246</v>
      </c>
      <c r="T1412" t="s">
        <v>110</v>
      </c>
      <c r="U1412" t="s">
        <v>1194</v>
      </c>
    </row>
    <row r="1413" spans="1:21" x14ac:dyDescent="0.25">
      <c r="A1413" t="s">
        <v>3360</v>
      </c>
      <c r="B1413" s="8">
        <v>45903</v>
      </c>
      <c r="C1413" t="s">
        <v>5100</v>
      </c>
      <c r="D1413" t="s">
        <v>914</v>
      </c>
      <c r="E1413" t="s">
        <v>218</v>
      </c>
      <c r="F1413">
        <v>30</v>
      </c>
      <c r="G1413" t="s">
        <v>289</v>
      </c>
      <c r="H1413" t="s">
        <v>3</v>
      </c>
      <c r="I1413" t="s">
        <v>21</v>
      </c>
      <c r="J1413" t="s">
        <v>23</v>
      </c>
      <c r="K1413" t="s">
        <v>22</v>
      </c>
      <c r="L1413">
        <v>1</v>
      </c>
      <c r="M1413" s="12">
        <v>54999</v>
      </c>
      <c r="N1413" s="12">
        <v>45099.18</v>
      </c>
      <c r="O1413">
        <v>4</v>
      </c>
      <c r="P1413" s="12">
        <v>52799.040000000001</v>
      </c>
      <c r="Q1413" s="12">
        <v>45099.18</v>
      </c>
      <c r="R1413" s="12">
        <v>7699.8600000000006</v>
      </c>
      <c r="S1413" t="s">
        <v>113</v>
      </c>
      <c r="T1413" t="s">
        <v>107</v>
      </c>
      <c r="U1413" t="s">
        <v>1203</v>
      </c>
    </row>
    <row r="1414" spans="1:21" x14ac:dyDescent="0.25">
      <c r="A1414" t="s">
        <v>3361</v>
      </c>
      <c r="B1414" s="8">
        <v>45693</v>
      </c>
      <c r="C1414" t="s">
        <v>2539</v>
      </c>
      <c r="D1414" t="s">
        <v>417</v>
      </c>
      <c r="E1414" t="s">
        <v>198</v>
      </c>
      <c r="F1414">
        <v>20</v>
      </c>
      <c r="G1414" t="s">
        <v>290</v>
      </c>
      <c r="H1414" t="s">
        <v>3</v>
      </c>
      <c r="I1414" t="s">
        <v>55</v>
      </c>
      <c r="J1414" t="s">
        <v>65</v>
      </c>
      <c r="K1414" t="s">
        <v>64</v>
      </c>
      <c r="L1414">
        <v>2</v>
      </c>
      <c r="M1414" s="12">
        <v>80</v>
      </c>
      <c r="N1414" s="12">
        <v>56</v>
      </c>
      <c r="O1414">
        <v>2</v>
      </c>
      <c r="P1414" s="12">
        <v>156.80000000000001</v>
      </c>
      <c r="Q1414" s="12">
        <v>112</v>
      </c>
      <c r="R1414" s="12">
        <v>44.800000000000011</v>
      </c>
      <c r="S1414" t="s">
        <v>1246</v>
      </c>
      <c r="T1414" t="s">
        <v>107</v>
      </c>
      <c r="U1414" t="s">
        <v>1199</v>
      </c>
    </row>
    <row r="1415" spans="1:21" x14ac:dyDescent="0.25">
      <c r="A1415" t="s">
        <v>3362</v>
      </c>
      <c r="B1415" s="8">
        <v>45822</v>
      </c>
      <c r="C1415" t="s">
        <v>1673</v>
      </c>
      <c r="D1415" t="s">
        <v>1064</v>
      </c>
      <c r="E1415" t="s">
        <v>198</v>
      </c>
      <c r="F1415">
        <v>51</v>
      </c>
      <c r="G1415" t="s">
        <v>17</v>
      </c>
      <c r="H1415" t="s">
        <v>15</v>
      </c>
      <c r="I1415" t="s">
        <v>57</v>
      </c>
      <c r="J1415" t="s">
        <v>67</v>
      </c>
      <c r="K1415" t="s">
        <v>64</v>
      </c>
      <c r="L1415">
        <v>1</v>
      </c>
      <c r="M1415" s="12">
        <v>150</v>
      </c>
      <c r="N1415" s="12">
        <v>97.5</v>
      </c>
      <c r="O1415">
        <v>15</v>
      </c>
      <c r="P1415" s="12">
        <v>127.5</v>
      </c>
      <c r="Q1415" s="12">
        <v>97.5</v>
      </c>
      <c r="R1415" s="12">
        <v>30</v>
      </c>
      <c r="S1415" t="s">
        <v>1246</v>
      </c>
      <c r="T1415" t="s">
        <v>107</v>
      </c>
      <c r="U1415" t="s">
        <v>1194</v>
      </c>
    </row>
    <row r="1416" spans="1:21" x14ac:dyDescent="0.25">
      <c r="A1416" t="s">
        <v>3363</v>
      </c>
      <c r="B1416" s="8">
        <v>45738</v>
      </c>
      <c r="C1416" t="s">
        <v>2660</v>
      </c>
      <c r="D1416" t="s">
        <v>555</v>
      </c>
      <c r="E1416" t="s">
        <v>218</v>
      </c>
      <c r="F1416">
        <v>48</v>
      </c>
      <c r="G1416" t="s">
        <v>16</v>
      </c>
      <c r="H1416" t="s">
        <v>15</v>
      </c>
      <c r="I1416" t="s">
        <v>51</v>
      </c>
      <c r="J1416" t="s">
        <v>54</v>
      </c>
      <c r="K1416" t="s">
        <v>43</v>
      </c>
      <c r="L1416">
        <v>4</v>
      </c>
      <c r="M1416" s="12">
        <v>27499</v>
      </c>
      <c r="N1416" s="12">
        <v>21724.210000000003</v>
      </c>
      <c r="O1416">
        <v>7</v>
      </c>
      <c r="P1416" s="12">
        <v>102296.28</v>
      </c>
      <c r="Q1416" s="12">
        <v>86896.840000000011</v>
      </c>
      <c r="R1416" s="12">
        <v>15399.439999999988</v>
      </c>
      <c r="S1416" t="s">
        <v>1246</v>
      </c>
      <c r="T1416" t="s">
        <v>108</v>
      </c>
      <c r="U1416" t="s">
        <v>1196</v>
      </c>
    </row>
    <row r="1417" spans="1:21" x14ac:dyDescent="0.25">
      <c r="A1417" t="s">
        <v>3364</v>
      </c>
      <c r="B1417" s="8">
        <v>45740</v>
      </c>
      <c r="C1417" t="s">
        <v>2377</v>
      </c>
      <c r="D1417" t="s">
        <v>585</v>
      </c>
      <c r="E1417" t="s">
        <v>218</v>
      </c>
      <c r="F1417">
        <v>39</v>
      </c>
      <c r="G1417" t="s">
        <v>9</v>
      </c>
      <c r="H1417" t="s">
        <v>8</v>
      </c>
      <c r="I1417" t="s">
        <v>38</v>
      </c>
      <c r="J1417" t="s">
        <v>37</v>
      </c>
      <c r="K1417" t="s">
        <v>22</v>
      </c>
      <c r="L1417">
        <v>5</v>
      </c>
      <c r="M1417" s="12">
        <v>1650</v>
      </c>
      <c r="N1417" s="12">
        <v>990</v>
      </c>
      <c r="O1417">
        <v>8</v>
      </c>
      <c r="P1417" s="12">
        <v>7590</v>
      </c>
      <c r="Q1417" s="12">
        <v>4950</v>
      </c>
      <c r="R1417" s="12">
        <v>2640</v>
      </c>
      <c r="S1417" t="s">
        <v>113</v>
      </c>
      <c r="T1417" t="s">
        <v>111</v>
      </c>
      <c r="U1417" t="s">
        <v>1207</v>
      </c>
    </row>
    <row r="1418" spans="1:21" x14ac:dyDescent="0.25">
      <c r="A1418" t="s">
        <v>3365</v>
      </c>
      <c r="B1418" s="8">
        <v>45839</v>
      </c>
      <c r="C1418" t="s">
        <v>1355</v>
      </c>
      <c r="D1418" t="s">
        <v>887</v>
      </c>
      <c r="E1418" t="s">
        <v>198</v>
      </c>
      <c r="F1418">
        <v>26</v>
      </c>
      <c r="G1418" t="s">
        <v>290</v>
      </c>
      <c r="H1418" t="s">
        <v>3</v>
      </c>
      <c r="I1418" t="s">
        <v>28</v>
      </c>
      <c r="J1418" t="s">
        <v>35</v>
      </c>
      <c r="K1418" t="s">
        <v>22</v>
      </c>
      <c r="L1418">
        <v>5</v>
      </c>
      <c r="M1418" s="12">
        <v>16499</v>
      </c>
      <c r="N1418" s="12">
        <v>14519.12</v>
      </c>
      <c r="O1418">
        <v>4</v>
      </c>
      <c r="P1418" s="12">
        <v>79195.199999999997</v>
      </c>
      <c r="Q1418" s="12">
        <v>72595.600000000006</v>
      </c>
      <c r="R1418" s="12">
        <v>6599.5999999999913</v>
      </c>
      <c r="S1418" t="s">
        <v>113</v>
      </c>
      <c r="T1418" t="s">
        <v>108</v>
      </c>
      <c r="U1418" t="s">
        <v>1199</v>
      </c>
    </row>
    <row r="1419" spans="1:21" x14ac:dyDescent="0.25">
      <c r="A1419" t="s">
        <v>3367</v>
      </c>
      <c r="B1419" s="8">
        <v>45749</v>
      </c>
      <c r="C1419" t="s">
        <v>2199</v>
      </c>
      <c r="D1419" t="s">
        <v>1161</v>
      </c>
      <c r="E1419" t="s">
        <v>218</v>
      </c>
      <c r="F1419">
        <v>58</v>
      </c>
      <c r="G1419" t="s">
        <v>7</v>
      </c>
      <c r="H1419" t="s">
        <v>8</v>
      </c>
      <c r="I1419" t="s">
        <v>53</v>
      </c>
      <c r="J1419" t="s">
        <v>48</v>
      </c>
      <c r="K1419" t="s">
        <v>43</v>
      </c>
      <c r="L1419">
        <v>2</v>
      </c>
      <c r="M1419" s="12">
        <v>6499</v>
      </c>
      <c r="N1419" s="12">
        <v>4549.2999999999993</v>
      </c>
      <c r="O1419">
        <v>10</v>
      </c>
      <c r="P1419" s="12">
        <v>11698.2</v>
      </c>
      <c r="Q1419" s="12">
        <v>9098.5999999999985</v>
      </c>
      <c r="R1419" s="12">
        <v>2599.6000000000022</v>
      </c>
      <c r="S1419" t="s">
        <v>113</v>
      </c>
      <c r="T1419" t="s">
        <v>107</v>
      </c>
      <c r="U1419" t="s">
        <v>1203</v>
      </c>
    </row>
    <row r="1420" spans="1:21" x14ac:dyDescent="0.25">
      <c r="A1420" t="s">
        <v>3368</v>
      </c>
      <c r="B1420" s="8">
        <v>45936</v>
      </c>
      <c r="C1420" t="s">
        <v>1440</v>
      </c>
      <c r="D1420" t="s">
        <v>979</v>
      </c>
      <c r="E1420" t="s">
        <v>218</v>
      </c>
      <c r="F1420">
        <v>23</v>
      </c>
      <c r="G1420" t="s">
        <v>289</v>
      </c>
      <c r="H1420" t="s">
        <v>3</v>
      </c>
      <c r="I1420" t="s">
        <v>45</v>
      </c>
      <c r="J1420" t="s">
        <v>46</v>
      </c>
      <c r="K1420" t="s">
        <v>43</v>
      </c>
      <c r="L1420">
        <v>5</v>
      </c>
      <c r="M1420" s="12">
        <v>11999</v>
      </c>
      <c r="N1420" s="12">
        <v>8999.25</v>
      </c>
      <c r="O1420">
        <v>8</v>
      </c>
      <c r="P1420" s="12">
        <v>55195.4</v>
      </c>
      <c r="Q1420" s="12">
        <v>44996.25</v>
      </c>
      <c r="R1420" s="12">
        <v>10199.150000000001</v>
      </c>
      <c r="S1420" t="s">
        <v>1246</v>
      </c>
      <c r="T1420" t="s">
        <v>108</v>
      </c>
      <c r="U1420" t="s">
        <v>1209</v>
      </c>
    </row>
    <row r="1421" spans="1:21" x14ac:dyDescent="0.25">
      <c r="A1421" t="s">
        <v>3370</v>
      </c>
      <c r="B1421" s="8">
        <v>45952</v>
      </c>
      <c r="C1421" t="s">
        <v>5080</v>
      </c>
      <c r="D1421" t="s">
        <v>1059</v>
      </c>
      <c r="E1421" t="s">
        <v>198</v>
      </c>
      <c r="F1421">
        <v>32</v>
      </c>
      <c r="G1421" t="s">
        <v>5</v>
      </c>
      <c r="H1421" t="s">
        <v>3</v>
      </c>
      <c r="I1421" t="s">
        <v>59</v>
      </c>
      <c r="J1421" t="s">
        <v>73</v>
      </c>
      <c r="K1421" t="s">
        <v>64</v>
      </c>
      <c r="L1421">
        <v>5</v>
      </c>
      <c r="M1421" s="12">
        <v>120</v>
      </c>
      <c r="N1421" s="12">
        <v>81.599999999999994</v>
      </c>
      <c r="O1421">
        <v>4</v>
      </c>
      <c r="P1421" s="12">
        <v>576</v>
      </c>
      <c r="Q1421" s="12">
        <v>408</v>
      </c>
      <c r="R1421" s="12">
        <v>168</v>
      </c>
      <c r="S1421" t="s">
        <v>113</v>
      </c>
      <c r="T1421" t="s">
        <v>109</v>
      </c>
      <c r="U1421" t="s">
        <v>1209</v>
      </c>
    </row>
    <row r="1422" spans="1:21" x14ac:dyDescent="0.25">
      <c r="A1422" t="s">
        <v>3371</v>
      </c>
      <c r="B1422" s="8">
        <v>45900</v>
      </c>
      <c r="C1422" t="s">
        <v>1999</v>
      </c>
      <c r="D1422" t="s">
        <v>557</v>
      </c>
      <c r="E1422" t="s">
        <v>198</v>
      </c>
      <c r="F1422">
        <v>40</v>
      </c>
      <c r="G1422" t="s">
        <v>289</v>
      </c>
      <c r="H1422" t="s">
        <v>3</v>
      </c>
      <c r="I1422" t="s">
        <v>40</v>
      </c>
      <c r="J1422" t="s">
        <v>39</v>
      </c>
      <c r="K1422" t="s">
        <v>22</v>
      </c>
      <c r="L1422">
        <v>5</v>
      </c>
      <c r="M1422" s="12">
        <v>1100</v>
      </c>
      <c r="N1422" s="12">
        <v>715</v>
      </c>
      <c r="O1422">
        <v>5</v>
      </c>
      <c r="P1422" s="12">
        <v>5225</v>
      </c>
      <c r="Q1422" s="12">
        <v>3575</v>
      </c>
      <c r="R1422" s="12">
        <v>1650</v>
      </c>
      <c r="S1422" t="s">
        <v>1246</v>
      </c>
      <c r="T1422" t="s">
        <v>107</v>
      </c>
      <c r="U1422" t="s">
        <v>1198</v>
      </c>
    </row>
    <row r="1423" spans="1:21" x14ac:dyDescent="0.25">
      <c r="A1423" t="s">
        <v>3372</v>
      </c>
      <c r="B1423" s="8">
        <v>45871</v>
      </c>
      <c r="C1423" t="s">
        <v>1287</v>
      </c>
      <c r="D1423" t="s">
        <v>394</v>
      </c>
      <c r="E1423" t="s">
        <v>218</v>
      </c>
      <c r="F1423">
        <v>59</v>
      </c>
      <c r="G1423" t="s">
        <v>10</v>
      </c>
      <c r="H1423" t="s">
        <v>8</v>
      </c>
      <c r="I1423" t="s">
        <v>51</v>
      </c>
      <c r="J1423" t="s">
        <v>54</v>
      </c>
      <c r="K1423" t="s">
        <v>43</v>
      </c>
      <c r="L1423">
        <v>1</v>
      </c>
      <c r="M1423" s="12">
        <v>27499</v>
      </c>
      <c r="N1423" s="12">
        <v>21724.210000000003</v>
      </c>
      <c r="O1423">
        <v>10</v>
      </c>
      <c r="P1423" s="12">
        <v>24749.100000000002</v>
      </c>
      <c r="Q1423" s="12">
        <v>21724.210000000003</v>
      </c>
      <c r="R1423" s="12">
        <v>3024.8899999999994</v>
      </c>
      <c r="S1423" t="s">
        <v>1246</v>
      </c>
      <c r="T1423" t="s">
        <v>107</v>
      </c>
      <c r="U1423" t="s">
        <v>1205</v>
      </c>
    </row>
    <row r="1424" spans="1:21" x14ac:dyDescent="0.25">
      <c r="A1424" t="s">
        <v>3374</v>
      </c>
      <c r="B1424" s="8">
        <v>45858</v>
      </c>
      <c r="C1424" t="s">
        <v>3274</v>
      </c>
      <c r="D1424" t="s">
        <v>1030</v>
      </c>
      <c r="E1424" t="s">
        <v>198</v>
      </c>
      <c r="F1424">
        <v>31</v>
      </c>
      <c r="G1424" t="s">
        <v>5</v>
      </c>
      <c r="H1424" t="s">
        <v>3</v>
      </c>
      <c r="I1424" t="s">
        <v>47</v>
      </c>
      <c r="J1424" t="s">
        <v>52</v>
      </c>
      <c r="K1424" t="s">
        <v>43</v>
      </c>
      <c r="L1424">
        <v>2</v>
      </c>
      <c r="M1424" s="12">
        <v>42999</v>
      </c>
      <c r="N1424" s="12">
        <v>33539.22</v>
      </c>
      <c r="O1424">
        <v>9</v>
      </c>
      <c r="P1424" s="12">
        <v>78258.180000000008</v>
      </c>
      <c r="Q1424" s="12">
        <v>67078.44</v>
      </c>
      <c r="R1424" s="12">
        <v>11179.740000000005</v>
      </c>
      <c r="S1424" t="s">
        <v>1246</v>
      </c>
      <c r="T1424" t="s">
        <v>109</v>
      </c>
      <c r="U1424" t="s">
        <v>1201</v>
      </c>
    </row>
    <row r="1425" spans="1:21" x14ac:dyDescent="0.25">
      <c r="A1425" t="s">
        <v>3376</v>
      </c>
      <c r="B1425" s="8">
        <v>45803</v>
      </c>
      <c r="C1425" t="s">
        <v>4698</v>
      </c>
      <c r="D1425" t="s">
        <v>1108</v>
      </c>
      <c r="E1425" t="s">
        <v>218</v>
      </c>
      <c r="F1425">
        <v>42</v>
      </c>
      <c r="G1425" t="s">
        <v>2</v>
      </c>
      <c r="H1425" t="s">
        <v>3</v>
      </c>
      <c r="I1425" t="s">
        <v>34</v>
      </c>
      <c r="J1425" t="s">
        <v>137</v>
      </c>
      <c r="K1425" t="s">
        <v>22</v>
      </c>
      <c r="L1425">
        <v>4</v>
      </c>
      <c r="M1425" s="12">
        <v>6900</v>
      </c>
      <c r="N1425" s="12">
        <v>5727</v>
      </c>
      <c r="O1425">
        <v>10</v>
      </c>
      <c r="P1425" s="12">
        <v>24840</v>
      </c>
      <c r="Q1425" s="12">
        <v>22908</v>
      </c>
      <c r="R1425" s="12">
        <v>1932</v>
      </c>
      <c r="S1425" t="s">
        <v>1246</v>
      </c>
      <c r="T1425" t="s">
        <v>109</v>
      </c>
      <c r="U1425" t="s">
        <v>1203</v>
      </c>
    </row>
    <row r="1426" spans="1:21" x14ac:dyDescent="0.25">
      <c r="A1426" t="s">
        <v>3377</v>
      </c>
      <c r="B1426" s="8">
        <v>46004</v>
      </c>
      <c r="C1426" t="s">
        <v>1694</v>
      </c>
      <c r="D1426" t="s">
        <v>1069</v>
      </c>
      <c r="E1426" t="s">
        <v>218</v>
      </c>
      <c r="F1426">
        <v>40</v>
      </c>
      <c r="G1426" t="s">
        <v>5</v>
      </c>
      <c r="H1426" t="s">
        <v>3</v>
      </c>
      <c r="I1426" t="s">
        <v>26</v>
      </c>
      <c r="J1426" t="s">
        <v>27</v>
      </c>
      <c r="K1426" t="s">
        <v>22</v>
      </c>
      <c r="L1426">
        <v>2</v>
      </c>
      <c r="M1426" s="12">
        <v>27499</v>
      </c>
      <c r="N1426" s="12">
        <v>23374.149999999998</v>
      </c>
      <c r="O1426">
        <v>14</v>
      </c>
      <c r="P1426" s="12">
        <v>47298.28</v>
      </c>
      <c r="Q1426" s="12">
        <v>46748.299999999996</v>
      </c>
      <c r="R1426" s="12">
        <v>549.9800000000032</v>
      </c>
      <c r="S1426" t="s">
        <v>1246</v>
      </c>
      <c r="T1426" t="s">
        <v>107</v>
      </c>
      <c r="U1426" t="s">
        <v>1199</v>
      </c>
    </row>
    <row r="1427" spans="1:21" x14ac:dyDescent="0.25">
      <c r="A1427" t="s">
        <v>3378</v>
      </c>
      <c r="B1427" s="8">
        <v>45977</v>
      </c>
      <c r="C1427" t="s">
        <v>1762</v>
      </c>
      <c r="D1427" t="s">
        <v>501</v>
      </c>
      <c r="E1427" t="s">
        <v>218</v>
      </c>
      <c r="F1427">
        <v>62</v>
      </c>
      <c r="G1427" t="s">
        <v>5</v>
      </c>
      <c r="H1427" t="s">
        <v>3</v>
      </c>
      <c r="I1427" t="s">
        <v>49</v>
      </c>
      <c r="J1427" t="s">
        <v>56</v>
      </c>
      <c r="K1427" t="s">
        <v>43</v>
      </c>
      <c r="L1427">
        <v>5</v>
      </c>
      <c r="M1427" s="12">
        <v>31999</v>
      </c>
      <c r="N1427" s="12">
        <v>25599.200000000001</v>
      </c>
      <c r="O1427">
        <v>20</v>
      </c>
      <c r="P1427" s="12">
        <v>127996</v>
      </c>
      <c r="Q1427" s="12">
        <v>127996</v>
      </c>
      <c r="R1427" s="12">
        <v>0</v>
      </c>
      <c r="S1427" t="s">
        <v>1246</v>
      </c>
      <c r="T1427" t="s">
        <v>107</v>
      </c>
      <c r="U1427" t="s">
        <v>1209</v>
      </c>
    </row>
    <row r="1428" spans="1:21" x14ac:dyDescent="0.25">
      <c r="A1428" t="s">
        <v>3379</v>
      </c>
      <c r="B1428" s="8">
        <v>46012</v>
      </c>
      <c r="C1428" t="s">
        <v>4382</v>
      </c>
      <c r="D1428" t="s">
        <v>365</v>
      </c>
      <c r="E1428" t="s">
        <v>218</v>
      </c>
      <c r="F1428">
        <v>61</v>
      </c>
      <c r="G1428" t="s">
        <v>7</v>
      </c>
      <c r="H1428" t="s">
        <v>8</v>
      </c>
      <c r="I1428" t="s">
        <v>47</v>
      </c>
      <c r="J1428" t="s">
        <v>52</v>
      </c>
      <c r="K1428" t="s">
        <v>43</v>
      </c>
      <c r="L1428">
        <v>1</v>
      </c>
      <c r="M1428" s="12">
        <v>42999</v>
      </c>
      <c r="N1428" s="12">
        <v>33539.22</v>
      </c>
      <c r="O1428">
        <v>14</v>
      </c>
      <c r="P1428" s="12">
        <v>36979.14</v>
      </c>
      <c r="Q1428" s="12">
        <v>33539.22</v>
      </c>
      <c r="R1428" s="12">
        <v>3439.9199999999983</v>
      </c>
      <c r="S1428" t="s">
        <v>1246</v>
      </c>
      <c r="T1428" t="s">
        <v>107</v>
      </c>
      <c r="U1428" t="s">
        <v>1203</v>
      </c>
    </row>
    <row r="1429" spans="1:21" x14ac:dyDescent="0.25">
      <c r="A1429" t="s">
        <v>3380</v>
      </c>
      <c r="B1429" s="8">
        <v>45852</v>
      </c>
      <c r="C1429" t="s">
        <v>1511</v>
      </c>
      <c r="D1429" t="s">
        <v>1168</v>
      </c>
      <c r="E1429" t="s">
        <v>218</v>
      </c>
      <c r="F1429">
        <v>31</v>
      </c>
      <c r="G1429" t="s">
        <v>14</v>
      </c>
      <c r="H1429" t="s">
        <v>15</v>
      </c>
      <c r="I1429" t="s">
        <v>36</v>
      </c>
      <c r="J1429" t="s">
        <v>136</v>
      </c>
      <c r="K1429" t="s">
        <v>22</v>
      </c>
      <c r="L1429">
        <v>1</v>
      </c>
      <c r="M1429" s="12">
        <v>3590</v>
      </c>
      <c r="N1429" s="12">
        <v>2333.5</v>
      </c>
      <c r="O1429">
        <v>7</v>
      </c>
      <c r="P1429" s="12">
        <v>3338.7</v>
      </c>
      <c r="Q1429" s="12">
        <v>2333.5</v>
      </c>
      <c r="R1429" s="12">
        <v>1005.1999999999998</v>
      </c>
      <c r="S1429" t="s">
        <v>1246</v>
      </c>
      <c r="T1429" t="s">
        <v>107</v>
      </c>
      <c r="U1429" t="s">
        <v>1196</v>
      </c>
    </row>
    <row r="1430" spans="1:21" x14ac:dyDescent="0.25">
      <c r="A1430" t="s">
        <v>3381</v>
      </c>
      <c r="B1430" s="8">
        <v>45925</v>
      </c>
      <c r="C1430" t="s">
        <v>4738</v>
      </c>
      <c r="D1430" t="s">
        <v>855</v>
      </c>
      <c r="E1430" t="s">
        <v>218</v>
      </c>
      <c r="F1430">
        <v>62</v>
      </c>
      <c r="G1430" t="s">
        <v>9</v>
      </c>
      <c r="H1430" t="s">
        <v>8</v>
      </c>
      <c r="I1430" t="s">
        <v>59</v>
      </c>
      <c r="J1430" t="s">
        <v>73</v>
      </c>
      <c r="K1430" t="s">
        <v>64</v>
      </c>
      <c r="L1430">
        <v>2</v>
      </c>
      <c r="M1430" s="12">
        <v>120</v>
      </c>
      <c r="N1430" s="12">
        <v>81.599999999999994</v>
      </c>
      <c r="O1430">
        <v>0</v>
      </c>
      <c r="P1430" s="12">
        <v>240</v>
      </c>
      <c r="Q1430" s="12">
        <v>163.19999999999999</v>
      </c>
      <c r="R1430" s="12">
        <v>76.800000000000011</v>
      </c>
      <c r="S1430" t="s">
        <v>113</v>
      </c>
      <c r="T1430" t="s">
        <v>109</v>
      </c>
      <c r="U1430" t="s">
        <v>1199</v>
      </c>
    </row>
    <row r="1431" spans="1:21" x14ac:dyDescent="0.25">
      <c r="A1431" t="s">
        <v>3382</v>
      </c>
      <c r="B1431" s="8">
        <v>45990</v>
      </c>
      <c r="C1431" t="s">
        <v>1368</v>
      </c>
      <c r="D1431" t="s">
        <v>602</v>
      </c>
      <c r="E1431" t="s">
        <v>198</v>
      </c>
      <c r="F1431">
        <v>51</v>
      </c>
      <c r="G1431" t="s">
        <v>14</v>
      </c>
      <c r="H1431" t="s">
        <v>15</v>
      </c>
      <c r="I1431" t="s">
        <v>32</v>
      </c>
      <c r="J1431" t="s">
        <v>29</v>
      </c>
      <c r="K1431" t="s">
        <v>22</v>
      </c>
      <c r="L1431">
        <v>1</v>
      </c>
      <c r="M1431" s="12">
        <v>9500</v>
      </c>
      <c r="N1431" s="12">
        <v>6650</v>
      </c>
      <c r="O1431">
        <v>14</v>
      </c>
      <c r="P1431" s="12">
        <v>8170</v>
      </c>
      <c r="Q1431" s="12">
        <v>6650</v>
      </c>
      <c r="R1431" s="12">
        <v>1520</v>
      </c>
      <c r="S1431" t="s">
        <v>1246</v>
      </c>
      <c r="T1431" t="s">
        <v>110</v>
      </c>
      <c r="U1431" t="s">
        <v>1199</v>
      </c>
    </row>
    <row r="1432" spans="1:21" x14ac:dyDescent="0.25">
      <c r="A1432" t="s">
        <v>3383</v>
      </c>
      <c r="B1432" s="8">
        <v>45732</v>
      </c>
      <c r="C1432" t="s">
        <v>1458</v>
      </c>
      <c r="D1432" t="s">
        <v>1038</v>
      </c>
      <c r="E1432" t="s">
        <v>198</v>
      </c>
      <c r="F1432">
        <v>61</v>
      </c>
      <c r="G1432" t="s">
        <v>17</v>
      </c>
      <c r="H1432" t="s">
        <v>15</v>
      </c>
      <c r="I1432" t="s">
        <v>59</v>
      </c>
      <c r="J1432" t="s">
        <v>73</v>
      </c>
      <c r="K1432" t="s">
        <v>64</v>
      </c>
      <c r="L1432">
        <v>4</v>
      </c>
      <c r="M1432" s="12">
        <v>120</v>
      </c>
      <c r="N1432" s="12">
        <v>81.599999999999994</v>
      </c>
      <c r="O1432">
        <v>0</v>
      </c>
      <c r="P1432" s="12">
        <v>480</v>
      </c>
      <c r="Q1432" s="12">
        <v>326.39999999999998</v>
      </c>
      <c r="R1432" s="12">
        <v>153.60000000000002</v>
      </c>
      <c r="S1432" t="s">
        <v>1246</v>
      </c>
      <c r="T1432" t="s">
        <v>107</v>
      </c>
      <c r="U1432" t="s">
        <v>1194</v>
      </c>
    </row>
    <row r="1433" spans="1:21" x14ac:dyDescent="0.25">
      <c r="A1433" t="s">
        <v>3384</v>
      </c>
      <c r="B1433" s="8">
        <v>45711</v>
      </c>
      <c r="C1433" t="s">
        <v>1783</v>
      </c>
      <c r="D1433" t="s">
        <v>441</v>
      </c>
      <c r="E1433" t="s">
        <v>198</v>
      </c>
      <c r="F1433">
        <v>22</v>
      </c>
      <c r="G1433" t="s">
        <v>5</v>
      </c>
      <c r="H1433" t="s">
        <v>3</v>
      </c>
      <c r="I1433" t="s">
        <v>53</v>
      </c>
      <c r="J1433" t="s">
        <v>48</v>
      </c>
      <c r="K1433" t="s">
        <v>43</v>
      </c>
      <c r="L1433">
        <v>4</v>
      </c>
      <c r="M1433" s="12">
        <v>6499</v>
      </c>
      <c r="N1433" s="12">
        <v>4549.2999999999993</v>
      </c>
      <c r="O1433">
        <v>10</v>
      </c>
      <c r="P1433" s="12">
        <v>23396.400000000001</v>
      </c>
      <c r="Q1433" s="12">
        <v>18197.199999999997</v>
      </c>
      <c r="R1433" s="12">
        <v>5199.2000000000044</v>
      </c>
      <c r="S1433" t="s">
        <v>113</v>
      </c>
      <c r="T1433" t="s">
        <v>107</v>
      </c>
      <c r="U1433" t="s">
        <v>1196</v>
      </c>
    </row>
    <row r="1434" spans="1:21" x14ac:dyDescent="0.25">
      <c r="A1434" t="s">
        <v>3386</v>
      </c>
      <c r="B1434" s="8">
        <v>45810</v>
      </c>
      <c r="C1434" t="s">
        <v>3429</v>
      </c>
      <c r="D1434" t="s">
        <v>530</v>
      </c>
      <c r="E1434" t="s">
        <v>218</v>
      </c>
      <c r="F1434">
        <v>52</v>
      </c>
      <c r="G1434" t="s">
        <v>11</v>
      </c>
      <c r="H1434" t="s">
        <v>12</v>
      </c>
      <c r="I1434" t="s">
        <v>32</v>
      </c>
      <c r="J1434" t="s">
        <v>29</v>
      </c>
      <c r="K1434" t="s">
        <v>22</v>
      </c>
      <c r="L1434">
        <v>2</v>
      </c>
      <c r="M1434" s="12">
        <v>9500</v>
      </c>
      <c r="N1434" s="12">
        <v>6650</v>
      </c>
      <c r="O1434">
        <v>7</v>
      </c>
      <c r="P1434" s="12">
        <v>17670</v>
      </c>
      <c r="Q1434" s="12">
        <v>13300</v>
      </c>
      <c r="R1434" s="12">
        <v>4370</v>
      </c>
      <c r="S1434" t="s">
        <v>113</v>
      </c>
      <c r="T1434" t="s">
        <v>107</v>
      </c>
      <c r="U1434" t="s">
        <v>1205</v>
      </c>
    </row>
    <row r="1435" spans="1:21" x14ac:dyDescent="0.25">
      <c r="A1435" t="s">
        <v>3387</v>
      </c>
      <c r="B1435" s="8">
        <v>45668</v>
      </c>
      <c r="C1435" t="s">
        <v>2669</v>
      </c>
      <c r="D1435" t="s">
        <v>461</v>
      </c>
      <c r="E1435" t="s">
        <v>218</v>
      </c>
      <c r="F1435">
        <v>24</v>
      </c>
      <c r="G1435" t="s">
        <v>11</v>
      </c>
      <c r="H1435" t="s">
        <v>12</v>
      </c>
      <c r="I1435" t="s">
        <v>24</v>
      </c>
      <c r="J1435" t="s">
        <v>25</v>
      </c>
      <c r="K1435" t="s">
        <v>22</v>
      </c>
      <c r="L1435">
        <v>1</v>
      </c>
      <c r="M1435" s="12">
        <v>35800</v>
      </c>
      <c r="N1435" s="12">
        <v>28640</v>
      </c>
      <c r="O1435">
        <v>8</v>
      </c>
      <c r="P1435" s="12">
        <v>32936</v>
      </c>
      <c r="Q1435" s="12">
        <v>28640</v>
      </c>
      <c r="R1435" s="12">
        <v>4296</v>
      </c>
      <c r="S1435" t="s">
        <v>113</v>
      </c>
      <c r="T1435" t="s">
        <v>108</v>
      </c>
      <c r="U1435" t="s">
        <v>1196</v>
      </c>
    </row>
    <row r="1436" spans="1:21" x14ac:dyDescent="0.25">
      <c r="A1436" t="s">
        <v>3388</v>
      </c>
      <c r="B1436" s="8">
        <v>45740</v>
      </c>
      <c r="C1436" t="s">
        <v>1640</v>
      </c>
      <c r="D1436" t="s">
        <v>1107</v>
      </c>
      <c r="E1436" t="s">
        <v>218</v>
      </c>
      <c r="F1436">
        <v>31</v>
      </c>
      <c r="G1436" t="s">
        <v>16</v>
      </c>
      <c r="H1436" t="s">
        <v>15</v>
      </c>
      <c r="I1436" t="s">
        <v>61</v>
      </c>
      <c r="J1436" t="s">
        <v>146</v>
      </c>
      <c r="K1436" t="s">
        <v>64</v>
      </c>
      <c r="L1436">
        <v>5</v>
      </c>
      <c r="M1436" s="12">
        <v>250</v>
      </c>
      <c r="N1436" s="12">
        <v>155</v>
      </c>
      <c r="O1436">
        <v>4</v>
      </c>
      <c r="P1436" s="12">
        <v>1200</v>
      </c>
      <c r="Q1436" s="12">
        <v>775</v>
      </c>
      <c r="R1436" s="12">
        <v>425</v>
      </c>
      <c r="S1436" t="s">
        <v>1246</v>
      </c>
      <c r="T1436" t="s">
        <v>107</v>
      </c>
      <c r="U1436" t="s">
        <v>1211</v>
      </c>
    </row>
    <row r="1437" spans="1:21" x14ac:dyDescent="0.25">
      <c r="A1437" t="s">
        <v>3389</v>
      </c>
      <c r="B1437" s="8">
        <v>45985</v>
      </c>
      <c r="C1437" t="s">
        <v>4539</v>
      </c>
      <c r="D1437" t="s">
        <v>1023</v>
      </c>
      <c r="E1437" t="s">
        <v>198</v>
      </c>
      <c r="F1437">
        <v>51</v>
      </c>
      <c r="G1437" t="s">
        <v>7</v>
      </c>
      <c r="H1437" t="s">
        <v>8</v>
      </c>
      <c r="I1437" t="s">
        <v>57</v>
      </c>
      <c r="J1437" t="s">
        <v>67</v>
      </c>
      <c r="K1437" t="s">
        <v>64</v>
      </c>
      <c r="L1437">
        <v>2</v>
      </c>
      <c r="M1437" s="12">
        <v>150</v>
      </c>
      <c r="N1437" s="12">
        <v>97.5</v>
      </c>
      <c r="O1437">
        <v>4</v>
      </c>
      <c r="P1437" s="12">
        <v>288</v>
      </c>
      <c r="Q1437" s="12">
        <v>195</v>
      </c>
      <c r="R1437" s="12">
        <v>93</v>
      </c>
      <c r="S1437" t="s">
        <v>1246</v>
      </c>
      <c r="T1437" t="s">
        <v>110</v>
      </c>
      <c r="U1437" t="s">
        <v>1194</v>
      </c>
    </row>
    <row r="1438" spans="1:21" x14ac:dyDescent="0.25">
      <c r="A1438" t="s">
        <v>3390</v>
      </c>
      <c r="B1438" s="8">
        <v>45839</v>
      </c>
      <c r="C1438" t="s">
        <v>5099</v>
      </c>
      <c r="D1438" t="s">
        <v>920</v>
      </c>
      <c r="E1438" t="s">
        <v>218</v>
      </c>
      <c r="F1438">
        <v>32</v>
      </c>
      <c r="G1438" t="s">
        <v>16</v>
      </c>
      <c r="H1438" t="s">
        <v>15</v>
      </c>
      <c r="I1438" t="s">
        <v>49</v>
      </c>
      <c r="J1438" t="s">
        <v>56</v>
      </c>
      <c r="K1438" t="s">
        <v>43</v>
      </c>
      <c r="L1438">
        <v>1</v>
      </c>
      <c r="M1438" s="12">
        <v>31999</v>
      </c>
      <c r="N1438" s="12">
        <v>25599.200000000001</v>
      </c>
      <c r="O1438">
        <v>10</v>
      </c>
      <c r="P1438" s="12">
        <v>28799.100000000002</v>
      </c>
      <c r="Q1438" s="12">
        <v>25599.200000000001</v>
      </c>
      <c r="R1438" s="12">
        <v>3199.9000000000015</v>
      </c>
      <c r="S1438" t="s">
        <v>1246</v>
      </c>
      <c r="T1438" t="s">
        <v>107</v>
      </c>
      <c r="U1438" t="s">
        <v>1194</v>
      </c>
    </row>
    <row r="1439" spans="1:21" x14ac:dyDescent="0.25">
      <c r="A1439" t="s">
        <v>3391</v>
      </c>
      <c r="B1439" s="8">
        <v>45938</v>
      </c>
      <c r="C1439" t="s">
        <v>3547</v>
      </c>
      <c r="D1439" t="s">
        <v>1071</v>
      </c>
      <c r="E1439" t="s">
        <v>198</v>
      </c>
      <c r="F1439">
        <v>32</v>
      </c>
      <c r="G1439" t="s">
        <v>14</v>
      </c>
      <c r="H1439" t="s">
        <v>15</v>
      </c>
      <c r="I1439" t="s">
        <v>57</v>
      </c>
      <c r="J1439" t="s">
        <v>67</v>
      </c>
      <c r="K1439" t="s">
        <v>64</v>
      </c>
      <c r="L1439">
        <v>5</v>
      </c>
      <c r="M1439" s="12">
        <v>150</v>
      </c>
      <c r="N1439" s="12">
        <v>97.5</v>
      </c>
      <c r="O1439">
        <v>5</v>
      </c>
      <c r="P1439" s="12">
        <v>712.5</v>
      </c>
      <c r="Q1439" s="12">
        <v>487.5</v>
      </c>
      <c r="R1439" s="12">
        <v>225</v>
      </c>
      <c r="S1439" t="s">
        <v>113</v>
      </c>
      <c r="T1439" t="s">
        <v>108</v>
      </c>
      <c r="U1439" t="s">
        <v>1198</v>
      </c>
    </row>
    <row r="1440" spans="1:21" x14ac:dyDescent="0.25">
      <c r="A1440" t="s">
        <v>3392</v>
      </c>
      <c r="B1440" s="8">
        <v>45947</v>
      </c>
      <c r="C1440" t="s">
        <v>1731</v>
      </c>
      <c r="D1440" t="s">
        <v>865</v>
      </c>
      <c r="E1440" t="s">
        <v>198</v>
      </c>
      <c r="F1440">
        <v>43</v>
      </c>
      <c r="G1440" t="s">
        <v>10</v>
      </c>
      <c r="H1440" t="s">
        <v>8</v>
      </c>
      <c r="I1440" t="s">
        <v>63</v>
      </c>
      <c r="J1440" t="s">
        <v>77</v>
      </c>
      <c r="K1440" t="s">
        <v>64</v>
      </c>
      <c r="L1440">
        <v>5</v>
      </c>
      <c r="M1440" s="12">
        <v>650</v>
      </c>
      <c r="N1440" s="12">
        <v>468</v>
      </c>
      <c r="O1440">
        <v>2</v>
      </c>
      <c r="P1440" s="12">
        <v>3185</v>
      </c>
      <c r="Q1440" s="12">
        <v>2340</v>
      </c>
      <c r="R1440" s="12">
        <v>845</v>
      </c>
      <c r="S1440" t="s">
        <v>1246</v>
      </c>
      <c r="T1440" t="s">
        <v>107</v>
      </c>
      <c r="U1440" t="s">
        <v>1198</v>
      </c>
    </row>
    <row r="1441" spans="1:21" x14ac:dyDescent="0.25">
      <c r="A1441" t="s">
        <v>3393</v>
      </c>
      <c r="B1441" s="8">
        <v>45706</v>
      </c>
      <c r="C1441" t="s">
        <v>2084</v>
      </c>
      <c r="D1441" t="s">
        <v>1175</v>
      </c>
      <c r="E1441" t="s">
        <v>198</v>
      </c>
      <c r="F1441">
        <v>50</v>
      </c>
      <c r="G1441" t="s">
        <v>9</v>
      </c>
      <c r="H1441" t="s">
        <v>8</v>
      </c>
      <c r="I1441" t="s">
        <v>45</v>
      </c>
      <c r="J1441" t="s">
        <v>46</v>
      </c>
      <c r="K1441" t="s">
        <v>43</v>
      </c>
      <c r="L1441">
        <v>5</v>
      </c>
      <c r="M1441" s="12">
        <v>11999</v>
      </c>
      <c r="N1441" s="12">
        <v>8999.25</v>
      </c>
      <c r="O1441">
        <v>10</v>
      </c>
      <c r="P1441" s="12">
        <v>53995.5</v>
      </c>
      <c r="Q1441" s="12">
        <v>44996.25</v>
      </c>
      <c r="R1441" s="12">
        <v>8999.25</v>
      </c>
      <c r="S1441" t="s">
        <v>1246</v>
      </c>
      <c r="T1441" t="s">
        <v>107</v>
      </c>
      <c r="U1441" t="s">
        <v>1209</v>
      </c>
    </row>
    <row r="1442" spans="1:21" x14ac:dyDescent="0.25">
      <c r="A1442" t="s">
        <v>3394</v>
      </c>
      <c r="B1442" s="8">
        <v>45927</v>
      </c>
      <c r="C1442" t="s">
        <v>1253</v>
      </c>
      <c r="D1442" t="s">
        <v>1055</v>
      </c>
      <c r="E1442" t="s">
        <v>218</v>
      </c>
      <c r="F1442">
        <v>63</v>
      </c>
      <c r="G1442" t="s">
        <v>7</v>
      </c>
      <c r="H1442" t="s">
        <v>8</v>
      </c>
      <c r="I1442" t="s">
        <v>55</v>
      </c>
      <c r="J1442" t="s">
        <v>65</v>
      </c>
      <c r="K1442" t="s">
        <v>64</v>
      </c>
      <c r="L1442">
        <v>1</v>
      </c>
      <c r="M1442" s="12">
        <v>80</v>
      </c>
      <c r="N1442" s="12">
        <v>56</v>
      </c>
      <c r="O1442">
        <v>4</v>
      </c>
      <c r="P1442" s="12">
        <v>76.8</v>
      </c>
      <c r="Q1442" s="12">
        <v>56</v>
      </c>
      <c r="R1442" s="12">
        <v>20.799999999999997</v>
      </c>
      <c r="S1442" t="s">
        <v>1246</v>
      </c>
      <c r="T1442" t="s">
        <v>108</v>
      </c>
      <c r="U1442" t="s">
        <v>1198</v>
      </c>
    </row>
    <row r="1443" spans="1:21" x14ac:dyDescent="0.25">
      <c r="A1443" t="s">
        <v>3395</v>
      </c>
      <c r="B1443" s="8">
        <v>45953</v>
      </c>
      <c r="C1443" t="s">
        <v>3046</v>
      </c>
      <c r="D1443" t="s">
        <v>910</v>
      </c>
      <c r="E1443" t="s">
        <v>218</v>
      </c>
      <c r="F1443">
        <v>62</v>
      </c>
      <c r="G1443" t="s">
        <v>2</v>
      </c>
      <c r="H1443" t="s">
        <v>3</v>
      </c>
      <c r="I1443" t="s">
        <v>51</v>
      </c>
      <c r="J1443" t="s">
        <v>54</v>
      </c>
      <c r="K1443" t="s">
        <v>43</v>
      </c>
      <c r="L1443">
        <v>4</v>
      </c>
      <c r="M1443" s="12">
        <v>27499</v>
      </c>
      <c r="N1443" s="12">
        <v>21724.210000000003</v>
      </c>
      <c r="O1443">
        <v>5</v>
      </c>
      <c r="P1443" s="12">
        <v>104496.2</v>
      </c>
      <c r="Q1443" s="12">
        <v>86896.840000000011</v>
      </c>
      <c r="R1443" s="12">
        <v>17599.359999999986</v>
      </c>
      <c r="S1443" t="s">
        <v>1246</v>
      </c>
      <c r="T1443" t="s">
        <v>107</v>
      </c>
      <c r="U1443" t="s">
        <v>1198</v>
      </c>
    </row>
    <row r="1444" spans="1:21" x14ac:dyDescent="0.25">
      <c r="A1444" t="s">
        <v>3396</v>
      </c>
      <c r="B1444" s="8">
        <v>45920</v>
      </c>
      <c r="C1444" t="s">
        <v>3228</v>
      </c>
      <c r="D1444" t="s">
        <v>1114</v>
      </c>
      <c r="E1444" t="s">
        <v>218</v>
      </c>
      <c r="F1444">
        <v>60</v>
      </c>
      <c r="G1444" t="s">
        <v>7</v>
      </c>
      <c r="H1444" t="s">
        <v>8</v>
      </c>
      <c r="I1444" t="s">
        <v>40</v>
      </c>
      <c r="J1444" t="s">
        <v>39</v>
      </c>
      <c r="K1444" t="s">
        <v>22</v>
      </c>
      <c r="L1444">
        <v>3</v>
      </c>
      <c r="M1444" s="12">
        <v>1100</v>
      </c>
      <c r="N1444" s="12">
        <v>715</v>
      </c>
      <c r="O1444">
        <v>5</v>
      </c>
      <c r="P1444" s="12">
        <v>3135</v>
      </c>
      <c r="Q1444" s="12">
        <v>2145</v>
      </c>
      <c r="R1444" s="12">
        <v>990</v>
      </c>
      <c r="S1444" t="s">
        <v>1246</v>
      </c>
      <c r="T1444" t="s">
        <v>108</v>
      </c>
      <c r="U1444" t="s">
        <v>1194</v>
      </c>
    </row>
    <row r="1445" spans="1:21" x14ac:dyDescent="0.25">
      <c r="A1445" t="s">
        <v>3397</v>
      </c>
      <c r="B1445" s="8">
        <v>45831</v>
      </c>
      <c r="C1445" t="s">
        <v>4015</v>
      </c>
      <c r="D1445" t="s">
        <v>406</v>
      </c>
      <c r="E1445" t="s">
        <v>218</v>
      </c>
      <c r="F1445">
        <v>21</v>
      </c>
      <c r="G1445" t="s">
        <v>11</v>
      </c>
      <c r="H1445" t="s">
        <v>12</v>
      </c>
      <c r="I1445" t="s">
        <v>53</v>
      </c>
      <c r="J1445" t="s">
        <v>48</v>
      </c>
      <c r="K1445" t="s">
        <v>43</v>
      </c>
      <c r="L1445">
        <v>5</v>
      </c>
      <c r="M1445" s="12">
        <v>6499</v>
      </c>
      <c r="N1445" s="12">
        <v>4549.2999999999993</v>
      </c>
      <c r="O1445">
        <v>3</v>
      </c>
      <c r="P1445" s="12">
        <v>31520.149999999998</v>
      </c>
      <c r="Q1445" s="12">
        <v>22746.499999999996</v>
      </c>
      <c r="R1445" s="12">
        <v>8773.6500000000015</v>
      </c>
      <c r="S1445" t="s">
        <v>113</v>
      </c>
      <c r="T1445" t="s">
        <v>109</v>
      </c>
      <c r="U1445" t="s">
        <v>1207</v>
      </c>
    </row>
    <row r="1446" spans="1:21" x14ac:dyDescent="0.25">
      <c r="A1446" t="s">
        <v>3399</v>
      </c>
      <c r="B1446" s="8">
        <v>45740</v>
      </c>
      <c r="C1446" t="s">
        <v>1665</v>
      </c>
      <c r="D1446" t="s">
        <v>921</v>
      </c>
      <c r="E1446" t="s">
        <v>218</v>
      </c>
      <c r="F1446">
        <v>53</v>
      </c>
      <c r="G1446" t="s">
        <v>16</v>
      </c>
      <c r="H1446" t="s">
        <v>15</v>
      </c>
      <c r="I1446" t="s">
        <v>34</v>
      </c>
      <c r="J1446" t="s">
        <v>137</v>
      </c>
      <c r="K1446" t="s">
        <v>22</v>
      </c>
      <c r="L1446">
        <v>5</v>
      </c>
      <c r="M1446" s="12">
        <v>6900</v>
      </c>
      <c r="N1446" s="12">
        <v>5727</v>
      </c>
      <c r="O1446">
        <v>4</v>
      </c>
      <c r="P1446" s="12">
        <v>33120</v>
      </c>
      <c r="Q1446" s="12">
        <v>28635</v>
      </c>
      <c r="R1446" s="12">
        <v>4485</v>
      </c>
      <c r="S1446" t="s">
        <v>1246</v>
      </c>
      <c r="T1446" t="s">
        <v>109</v>
      </c>
      <c r="U1446" t="s">
        <v>1207</v>
      </c>
    </row>
    <row r="1447" spans="1:21" x14ac:dyDescent="0.25">
      <c r="A1447" t="s">
        <v>3400</v>
      </c>
      <c r="B1447" s="8">
        <v>46016</v>
      </c>
      <c r="C1447" t="s">
        <v>3433</v>
      </c>
      <c r="D1447" t="s">
        <v>1034</v>
      </c>
      <c r="E1447" t="s">
        <v>218</v>
      </c>
      <c r="F1447">
        <v>21</v>
      </c>
      <c r="G1447" t="s">
        <v>14</v>
      </c>
      <c r="H1447" t="s">
        <v>15</v>
      </c>
      <c r="I1447" t="s">
        <v>53</v>
      </c>
      <c r="J1447" t="s">
        <v>48</v>
      </c>
      <c r="K1447" t="s">
        <v>43</v>
      </c>
      <c r="L1447">
        <v>3</v>
      </c>
      <c r="M1447" s="12">
        <v>6499</v>
      </c>
      <c r="N1447" s="12">
        <v>4549.2999999999993</v>
      </c>
      <c r="O1447">
        <v>17</v>
      </c>
      <c r="P1447" s="12">
        <v>16182.509999999998</v>
      </c>
      <c r="Q1447" s="12">
        <v>13647.899999999998</v>
      </c>
      <c r="R1447" s="12">
        <v>2534.6100000000006</v>
      </c>
      <c r="S1447" t="s">
        <v>1246</v>
      </c>
      <c r="T1447" t="s">
        <v>109</v>
      </c>
      <c r="U1447" t="s">
        <v>1207</v>
      </c>
    </row>
    <row r="1448" spans="1:21" x14ac:dyDescent="0.25">
      <c r="A1448" t="s">
        <v>3401</v>
      </c>
      <c r="B1448" s="8">
        <v>46016</v>
      </c>
      <c r="C1448" t="s">
        <v>1532</v>
      </c>
      <c r="D1448" t="s">
        <v>867</v>
      </c>
      <c r="E1448" t="s">
        <v>218</v>
      </c>
      <c r="F1448">
        <v>21</v>
      </c>
      <c r="G1448" t="s">
        <v>16</v>
      </c>
      <c r="H1448" t="s">
        <v>15</v>
      </c>
      <c r="I1448" t="s">
        <v>21</v>
      </c>
      <c r="J1448" t="s">
        <v>23</v>
      </c>
      <c r="K1448" t="s">
        <v>22</v>
      </c>
      <c r="L1448">
        <v>2</v>
      </c>
      <c r="M1448" s="12">
        <v>54999</v>
      </c>
      <c r="N1448" s="12">
        <v>45099.18</v>
      </c>
      <c r="O1448">
        <v>16</v>
      </c>
      <c r="P1448" s="12">
        <v>92398.319999999992</v>
      </c>
      <c r="Q1448" s="12">
        <v>90198.36</v>
      </c>
      <c r="R1448" s="12">
        <v>2199.9599999999919</v>
      </c>
      <c r="S1448" t="s">
        <v>1246</v>
      </c>
      <c r="T1448" t="s">
        <v>109</v>
      </c>
      <c r="U1448" t="s">
        <v>1196</v>
      </c>
    </row>
    <row r="1449" spans="1:21" x14ac:dyDescent="0.25">
      <c r="A1449" t="s">
        <v>3402</v>
      </c>
      <c r="B1449" s="8">
        <v>45764</v>
      </c>
      <c r="C1449" t="s">
        <v>2186</v>
      </c>
      <c r="D1449" t="s">
        <v>1111</v>
      </c>
      <c r="E1449" t="s">
        <v>218</v>
      </c>
      <c r="F1449">
        <v>37</v>
      </c>
      <c r="G1449" t="s">
        <v>7</v>
      </c>
      <c r="H1449" t="s">
        <v>8</v>
      </c>
      <c r="I1449" t="s">
        <v>28</v>
      </c>
      <c r="J1449" t="s">
        <v>35</v>
      </c>
      <c r="K1449" t="s">
        <v>22</v>
      </c>
      <c r="L1449">
        <v>1</v>
      </c>
      <c r="M1449" s="12">
        <v>16499</v>
      </c>
      <c r="N1449" s="12">
        <v>14519.12</v>
      </c>
      <c r="O1449">
        <v>7</v>
      </c>
      <c r="P1449" s="12">
        <v>15344.07</v>
      </c>
      <c r="Q1449" s="12">
        <v>14519.12</v>
      </c>
      <c r="R1449" s="12">
        <v>824.94999999999891</v>
      </c>
      <c r="S1449" t="s">
        <v>1246</v>
      </c>
      <c r="T1449" t="s">
        <v>107</v>
      </c>
      <c r="U1449" t="s">
        <v>1199</v>
      </c>
    </row>
    <row r="1450" spans="1:21" x14ac:dyDescent="0.25">
      <c r="A1450" t="s">
        <v>3403</v>
      </c>
      <c r="B1450" s="8">
        <v>45710</v>
      </c>
      <c r="C1450" t="s">
        <v>1353</v>
      </c>
      <c r="D1450" t="s">
        <v>854</v>
      </c>
      <c r="E1450" t="s">
        <v>218</v>
      </c>
      <c r="F1450">
        <v>28</v>
      </c>
      <c r="G1450" t="s">
        <v>2</v>
      </c>
      <c r="H1450" t="s">
        <v>3</v>
      </c>
      <c r="I1450" t="s">
        <v>61</v>
      </c>
      <c r="J1450" t="s">
        <v>146</v>
      </c>
      <c r="K1450" t="s">
        <v>64</v>
      </c>
      <c r="L1450">
        <v>4</v>
      </c>
      <c r="M1450" s="12">
        <v>250</v>
      </c>
      <c r="N1450" s="12">
        <v>155</v>
      </c>
      <c r="O1450">
        <v>0</v>
      </c>
      <c r="P1450" s="12">
        <v>1000</v>
      </c>
      <c r="Q1450" s="12">
        <v>620</v>
      </c>
      <c r="R1450" s="12">
        <v>380</v>
      </c>
      <c r="S1450" t="s">
        <v>1246</v>
      </c>
      <c r="T1450" t="s">
        <v>110</v>
      </c>
      <c r="U1450" t="s">
        <v>1209</v>
      </c>
    </row>
    <row r="1451" spans="1:21" x14ac:dyDescent="0.25">
      <c r="A1451" t="s">
        <v>3404</v>
      </c>
      <c r="B1451" s="8">
        <v>45932</v>
      </c>
      <c r="C1451" t="s">
        <v>1682</v>
      </c>
      <c r="D1451" t="s">
        <v>410</v>
      </c>
      <c r="E1451" t="s">
        <v>198</v>
      </c>
      <c r="F1451">
        <v>43</v>
      </c>
      <c r="G1451" t="s">
        <v>10</v>
      </c>
      <c r="H1451" t="s">
        <v>8</v>
      </c>
      <c r="I1451" t="s">
        <v>28</v>
      </c>
      <c r="J1451" t="s">
        <v>35</v>
      </c>
      <c r="K1451" t="s">
        <v>22</v>
      </c>
      <c r="L1451">
        <v>3</v>
      </c>
      <c r="M1451" s="12">
        <v>16499</v>
      </c>
      <c r="N1451" s="12">
        <v>14519.12</v>
      </c>
      <c r="O1451">
        <v>5</v>
      </c>
      <c r="P1451" s="12">
        <v>47022.149999999994</v>
      </c>
      <c r="Q1451" s="12">
        <v>43557.36</v>
      </c>
      <c r="R1451" s="12">
        <v>3464.7899999999936</v>
      </c>
      <c r="S1451" t="s">
        <v>1246</v>
      </c>
      <c r="T1451" t="s">
        <v>107</v>
      </c>
      <c r="U1451" t="s">
        <v>1196</v>
      </c>
    </row>
    <row r="1452" spans="1:21" x14ac:dyDescent="0.25">
      <c r="A1452" t="s">
        <v>3405</v>
      </c>
      <c r="B1452" s="8">
        <v>45771</v>
      </c>
      <c r="C1452" t="s">
        <v>1997</v>
      </c>
      <c r="D1452" t="s">
        <v>820</v>
      </c>
      <c r="E1452" t="s">
        <v>198</v>
      </c>
      <c r="F1452">
        <v>61</v>
      </c>
      <c r="G1452" t="s">
        <v>11</v>
      </c>
      <c r="H1452" t="s">
        <v>12</v>
      </c>
      <c r="I1452" t="s">
        <v>26</v>
      </c>
      <c r="J1452" t="s">
        <v>27</v>
      </c>
      <c r="K1452" t="s">
        <v>22</v>
      </c>
      <c r="L1452">
        <v>2</v>
      </c>
      <c r="M1452" s="12">
        <v>27499</v>
      </c>
      <c r="N1452" s="12">
        <v>23374.149999999998</v>
      </c>
      <c r="O1452">
        <v>6</v>
      </c>
      <c r="P1452" s="12">
        <v>51698.119999999995</v>
      </c>
      <c r="Q1452" s="12">
        <v>46748.299999999996</v>
      </c>
      <c r="R1452" s="12">
        <v>4949.82</v>
      </c>
      <c r="S1452" t="s">
        <v>1246</v>
      </c>
      <c r="T1452" t="s">
        <v>109</v>
      </c>
      <c r="U1452" t="s">
        <v>1201</v>
      </c>
    </row>
    <row r="1453" spans="1:21" x14ac:dyDescent="0.25">
      <c r="A1453" t="s">
        <v>3406</v>
      </c>
      <c r="B1453" s="8">
        <v>45919</v>
      </c>
      <c r="C1453" t="s">
        <v>2312</v>
      </c>
      <c r="D1453" t="s">
        <v>957</v>
      </c>
      <c r="E1453" t="s">
        <v>218</v>
      </c>
      <c r="F1453">
        <v>30</v>
      </c>
      <c r="G1453" t="s">
        <v>14</v>
      </c>
      <c r="H1453" t="s">
        <v>15</v>
      </c>
      <c r="I1453" t="s">
        <v>42</v>
      </c>
      <c r="J1453" t="s">
        <v>44</v>
      </c>
      <c r="K1453" t="s">
        <v>43</v>
      </c>
      <c r="L1453">
        <v>4</v>
      </c>
      <c r="M1453" s="12">
        <v>8999</v>
      </c>
      <c r="N1453" s="12">
        <v>6479.28</v>
      </c>
      <c r="O1453">
        <v>9</v>
      </c>
      <c r="P1453" s="12">
        <v>32756.36</v>
      </c>
      <c r="Q1453" s="12">
        <v>25917.119999999999</v>
      </c>
      <c r="R1453" s="12">
        <v>6839.2400000000016</v>
      </c>
      <c r="S1453" t="s">
        <v>1246</v>
      </c>
      <c r="T1453" t="s">
        <v>108</v>
      </c>
      <c r="U1453" t="s">
        <v>1198</v>
      </c>
    </row>
    <row r="1454" spans="1:21" x14ac:dyDescent="0.25">
      <c r="A1454" t="s">
        <v>3407</v>
      </c>
      <c r="B1454" s="8">
        <v>45845</v>
      </c>
      <c r="C1454" t="s">
        <v>3573</v>
      </c>
      <c r="D1454" t="s">
        <v>838</v>
      </c>
      <c r="E1454" t="s">
        <v>218</v>
      </c>
      <c r="F1454">
        <v>59</v>
      </c>
      <c r="G1454" t="s">
        <v>7</v>
      </c>
      <c r="H1454" t="s">
        <v>8</v>
      </c>
      <c r="I1454" t="s">
        <v>51</v>
      </c>
      <c r="J1454" t="s">
        <v>54</v>
      </c>
      <c r="K1454" t="s">
        <v>43</v>
      </c>
      <c r="L1454">
        <v>3</v>
      </c>
      <c r="M1454" s="12">
        <v>27499</v>
      </c>
      <c r="N1454" s="12">
        <v>21724.210000000003</v>
      </c>
      <c r="O1454">
        <v>7</v>
      </c>
      <c r="P1454" s="12">
        <v>76722.209999999992</v>
      </c>
      <c r="Q1454" s="12">
        <v>65172.630000000005</v>
      </c>
      <c r="R1454" s="12">
        <v>11549.579999999987</v>
      </c>
      <c r="S1454" t="s">
        <v>113</v>
      </c>
      <c r="T1454" t="s">
        <v>107</v>
      </c>
      <c r="U1454" t="s">
        <v>1205</v>
      </c>
    </row>
    <row r="1455" spans="1:21" x14ac:dyDescent="0.25">
      <c r="A1455" t="s">
        <v>3409</v>
      </c>
      <c r="B1455" s="8">
        <v>45954</v>
      </c>
      <c r="C1455" t="s">
        <v>2265</v>
      </c>
      <c r="D1455" t="s">
        <v>878</v>
      </c>
      <c r="E1455" t="s">
        <v>218</v>
      </c>
      <c r="F1455">
        <v>34</v>
      </c>
      <c r="G1455" t="s">
        <v>17</v>
      </c>
      <c r="H1455" t="s">
        <v>15</v>
      </c>
      <c r="I1455" t="s">
        <v>26</v>
      </c>
      <c r="J1455" t="s">
        <v>27</v>
      </c>
      <c r="K1455" t="s">
        <v>22</v>
      </c>
      <c r="L1455">
        <v>4</v>
      </c>
      <c r="M1455" s="12">
        <v>27499</v>
      </c>
      <c r="N1455" s="12">
        <v>23374.149999999998</v>
      </c>
      <c r="O1455">
        <v>4</v>
      </c>
      <c r="P1455" s="12">
        <v>105596.15999999999</v>
      </c>
      <c r="Q1455" s="12">
        <v>93496.599999999991</v>
      </c>
      <c r="R1455" s="12">
        <v>12099.559999999998</v>
      </c>
      <c r="S1455" t="s">
        <v>1246</v>
      </c>
      <c r="T1455" t="s">
        <v>107</v>
      </c>
      <c r="U1455" t="s">
        <v>1194</v>
      </c>
    </row>
    <row r="1456" spans="1:21" x14ac:dyDescent="0.25">
      <c r="A1456" t="s">
        <v>3410</v>
      </c>
      <c r="B1456" s="8">
        <v>45842</v>
      </c>
      <c r="C1456" t="s">
        <v>1981</v>
      </c>
      <c r="D1456" t="s">
        <v>1137</v>
      </c>
      <c r="E1456" t="s">
        <v>218</v>
      </c>
      <c r="F1456">
        <v>36</v>
      </c>
      <c r="G1456" t="s">
        <v>5</v>
      </c>
      <c r="H1456" t="s">
        <v>3</v>
      </c>
      <c r="I1456" t="s">
        <v>21</v>
      </c>
      <c r="J1456" t="s">
        <v>23</v>
      </c>
      <c r="K1456" t="s">
        <v>22</v>
      </c>
      <c r="L1456">
        <v>5</v>
      </c>
      <c r="M1456" s="12">
        <v>54999</v>
      </c>
      <c r="N1456" s="12">
        <v>45099.18</v>
      </c>
      <c r="O1456">
        <v>8</v>
      </c>
      <c r="P1456" s="12">
        <v>252995.40000000002</v>
      </c>
      <c r="Q1456" s="12">
        <v>225495.9</v>
      </c>
      <c r="R1456" s="12">
        <v>27499.500000000029</v>
      </c>
      <c r="S1456" t="s">
        <v>1246</v>
      </c>
      <c r="T1456" t="s">
        <v>109</v>
      </c>
      <c r="U1456" t="s">
        <v>1207</v>
      </c>
    </row>
    <row r="1457" spans="1:21" x14ac:dyDescent="0.25">
      <c r="A1457" t="s">
        <v>3411</v>
      </c>
      <c r="B1457" s="8">
        <v>45846</v>
      </c>
      <c r="C1457" t="s">
        <v>1727</v>
      </c>
      <c r="D1457" t="s">
        <v>485</v>
      </c>
      <c r="E1457" t="s">
        <v>198</v>
      </c>
      <c r="F1457">
        <v>41</v>
      </c>
      <c r="G1457" t="s">
        <v>9</v>
      </c>
      <c r="H1457" t="s">
        <v>8</v>
      </c>
      <c r="I1457" t="s">
        <v>32</v>
      </c>
      <c r="J1457" t="s">
        <v>29</v>
      </c>
      <c r="K1457" t="s">
        <v>22</v>
      </c>
      <c r="L1457">
        <v>4</v>
      </c>
      <c r="M1457" s="12">
        <v>9500</v>
      </c>
      <c r="N1457" s="12">
        <v>6650</v>
      </c>
      <c r="O1457">
        <v>5</v>
      </c>
      <c r="P1457" s="12">
        <v>36100</v>
      </c>
      <c r="Q1457" s="12">
        <v>26600</v>
      </c>
      <c r="R1457" s="12">
        <v>9500</v>
      </c>
      <c r="S1457" t="s">
        <v>113</v>
      </c>
      <c r="T1457" t="s">
        <v>107</v>
      </c>
      <c r="U1457" t="s">
        <v>1203</v>
      </c>
    </row>
    <row r="1458" spans="1:21" x14ac:dyDescent="0.25">
      <c r="A1458" t="s">
        <v>3413</v>
      </c>
      <c r="B1458" s="8">
        <v>45917</v>
      </c>
      <c r="C1458" t="s">
        <v>2472</v>
      </c>
      <c r="D1458" t="s">
        <v>1128</v>
      </c>
      <c r="E1458" t="s">
        <v>218</v>
      </c>
      <c r="F1458">
        <v>34</v>
      </c>
      <c r="G1458" t="s">
        <v>17</v>
      </c>
      <c r="H1458" t="s">
        <v>15</v>
      </c>
      <c r="I1458" t="s">
        <v>24</v>
      </c>
      <c r="J1458" t="s">
        <v>25</v>
      </c>
      <c r="K1458" t="s">
        <v>22</v>
      </c>
      <c r="L1458">
        <v>3</v>
      </c>
      <c r="M1458" s="12">
        <v>35800</v>
      </c>
      <c r="N1458" s="12">
        <v>28640</v>
      </c>
      <c r="O1458">
        <v>6</v>
      </c>
      <c r="P1458" s="12">
        <v>100956</v>
      </c>
      <c r="Q1458" s="12">
        <v>85920</v>
      </c>
      <c r="R1458" s="12">
        <v>15036</v>
      </c>
      <c r="S1458" t="s">
        <v>1246</v>
      </c>
      <c r="T1458" t="s">
        <v>107</v>
      </c>
      <c r="U1458" t="s">
        <v>1198</v>
      </c>
    </row>
    <row r="1459" spans="1:21" x14ac:dyDescent="0.25">
      <c r="A1459" t="s">
        <v>3415</v>
      </c>
      <c r="B1459" s="8">
        <v>45827</v>
      </c>
      <c r="C1459" t="s">
        <v>2838</v>
      </c>
      <c r="D1459" t="s">
        <v>1060</v>
      </c>
      <c r="E1459" t="s">
        <v>198</v>
      </c>
      <c r="F1459">
        <v>55</v>
      </c>
      <c r="G1459" t="s">
        <v>10</v>
      </c>
      <c r="H1459" t="s">
        <v>8</v>
      </c>
      <c r="I1459" t="s">
        <v>61</v>
      </c>
      <c r="J1459" t="s">
        <v>146</v>
      </c>
      <c r="K1459" t="s">
        <v>64</v>
      </c>
      <c r="L1459">
        <v>1</v>
      </c>
      <c r="M1459" s="12">
        <v>250</v>
      </c>
      <c r="N1459" s="12">
        <v>155</v>
      </c>
      <c r="O1459">
        <v>11</v>
      </c>
      <c r="P1459" s="12">
        <v>222.5</v>
      </c>
      <c r="Q1459" s="12">
        <v>155</v>
      </c>
      <c r="R1459" s="12">
        <v>67.5</v>
      </c>
      <c r="S1459" t="s">
        <v>113</v>
      </c>
      <c r="T1459" t="s">
        <v>108</v>
      </c>
      <c r="U1459" t="s">
        <v>1205</v>
      </c>
    </row>
    <row r="1460" spans="1:21" x14ac:dyDescent="0.25">
      <c r="A1460" t="s">
        <v>3416</v>
      </c>
      <c r="B1460" s="8">
        <v>45669</v>
      </c>
      <c r="C1460" t="s">
        <v>2392</v>
      </c>
      <c r="D1460" t="s">
        <v>667</v>
      </c>
      <c r="E1460" t="s">
        <v>218</v>
      </c>
      <c r="F1460">
        <v>25</v>
      </c>
      <c r="G1460" t="s">
        <v>10</v>
      </c>
      <c r="H1460" t="s">
        <v>8</v>
      </c>
      <c r="I1460" t="s">
        <v>40</v>
      </c>
      <c r="J1460" t="s">
        <v>39</v>
      </c>
      <c r="K1460" t="s">
        <v>22</v>
      </c>
      <c r="L1460">
        <v>4</v>
      </c>
      <c r="M1460" s="12">
        <v>1100</v>
      </c>
      <c r="N1460" s="12">
        <v>715</v>
      </c>
      <c r="O1460">
        <v>5</v>
      </c>
      <c r="P1460" s="12">
        <v>4180</v>
      </c>
      <c r="Q1460" s="12">
        <v>2860</v>
      </c>
      <c r="R1460" s="12">
        <v>1320</v>
      </c>
      <c r="S1460" t="s">
        <v>1246</v>
      </c>
      <c r="T1460" t="s">
        <v>111</v>
      </c>
      <c r="U1460" t="s">
        <v>1205</v>
      </c>
    </row>
    <row r="1461" spans="1:21" x14ac:dyDescent="0.25">
      <c r="A1461" t="s">
        <v>3417</v>
      </c>
      <c r="B1461" s="8">
        <v>45848</v>
      </c>
      <c r="C1461" t="s">
        <v>4095</v>
      </c>
      <c r="D1461" t="s">
        <v>1014</v>
      </c>
      <c r="E1461" t="s">
        <v>218</v>
      </c>
      <c r="F1461">
        <v>63</v>
      </c>
      <c r="G1461" t="s">
        <v>290</v>
      </c>
      <c r="H1461" t="s">
        <v>3</v>
      </c>
      <c r="I1461" t="s">
        <v>59</v>
      </c>
      <c r="J1461" t="s">
        <v>73</v>
      </c>
      <c r="K1461" t="s">
        <v>64</v>
      </c>
      <c r="L1461">
        <v>3</v>
      </c>
      <c r="M1461" s="12">
        <v>120</v>
      </c>
      <c r="N1461" s="12">
        <v>81.599999999999994</v>
      </c>
      <c r="O1461">
        <v>2</v>
      </c>
      <c r="P1461" s="12">
        <v>352.8</v>
      </c>
      <c r="Q1461" s="12">
        <v>244.79999999999998</v>
      </c>
      <c r="R1461" s="12">
        <v>108.00000000000003</v>
      </c>
      <c r="S1461" t="s">
        <v>113</v>
      </c>
      <c r="T1461" t="s">
        <v>107</v>
      </c>
      <c r="U1461" t="s">
        <v>1198</v>
      </c>
    </row>
    <row r="1462" spans="1:21" x14ac:dyDescent="0.25">
      <c r="A1462" t="s">
        <v>3418</v>
      </c>
      <c r="B1462" s="8">
        <v>45985</v>
      </c>
      <c r="C1462" t="s">
        <v>1950</v>
      </c>
      <c r="D1462" t="s">
        <v>680</v>
      </c>
      <c r="E1462" t="s">
        <v>198</v>
      </c>
      <c r="F1462">
        <v>26</v>
      </c>
      <c r="G1462" t="s">
        <v>10</v>
      </c>
      <c r="H1462" t="s">
        <v>8</v>
      </c>
      <c r="I1462" t="s">
        <v>51</v>
      </c>
      <c r="J1462" t="s">
        <v>54</v>
      </c>
      <c r="K1462" t="s">
        <v>43</v>
      </c>
      <c r="L1462">
        <v>5</v>
      </c>
      <c r="M1462" s="12">
        <v>27499</v>
      </c>
      <c r="N1462" s="12">
        <v>21724.210000000003</v>
      </c>
      <c r="O1462">
        <v>17</v>
      </c>
      <c r="P1462" s="12">
        <v>114120.84999999999</v>
      </c>
      <c r="Q1462" s="12">
        <v>108621.05000000002</v>
      </c>
      <c r="R1462" s="12">
        <v>5499.7999999999738</v>
      </c>
      <c r="S1462" t="s">
        <v>113</v>
      </c>
      <c r="T1462" t="s">
        <v>110</v>
      </c>
      <c r="U1462" t="s">
        <v>1198</v>
      </c>
    </row>
    <row r="1463" spans="1:21" x14ac:dyDescent="0.25">
      <c r="A1463" t="s">
        <v>3419</v>
      </c>
      <c r="B1463" s="8">
        <v>45820</v>
      </c>
      <c r="C1463" t="s">
        <v>3107</v>
      </c>
      <c r="D1463" t="s">
        <v>579</v>
      </c>
      <c r="E1463" t="s">
        <v>198</v>
      </c>
      <c r="F1463">
        <v>36</v>
      </c>
      <c r="G1463" t="s">
        <v>7</v>
      </c>
      <c r="H1463" t="s">
        <v>8</v>
      </c>
      <c r="I1463" t="s">
        <v>57</v>
      </c>
      <c r="J1463" t="s">
        <v>67</v>
      </c>
      <c r="K1463" t="s">
        <v>64</v>
      </c>
      <c r="L1463">
        <v>5</v>
      </c>
      <c r="M1463" s="12">
        <v>150</v>
      </c>
      <c r="N1463" s="12">
        <v>97.5</v>
      </c>
      <c r="O1463">
        <v>12</v>
      </c>
      <c r="P1463" s="12">
        <v>660</v>
      </c>
      <c r="Q1463" s="12">
        <v>487.5</v>
      </c>
      <c r="R1463" s="12">
        <v>172.5</v>
      </c>
      <c r="S1463" t="s">
        <v>1246</v>
      </c>
      <c r="T1463" t="s">
        <v>109</v>
      </c>
      <c r="U1463" t="s">
        <v>1211</v>
      </c>
    </row>
    <row r="1464" spans="1:21" x14ac:dyDescent="0.25">
      <c r="A1464" t="s">
        <v>3420</v>
      </c>
      <c r="B1464" s="8">
        <v>45984</v>
      </c>
      <c r="C1464" t="s">
        <v>1596</v>
      </c>
      <c r="D1464" t="s">
        <v>1120</v>
      </c>
      <c r="E1464" t="s">
        <v>218</v>
      </c>
      <c r="F1464">
        <v>50</v>
      </c>
      <c r="G1464" t="s">
        <v>5</v>
      </c>
      <c r="H1464" t="s">
        <v>3</v>
      </c>
      <c r="I1464" t="s">
        <v>53</v>
      </c>
      <c r="J1464" t="s">
        <v>48</v>
      </c>
      <c r="K1464" t="s">
        <v>43</v>
      </c>
      <c r="L1464">
        <v>5</v>
      </c>
      <c r="M1464" s="12">
        <v>6499</v>
      </c>
      <c r="N1464" s="12">
        <v>4549.2999999999993</v>
      </c>
      <c r="O1464">
        <v>15</v>
      </c>
      <c r="P1464" s="12">
        <v>27620.75</v>
      </c>
      <c r="Q1464" s="12">
        <v>22746.499999999996</v>
      </c>
      <c r="R1464" s="12">
        <v>4874.2500000000036</v>
      </c>
      <c r="S1464" t="s">
        <v>1246</v>
      </c>
      <c r="T1464" t="s">
        <v>110</v>
      </c>
      <c r="U1464" t="s">
        <v>1209</v>
      </c>
    </row>
    <row r="1465" spans="1:21" x14ac:dyDescent="0.25">
      <c r="A1465" t="s">
        <v>3421</v>
      </c>
      <c r="B1465" s="8">
        <v>45913</v>
      </c>
      <c r="C1465" t="s">
        <v>1981</v>
      </c>
      <c r="D1465" t="s">
        <v>1137</v>
      </c>
      <c r="E1465" t="s">
        <v>218</v>
      </c>
      <c r="F1465">
        <v>36</v>
      </c>
      <c r="G1465" t="s">
        <v>5</v>
      </c>
      <c r="H1465" t="s">
        <v>3</v>
      </c>
      <c r="I1465" t="s">
        <v>30</v>
      </c>
      <c r="J1465" t="s">
        <v>41</v>
      </c>
      <c r="K1465" t="s">
        <v>22</v>
      </c>
      <c r="L1465">
        <v>4</v>
      </c>
      <c r="M1465" s="12">
        <v>13749</v>
      </c>
      <c r="N1465" s="12">
        <v>10999.2</v>
      </c>
      <c r="O1465">
        <v>4</v>
      </c>
      <c r="P1465" s="12">
        <v>52796.159999999996</v>
      </c>
      <c r="Q1465" s="12">
        <v>43996.800000000003</v>
      </c>
      <c r="R1465" s="12">
        <v>8799.3599999999933</v>
      </c>
      <c r="S1465" t="s">
        <v>113</v>
      </c>
      <c r="T1465" t="s">
        <v>110</v>
      </c>
      <c r="U1465" t="s">
        <v>1209</v>
      </c>
    </row>
    <row r="1466" spans="1:21" x14ac:dyDescent="0.25">
      <c r="A1466" t="s">
        <v>3422</v>
      </c>
      <c r="B1466" s="8">
        <v>45896</v>
      </c>
      <c r="C1466" t="s">
        <v>1760</v>
      </c>
      <c r="D1466" t="s">
        <v>414</v>
      </c>
      <c r="E1466" t="s">
        <v>198</v>
      </c>
      <c r="F1466">
        <v>61</v>
      </c>
      <c r="G1466" t="s">
        <v>289</v>
      </c>
      <c r="H1466" t="s">
        <v>3</v>
      </c>
      <c r="I1466" t="s">
        <v>30</v>
      </c>
      <c r="J1466" t="s">
        <v>41</v>
      </c>
      <c r="K1466" t="s">
        <v>22</v>
      </c>
      <c r="L1466">
        <v>4</v>
      </c>
      <c r="M1466" s="12">
        <v>13749</v>
      </c>
      <c r="N1466" s="12">
        <v>10999.2</v>
      </c>
      <c r="O1466">
        <v>8</v>
      </c>
      <c r="P1466" s="12">
        <v>50596.32</v>
      </c>
      <c r="Q1466" s="12">
        <v>43996.800000000003</v>
      </c>
      <c r="R1466" s="12">
        <v>6599.5199999999968</v>
      </c>
      <c r="S1466" t="s">
        <v>1246</v>
      </c>
      <c r="T1466" t="s">
        <v>108</v>
      </c>
      <c r="U1466" t="s">
        <v>1203</v>
      </c>
    </row>
    <row r="1467" spans="1:21" x14ac:dyDescent="0.25">
      <c r="A1467" t="s">
        <v>3424</v>
      </c>
      <c r="B1467" s="8">
        <v>45754</v>
      </c>
      <c r="C1467" t="s">
        <v>2630</v>
      </c>
      <c r="D1467" t="s">
        <v>437</v>
      </c>
      <c r="E1467" t="s">
        <v>198</v>
      </c>
      <c r="F1467">
        <v>36</v>
      </c>
      <c r="G1467" t="s">
        <v>16</v>
      </c>
      <c r="H1467" t="s">
        <v>15</v>
      </c>
      <c r="I1467" t="s">
        <v>53</v>
      </c>
      <c r="J1467" t="s">
        <v>48</v>
      </c>
      <c r="K1467" t="s">
        <v>43</v>
      </c>
      <c r="L1467">
        <v>3</v>
      </c>
      <c r="M1467" s="12">
        <v>6499</v>
      </c>
      <c r="N1467" s="12">
        <v>4549.2999999999993</v>
      </c>
      <c r="O1467">
        <v>10</v>
      </c>
      <c r="P1467" s="12">
        <v>17547.3</v>
      </c>
      <c r="Q1467" s="12">
        <v>13647.899999999998</v>
      </c>
      <c r="R1467" s="12">
        <v>3899.4000000000015</v>
      </c>
      <c r="S1467" t="s">
        <v>1246</v>
      </c>
      <c r="T1467" t="s">
        <v>107</v>
      </c>
      <c r="U1467" t="s">
        <v>1207</v>
      </c>
    </row>
    <row r="1468" spans="1:21" x14ac:dyDescent="0.25">
      <c r="A1468" t="s">
        <v>3425</v>
      </c>
      <c r="B1468" s="8">
        <v>45709</v>
      </c>
      <c r="C1468" t="s">
        <v>2240</v>
      </c>
      <c r="D1468" t="s">
        <v>1096</v>
      </c>
      <c r="E1468" t="s">
        <v>218</v>
      </c>
      <c r="F1468">
        <v>19</v>
      </c>
      <c r="G1468" t="s">
        <v>289</v>
      </c>
      <c r="H1468" t="s">
        <v>3</v>
      </c>
      <c r="I1468" t="s">
        <v>51</v>
      </c>
      <c r="J1468" t="s">
        <v>54</v>
      </c>
      <c r="K1468" t="s">
        <v>43</v>
      </c>
      <c r="L1468">
        <v>1</v>
      </c>
      <c r="M1468" s="12">
        <v>27499</v>
      </c>
      <c r="N1468" s="12">
        <v>21724.210000000003</v>
      </c>
      <c r="O1468">
        <v>7</v>
      </c>
      <c r="P1468" s="12">
        <v>25574.07</v>
      </c>
      <c r="Q1468" s="12">
        <v>21724.210000000003</v>
      </c>
      <c r="R1468" s="12">
        <v>3849.8599999999969</v>
      </c>
      <c r="S1468" t="s">
        <v>1246</v>
      </c>
      <c r="T1468" t="s">
        <v>107</v>
      </c>
      <c r="U1468" t="s">
        <v>1199</v>
      </c>
    </row>
    <row r="1469" spans="1:21" x14ac:dyDescent="0.25">
      <c r="A1469" t="s">
        <v>3426</v>
      </c>
      <c r="B1469" s="8">
        <v>45915</v>
      </c>
      <c r="C1469" t="s">
        <v>2537</v>
      </c>
      <c r="D1469" t="s">
        <v>1057</v>
      </c>
      <c r="E1469" t="s">
        <v>218</v>
      </c>
      <c r="F1469">
        <v>19</v>
      </c>
      <c r="G1469" t="s">
        <v>11</v>
      </c>
      <c r="H1469" t="s">
        <v>12</v>
      </c>
      <c r="I1469" t="s">
        <v>38</v>
      </c>
      <c r="J1469" t="s">
        <v>37</v>
      </c>
      <c r="K1469" t="s">
        <v>22</v>
      </c>
      <c r="L1469">
        <v>3</v>
      </c>
      <c r="M1469" s="12">
        <v>1650</v>
      </c>
      <c r="N1469" s="12">
        <v>990</v>
      </c>
      <c r="O1469">
        <v>8</v>
      </c>
      <c r="P1469" s="12">
        <v>4554</v>
      </c>
      <c r="Q1469" s="12">
        <v>2970</v>
      </c>
      <c r="R1469" s="12">
        <v>1584</v>
      </c>
      <c r="S1469" t="s">
        <v>1246</v>
      </c>
      <c r="T1469" t="s">
        <v>107</v>
      </c>
      <c r="U1469" t="s">
        <v>1209</v>
      </c>
    </row>
    <row r="1470" spans="1:21" x14ac:dyDescent="0.25">
      <c r="A1470" t="s">
        <v>3428</v>
      </c>
      <c r="B1470" s="8">
        <v>45901</v>
      </c>
      <c r="C1470" t="s">
        <v>2567</v>
      </c>
      <c r="D1470" t="s">
        <v>380</v>
      </c>
      <c r="E1470" t="s">
        <v>218</v>
      </c>
      <c r="F1470">
        <v>29</v>
      </c>
      <c r="G1470" t="s">
        <v>9</v>
      </c>
      <c r="H1470" t="s">
        <v>8</v>
      </c>
      <c r="I1470" t="s">
        <v>63</v>
      </c>
      <c r="J1470" t="s">
        <v>77</v>
      </c>
      <c r="K1470" t="s">
        <v>64</v>
      </c>
      <c r="L1470">
        <v>4</v>
      </c>
      <c r="M1470" s="12">
        <v>650</v>
      </c>
      <c r="N1470" s="12">
        <v>468</v>
      </c>
      <c r="O1470">
        <v>1</v>
      </c>
      <c r="P1470" s="12">
        <v>2574</v>
      </c>
      <c r="Q1470" s="12">
        <v>1872</v>
      </c>
      <c r="R1470" s="12">
        <v>702</v>
      </c>
      <c r="S1470" t="s">
        <v>1246</v>
      </c>
      <c r="T1470" t="s">
        <v>107</v>
      </c>
      <c r="U1470" t="s">
        <v>1205</v>
      </c>
    </row>
    <row r="1471" spans="1:21" x14ac:dyDescent="0.25">
      <c r="A1471" t="s">
        <v>3430</v>
      </c>
      <c r="B1471" s="8">
        <v>45899</v>
      </c>
      <c r="C1471" t="s">
        <v>2025</v>
      </c>
      <c r="D1471" t="s">
        <v>963</v>
      </c>
      <c r="E1471" t="s">
        <v>198</v>
      </c>
      <c r="F1471">
        <v>46</v>
      </c>
      <c r="G1471" t="s">
        <v>9</v>
      </c>
      <c r="H1471" t="s">
        <v>8</v>
      </c>
      <c r="I1471" t="s">
        <v>63</v>
      </c>
      <c r="J1471" t="s">
        <v>77</v>
      </c>
      <c r="K1471" t="s">
        <v>64</v>
      </c>
      <c r="L1471">
        <v>3</v>
      </c>
      <c r="M1471" s="12">
        <v>650</v>
      </c>
      <c r="N1471" s="12">
        <v>468</v>
      </c>
      <c r="O1471">
        <v>2</v>
      </c>
      <c r="P1471" s="12">
        <v>1911</v>
      </c>
      <c r="Q1471" s="12">
        <v>1404</v>
      </c>
      <c r="R1471" s="12">
        <v>507</v>
      </c>
      <c r="S1471" t="s">
        <v>1246</v>
      </c>
      <c r="T1471" t="s">
        <v>109</v>
      </c>
      <c r="U1471" t="s">
        <v>1207</v>
      </c>
    </row>
    <row r="1472" spans="1:21" x14ac:dyDescent="0.25">
      <c r="A1472" t="s">
        <v>3431</v>
      </c>
      <c r="B1472" s="8">
        <v>45762</v>
      </c>
      <c r="C1472" t="s">
        <v>1579</v>
      </c>
      <c r="D1472" t="s">
        <v>1021</v>
      </c>
      <c r="E1472" t="s">
        <v>218</v>
      </c>
      <c r="F1472">
        <v>51</v>
      </c>
      <c r="G1472" t="s">
        <v>10</v>
      </c>
      <c r="H1472" t="s">
        <v>8</v>
      </c>
      <c r="I1472" t="s">
        <v>57</v>
      </c>
      <c r="J1472" t="s">
        <v>67</v>
      </c>
      <c r="K1472" t="s">
        <v>64</v>
      </c>
      <c r="L1472">
        <v>4</v>
      </c>
      <c r="M1472" s="12">
        <v>150</v>
      </c>
      <c r="N1472" s="12">
        <v>97.5</v>
      </c>
      <c r="O1472">
        <v>2</v>
      </c>
      <c r="P1472" s="12">
        <v>588</v>
      </c>
      <c r="Q1472" s="12">
        <v>390</v>
      </c>
      <c r="R1472" s="12">
        <v>198</v>
      </c>
      <c r="S1472" t="s">
        <v>113</v>
      </c>
      <c r="T1472" t="s">
        <v>107</v>
      </c>
      <c r="U1472" t="s">
        <v>1201</v>
      </c>
    </row>
    <row r="1473" spans="1:21" x14ac:dyDescent="0.25">
      <c r="A1473" t="s">
        <v>3432</v>
      </c>
      <c r="B1473" s="8">
        <v>45996</v>
      </c>
      <c r="C1473" t="s">
        <v>2964</v>
      </c>
      <c r="D1473" t="s">
        <v>696</v>
      </c>
      <c r="E1473" t="s">
        <v>198</v>
      </c>
      <c r="F1473">
        <v>18</v>
      </c>
      <c r="G1473" t="s">
        <v>7</v>
      </c>
      <c r="H1473" t="s">
        <v>8</v>
      </c>
      <c r="I1473" t="s">
        <v>61</v>
      </c>
      <c r="J1473" t="s">
        <v>146</v>
      </c>
      <c r="K1473" t="s">
        <v>64</v>
      </c>
      <c r="L1473">
        <v>2</v>
      </c>
      <c r="M1473" s="12">
        <v>250</v>
      </c>
      <c r="N1473" s="12">
        <v>155</v>
      </c>
      <c r="O1473">
        <v>4</v>
      </c>
      <c r="P1473" s="12">
        <v>480</v>
      </c>
      <c r="Q1473" s="12">
        <v>310</v>
      </c>
      <c r="R1473" s="12">
        <v>170</v>
      </c>
      <c r="S1473" t="s">
        <v>1246</v>
      </c>
      <c r="T1473" t="s">
        <v>107</v>
      </c>
      <c r="U1473" t="s">
        <v>1201</v>
      </c>
    </row>
    <row r="1474" spans="1:21" x14ac:dyDescent="0.25">
      <c r="A1474" t="s">
        <v>3434</v>
      </c>
      <c r="B1474" s="8">
        <v>45719</v>
      </c>
      <c r="C1474" t="s">
        <v>1454</v>
      </c>
      <c r="D1474" t="s">
        <v>1043</v>
      </c>
      <c r="E1474" t="s">
        <v>218</v>
      </c>
      <c r="F1474">
        <v>57</v>
      </c>
      <c r="G1474" t="s">
        <v>10</v>
      </c>
      <c r="H1474" t="s">
        <v>8</v>
      </c>
      <c r="I1474" t="s">
        <v>45</v>
      </c>
      <c r="J1474" t="s">
        <v>46</v>
      </c>
      <c r="K1474" t="s">
        <v>43</v>
      </c>
      <c r="L1474">
        <v>5</v>
      </c>
      <c r="M1474" s="12">
        <v>11999</v>
      </c>
      <c r="N1474" s="12">
        <v>8999.25</v>
      </c>
      <c r="O1474">
        <v>5</v>
      </c>
      <c r="P1474" s="12">
        <v>56995.25</v>
      </c>
      <c r="Q1474" s="12">
        <v>44996.25</v>
      </c>
      <c r="R1474" s="12">
        <v>11999</v>
      </c>
      <c r="S1474" t="s">
        <v>1246</v>
      </c>
      <c r="T1474" t="s">
        <v>108</v>
      </c>
      <c r="U1474" t="s">
        <v>1199</v>
      </c>
    </row>
    <row r="1475" spans="1:21" x14ac:dyDescent="0.25">
      <c r="A1475" t="s">
        <v>3435</v>
      </c>
      <c r="B1475" s="8">
        <v>46013</v>
      </c>
      <c r="C1475" t="s">
        <v>1378</v>
      </c>
      <c r="D1475" t="s">
        <v>993</v>
      </c>
      <c r="E1475" t="s">
        <v>218</v>
      </c>
      <c r="F1475">
        <v>23</v>
      </c>
      <c r="G1475" t="s">
        <v>4</v>
      </c>
      <c r="H1475" t="s">
        <v>3</v>
      </c>
      <c r="I1475" t="s">
        <v>55</v>
      </c>
      <c r="J1475" t="s">
        <v>65</v>
      </c>
      <c r="K1475" t="s">
        <v>64</v>
      </c>
      <c r="L1475">
        <v>5</v>
      </c>
      <c r="M1475" s="12">
        <v>80</v>
      </c>
      <c r="N1475" s="12">
        <v>56</v>
      </c>
      <c r="O1475">
        <v>3</v>
      </c>
      <c r="P1475" s="12">
        <v>388</v>
      </c>
      <c r="Q1475" s="12">
        <v>280</v>
      </c>
      <c r="R1475" s="12">
        <v>108</v>
      </c>
      <c r="S1475" t="s">
        <v>113</v>
      </c>
      <c r="T1475" t="s">
        <v>109</v>
      </c>
      <c r="U1475" t="s">
        <v>1198</v>
      </c>
    </row>
    <row r="1476" spans="1:21" x14ac:dyDescent="0.25">
      <c r="A1476" t="s">
        <v>3436</v>
      </c>
      <c r="B1476" s="8">
        <v>45978</v>
      </c>
      <c r="C1476" t="s">
        <v>4788</v>
      </c>
      <c r="D1476" t="s">
        <v>671</v>
      </c>
      <c r="E1476" t="s">
        <v>218</v>
      </c>
      <c r="F1476">
        <v>65</v>
      </c>
      <c r="G1476" t="s">
        <v>290</v>
      </c>
      <c r="H1476" t="s">
        <v>3</v>
      </c>
      <c r="I1476" t="s">
        <v>57</v>
      </c>
      <c r="J1476" t="s">
        <v>67</v>
      </c>
      <c r="K1476" t="s">
        <v>64</v>
      </c>
      <c r="L1476">
        <v>4</v>
      </c>
      <c r="M1476" s="12">
        <v>150</v>
      </c>
      <c r="N1476" s="12">
        <v>97.5</v>
      </c>
      <c r="O1476">
        <v>3</v>
      </c>
      <c r="P1476" s="12">
        <v>582</v>
      </c>
      <c r="Q1476" s="12">
        <v>390</v>
      </c>
      <c r="R1476" s="12">
        <v>192</v>
      </c>
      <c r="S1476" t="s">
        <v>1246</v>
      </c>
      <c r="T1476" t="s">
        <v>109</v>
      </c>
      <c r="U1476" t="s">
        <v>1205</v>
      </c>
    </row>
    <row r="1477" spans="1:21" x14ac:dyDescent="0.25">
      <c r="A1477" t="s">
        <v>3437</v>
      </c>
      <c r="B1477" s="8">
        <v>45921</v>
      </c>
      <c r="C1477" t="s">
        <v>1797</v>
      </c>
      <c r="D1477" t="s">
        <v>672</v>
      </c>
      <c r="E1477" t="s">
        <v>198</v>
      </c>
      <c r="F1477">
        <v>40</v>
      </c>
      <c r="G1477" t="s">
        <v>11</v>
      </c>
      <c r="H1477" t="s">
        <v>12</v>
      </c>
      <c r="I1477" t="s">
        <v>61</v>
      </c>
      <c r="J1477" t="s">
        <v>146</v>
      </c>
      <c r="K1477" t="s">
        <v>64</v>
      </c>
      <c r="L1477">
        <v>3</v>
      </c>
      <c r="M1477" s="12">
        <v>250</v>
      </c>
      <c r="N1477" s="12">
        <v>155</v>
      </c>
      <c r="O1477">
        <v>3</v>
      </c>
      <c r="P1477" s="12">
        <v>727.5</v>
      </c>
      <c r="Q1477" s="12">
        <v>465</v>
      </c>
      <c r="R1477" s="12">
        <v>262.5</v>
      </c>
      <c r="S1477" t="s">
        <v>113</v>
      </c>
      <c r="T1477" t="s">
        <v>108</v>
      </c>
      <c r="U1477" t="s">
        <v>1211</v>
      </c>
    </row>
    <row r="1478" spans="1:21" x14ac:dyDescent="0.25">
      <c r="A1478" t="s">
        <v>3439</v>
      </c>
      <c r="B1478" s="8">
        <v>45796</v>
      </c>
      <c r="C1478" t="s">
        <v>2234</v>
      </c>
      <c r="D1478" t="s">
        <v>570</v>
      </c>
      <c r="E1478" t="s">
        <v>198</v>
      </c>
      <c r="F1478">
        <v>29</v>
      </c>
      <c r="G1478" t="s">
        <v>4</v>
      </c>
      <c r="H1478" t="s">
        <v>3</v>
      </c>
      <c r="I1478" t="s">
        <v>61</v>
      </c>
      <c r="J1478" t="s">
        <v>146</v>
      </c>
      <c r="K1478" t="s">
        <v>64</v>
      </c>
      <c r="L1478">
        <v>5</v>
      </c>
      <c r="M1478" s="12">
        <v>250</v>
      </c>
      <c r="N1478" s="12">
        <v>155</v>
      </c>
      <c r="O1478">
        <v>10</v>
      </c>
      <c r="P1478" s="12">
        <v>1125</v>
      </c>
      <c r="Q1478" s="12">
        <v>775</v>
      </c>
      <c r="R1478" s="12">
        <v>350</v>
      </c>
      <c r="S1478" t="s">
        <v>1246</v>
      </c>
      <c r="T1478" t="s">
        <v>107</v>
      </c>
      <c r="U1478" t="s">
        <v>1201</v>
      </c>
    </row>
    <row r="1479" spans="1:21" x14ac:dyDescent="0.25">
      <c r="A1479" t="s">
        <v>3440</v>
      </c>
      <c r="B1479" s="8">
        <v>45882</v>
      </c>
      <c r="C1479" t="s">
        <v>2615</v>
      </c>
      <c r="D1479" t="s">
        <v>766</v>
      </c>
      <c r="E1479" t="s">
        <v>218</v>
      </c>
      <c r="F1479">
        <v>18</v>
      </c>
      <c r="G1479" t="s">
        <v>5</v>
      </c>
      <c r="H1479" t="s">
        <v>3</v>
      </c>
      <c r="I1479" t="s">
        <v>49</v>
      </c>
      <c r="J1479" t="s">
        <v>56</v>
      </c>
      <c r="K1479" t="s">
        <v>43</v>
      </c>
      <c r="L1479">
        <v>1</v>
      </c>
      <c r="M1479" s="12">
        <v>31999</v>
      </c>
      <c r="N1479" s="12">
        <v>25599.200000000001</v>
      </c>
      <c r="O1479">
        <v>10</v>
      </c>
      <c r="P1479" s="12">
        <v>28799.100000000002</v>
      </c>
      <c r="Q1479" s="12">
        <v>25599.200000000001</v>
      </c>
      <c r="R1479" s="12">
        <v>3199.9000000000015</v>
      </c>
      <c r="S1479" t="s">
        <v>1246</v>
      </c>
      <c r="T1479" t="s">
        <v>107</v>
      </c>
      <c r="U1479" t="s">
        <v>1209</v>
      </c>
    </row>
    <row r="1480" spans="1:21" x14ac:dyDescent="0.25">
      <c r="A1480" t="s">
        <v>3441</v>
      </c>
      <c r="B1480" s="8">
        <v>45951</v>
      </c>
      <c r="C1480" t="s">
        <v>1415</v>
      </c>
      <c r="D1480" t="s">
        <v>1103</v>
      </c>
      <c r="E1480" t="s">
        <v>198</v>
      </c>
      <c r="F1480">
        <v>36</v>
      </c>
      <c r="G1480" t="s">
        <v>16</v>
      </c>
      <c r="H1480" t="s">
        <v>15</v>
      </c>
      <c r="I1480" t="s">
        <v>61</v>
      </c>
      <c r="J1480" t="s">
        <v>146</v>
      </c>
      <c r="K1480" t="s">
        <v>64</v>
      </c>
      <c r="L1480">
        <v>1</v>
      </c>
      <c r="M1480" s="12">
        <v>250</v>
      </c>
      <c r="N1480" s="12">
        <v>155</v>
      </c>
      <c r="O1480">
        <v>4</v>
      </c>
      <c r="P1480" s="12">
        <v>240</v>
      </c>
      <c r="Q1480" s="12">
        <v>155</v>
      </c>
      <c r="R1480" s="12">
        <v>85</v>
      </c>
      <c r="S1480" t="s">
        <v>113</v>
      </c>
      <c r="T1480" t="s">
        <v>107</v>
      </c>
      <c r="U1480" t="s">
        <v>1211</v>
      </c>
    </row>
    <row r="1481" spans="1:21" x14ac:dyDescent="0.25">
      <c r="A1481" t="s">
        <v>3443</v>
      </c>
      <c r="B1481" s="8">
        <v>45740</v>
      </c>
      <c r="C1481" t="s">
        <v>2294</v>
      </c>
      <c r="D1481" t="s">
        <v>1165</v>
      </c>
      <c r="E1481" t="s">
        <v>198</v>
      </c>
      <c r="F1481">
        <v>26</v>
      </c>
      <c r="G1481" t="s">
        <v>9</v>
      </c>
      <c r="H1481" t="s">
        <v>8</v>
      </c>
      <c r="I1481" t="s">
        <v>34</v>
      </c>
      <c r="J1481" t="s">
        <v>137</v>
      </c>
      <c r="K1481" t="s">
        <v>22</v>
      </c>
      <c r="L1481">
        <v>3</v>
      </c>
      <c r="M1481" s="12">
        <v>6900</v>
      </c>
      <c r="N1481" s="12">
        <v>5727</v>
      </c>
      <c r="O1481">
        <v>6</v>
      </c>
      <c r="P1481" s="12">
        <v>19458</v>
      </c>
      <c r="Q1481" s="12">
        <v>17181</v>
      </c>
      <c r="R1481" s="12">
        <v>2277</v>
      </c>
      <c r="S1481" t="s">
        <v>113</v>
      </c>
      <c r="T1481" t="s">
        <v>109</v>
      </c>
      <c r="U1481" t="s">
        <v>1207</v>
      </c>
    </row>
    <row r="1482" spans="1:21" x14ac:dyDescent="0.25">
      <c r="A1482" t="s">
        <v>3444</v>
      </c>
      <c r="B1482" s="8">
        <v>45878</v>
      </c>
      <c r="C1482" t="s">
        <v>2898</v>
      </c>
      <c r="D1482" t="s">
        <v>1009</v>
      </c>
      <c r="E1482" t="s">
        <v>198</v>
      </c>
      <c r="F1482">
        <v>44</v>
      </c>
      <c r="G1482" t="s">
        <v>14</v>
      </c>
      <c r="H1482" t="s">
        <v>15</v>
      </c>
      <c r="I1482" t="s">
        <v>55</v>
      </c>
      <c r="J1482" t="s">
        <v>65</v>
      </c>
      <c r="K1482" t="s">
        <v>64</v>
      </c>
      <c r="L1482">
        <v>4</v>
      </c>
      <c r="M1482" s="12">
        <v>80</v>
      </c>
      <c r="N1482" s="12">
        <v>56</v>
      </c>
      <c r="O1482">
        <v>0</v>
      </c>
      <c r="P1482" s="12">
        <v>320</v>
      </c>
      <c r="Q1482" s="12">
        <v>224</v>
      </c>
      <c r="R1482" s="12">
        <v>96</v>
      </c>
      <c r="S1482" t="s">
        <v>1246</v>
      </c>
      <c r="T1482" t="s">
        <v>107</v>
      </c>
      <c r="U1482" t="s">
        <v>1207</v>
      </c>
    </row>
    <row r="1483" spans="1:21" x14ac:dyDescent="0.25">
      <c r="A1483" t="s">
        <v>3445</v>
      </c>
      <c r="B1483" s="8">
        <v>45969</v>
      </c>
      <c r="C1483" t="s">
        <v>3612</v>
      </c>
      <c r="D1483" t="s">
        <v>515</v>
      </c>
      <c r="E1483" t="s">
        <v>218</v>
      </c>
      <c r="F1483">
        <v>41</v>
      </c>
      <c r="G1483" t="s">
        <v>289</v>
      </c>
      <c r="H1483" t="s">
        <v>3</v>
      </c>
      <c r="I1483" t="s">
        <v>61</v>
      </c>
      <c r="J1483" t="s">
        <v>146</v>
      </c>
      <c r="K1483" t="s">
        <v>64</v>
      </c>
      <c r="L1483">
        <v>5</v>
      </c>
      <c r="M1483" s="12">
        <v>250</v>
      </c>
      <c r="N1483" s="12">
        <v>155</v>
      </c>
      <c r="O1483">
        <v>5</v>
      </c>
      <c r="P1483" s="12">
        <v>1187.5</v>
      </c>
      <c r="Q1483" s="12">
        <v>775</v>
      </c>
      <c r="R1483" s="12">
        <v>412.5</v>
      </c>
      <c r="S1483" t="s">
        <v>1246</v>
      </c>
      <c r="T1483" t="s">
        <v>107</v>
      </c>
      <c r="U1483" t="s">
        <v>1199</v>
      </c>
    </row>
    <row r="1484" spans="1:21" x14ac:dyDescent="0.25">
      <c r="A1484" t="s">
        <v>3446</v>
      </c>
      <c r="B1484" s="8">
        <v>45977</v>
      </c>
      <c r="C1484" t="s">
        <v>1546</v>
      </c>
      <c r="D1484" t="s">
        <v>975</v>
      </c>
      <c r="E1484" t="s">
        <v>198</v>
      </c>
      <c r="F1484">
        <v>25</v>
      </c>
      <c r="G1484" t="s">
        <v>7</v>
      </c>
      <c r="H1484" t="s">
        <v>8</v>
      </c>
      <c r="I1484" t="s">
        <v>28</v>
      </c>
      <c r="J1484" t="s">
        <v>35</v>
      </c>
      <c r="K1484" t="s">
        <v>22</v>
      </c>
      <c r="L1484">
        <v>2</v>
      </c>
      <c r="M1484" s="12">
        <v>16499</v>
      </c>
      <c r="N1484" s="12">
        <v>14519.12</v>
      </c>
      <c r="O1484">
        <v>11</v>
      </c>
      <c r="P1484" s="12">
        <v>29368.22</v>
      </c>
      <c r="Q1484" s="12">
        <v>29038.240000000002</v>
      </c>
      <c r="R1484" s="12">
        <v>329.97999999999956</v>
      </c>
      <c r="S1484" t="s">
        <v>1246</v>
      </c>
      <c r="T1484" t="s">
        <v>107</v>
      </c>
      <c r="U1484" t="s">
        <v>1203</v>
      </c>
    </row>
    <row r="1485" spans="1:21" x14ac:dyDescent="0.25">
      <c r="A1485" t="s">
        <v>3447</v>
      </c>
      <c r="B1485" s="8">
        <v>45966</v>
      </c>
      <c r="C1485" t="s">
        <v>4502</v>
      </c>
      <c r="D1485" t="s">
        <v>571</v>
      </c>
      <c r="E1485" t="s">
        <v>218</v>
      </c>
      <c r="F1485">
        <v>57</v>
      </c>
      <c r="G1485" t="s">
        <v>4</v>
      </c>
      <c r="H1485" t="s">
        <v>3</v>
      </c>
      <c r="I1485" t="s">
        <v>26</v>
      </c>
      <c r="J1485" t="s">
        <v>27</v>
      </c>
      <c r="K1485" t="s">
        <v>22</v>
      </c>
      <c r="L1485">
        <v>3</v>
      </c>
      <c r="M1485" s="12">
        <v>27499</v>
      </c>
      <c r="N1485" s="12">
        <v>23374.149999999998</v>
      </c>
      <c r="O1485">
        <v>11</v>
      </c>
      <c r="P1485" s="12">
        <v>73422.33</v>
      </c>
      <c r="Q1485" s="12">
        <v>70122.45</v>
      </c>
      <c r="R1485" s="12">
        <v>3299.8800000000047</v>
      </c>
      <c r="S1485" t="s">
        <v>1246</v>
      </c>
      <c r="T1485" t="s">
        <v>107</v>
      </c>
      <c r="U1485" t="s">
        <v>1201</v>
      </c>
    </row>
    <row r="1486" spans="1:21" x14ac:dyDescent="0.25">
      <c r="A1486" t="s">
        <v>3448</v>
      </c>
      <c r="B1486" s="8">
        <v>45790</v>
      </c>
      <c r="C1486" t="s">
        <v>2373</v>
      </c>
      <c r="D1486" t="s">
        <v>924</v>
      </c>
      <c r="E1486" t="s">
        <v>198</v>
      </c>
      <c r="F1486">
        <v>41</v>
      </c>
      <c r="G1486" t="s">
        <v>11</v>
      </c>
      <c r="H1486" t="s">
        <v>12</v>
      </c>
      <c r="I1486" t="s">
        <v>40</v>
      </c>
      <c r="J1486" t="s">
        <v>39</v>
      </c>
      <c r="K1486" t="s">
        <v>22</v>
      </c>
      <c r="L1486">
        <v>1</v>
      </c>
      <c r="M1486" s="12">
        <v>1100</v>
      </c>
      <c r="N1486" s="12">
        <v>715</v>
      </c>
      <c r="O1486">
        <v>8</v>
      </c>
      <c r="P1486" s="12">
        <v>1012</v>
      </c>
      <c r="Q1486" s="12">
        <v>715</v>
      </c>
      <c r="R1486" s="12">
        <v>297</v>
      </c>
      <c r="S1486" t="s">
        <v>113</v>
      </c>
      <c r="T1486" t="s">
        <v>108</v>
      </c>
      <c r="U1486" t="s">
        <v>1209</v>
      </c>
    </row>
    <row r="1487" spans="1:21" x14ac:dyDescent="0.25">
      <c r="A1487" t="s">
        <v>3449</v>
      </c>
      <c r="B1487" s="8">
        <v>45677</v>
      </c>
      <c r="C1487" t="s">
        <v>3180</v>
      </c>
      <c r="D1487" t="s">
        <v>792</v>
      </c>
      <c r="E1487" t="s">
        <v>198</v>
      </c>
      <c r="F1487">
        <v>28</v>
      </c>
      <c r="G1487" t="s">
        <v>11</v>
      </c>
      <c r="H1487" t="s">
        <v>12</v>
      </c>
      <c r="I1487" t="s">
        <v>34</v>
      </c>
      <c r="J1487" t="s">
        <v>137</v>
      </c>
      <c r="K1487" t="s">
        <v>22</v>
      </c>
      <c r="L1487">
        <v>5</v>
      </c>
      <c r="M1487" s="12">
        <v>6900</v>
      </c>
      <c r="N1487" s="12">
        <v>5727</v>
      </c>
      <c r="O1487">
        <v>7</v>
      </c>
      <c r="P1487" s="12">
        <v>32084.999999999996</v>
      </c>
      <c r="Q1487" s="12">
        <v>28635</v>
      </c>
      <c r="R1487" s="12">
        <v>3449.9999999999964</v>
      </c>
      <c r="S1487" t="s">
        <v>1246</v>
      </c>
      <c r="T1487" t="s">
        <v>110</v>
      </c>
      <c r="U1487" t="s">
        <v>1198</v>
      </c>
    </row>
    <row r="1488" spans="1:21" x14ac:dyDescent="0.25">
      <c r="A1488" t="s">
        <v>3450</v>
      </c>
      <c r="B1488" s="8">
        <v>46002</v>
      </c>
      <c r="C1488" t="s">
        <v>1251</v>
      </c>
      <c r="D1488" t="s">
        <v>585</v>
      </c>
      <c r="E1488" t="s">
        <v>218</v>
      </c>
      <c r="F1488">
        <v>20</v>
      </c>
      <c r="G1488" t="s">
        <v>2</v>
      </c>
      <c r="H1488" t="s">
        <v>3</v>
      </c>
      <c r="I1488" t="s">
        <v>21</v>
      </c>
      <c r="J1488" t="s">
        <v>23</v>
      </c>
      <c r="K1488" t="s">
        <v>22</v>
      </c>
      <c r="L1488">
        <v>3</v>
      </c>
      <c r="M1488" s="12">
        <v>54999</v>
      </c>
      <c r="N1488" s="12">
        <v>45099.18</v>
      </c>
      <c r="O1488">
        <v>17</v>
      </c>
      <c r="P1488" s="12">
        <v>136947.50999999998</v>
      </c>
      <c r="Q1488" s="12">
        <v>135297.54</v>
      </c>
      <c r="R1488" s="12">
        <v>1649.9699999999721</v>
      </c>
      <c r="S1488" t="s">
        <v>1246</v>
      </c>
      <c r="T1488" t="s">
        <v>107</v>
      </c>
      <c r="U1488" t="s">
        <v>1207</v>
      </c>
    </row>
    <row r="1489" spans="1:21" x14ac:dyDescent="0.25">
      <c r="A1489" t="s">
        <v>3451</v>
      </c>
      <c r="B1489" s="8">
        <v>45948</v>
      </c>
      <c r="C1489" t="s">
        <v>2377</v>
      </c>
      <c r="D1489" t="s">
        <v>585</v>
      </c>
      <c r="E1489" t="s">
        <v>218</v>
      </c>
      <c r="F1489">
        <v>39</v>
      </c>
      <c r="G1489" t="s">
        <v>9</v>
      </c>
      <c r="H1489" t="s">
        <v>8</v>
      </c>
      <c r="I1489" t="s">
        <v>32</v>
      </c>
      <c r="J1489" t="s">
        <v>29</v>
      </c>
      <c r="K1489" t="s">
        <v>22</v>
      </c>
      <c r="L1489">
        <v>1</v>
      </c>
      <c r="M1489" s="12">
        <v>9500</v>
      </c>
      <c r="N1489" s="12">
        <v>6650</v>
      </c>
      <c r="O1489">
        <v>4</v>
      </c>
      <c r="P1489" s="12">
        <v>9120</v>
      </c>
      <c r="Q1489" s="12">
        <v>6650</v>
      </c>
      <c r="R1489" s="12">
        <v>2470</v>
      </c>
      <c r="S1489" t="s">
        <v>1246</v>
      </c>
      <c r="T1489" t="s">
        <v>109</v>
      </c>
      <c r="U1489" t="s">
        <v>1194</v>
      </c>
    </row>
    <row r="1490" spans="1:21" x14ac:dyDescent="0.25">
      <c r="A1490" t="s">
        <v>3452</v>
      </c>
      <c r="B1490" s="8">
        <v>45682</v>
      </c>
      <c r="C1490" t="s">
        <v>1632</v>
      </c>
      <c r="D1490" t="s">
        <v>590</v>
      </c>
      <c r="E1490" t="s">
        <v>218</v>
      </c>
      <c r="F1490">
        <v>53</v>
      </c>
      <c r="G1490" t="s">
        <v>9</v>
      </c>
      <c r="H1490" t="s">
        <v>8</v>
      </c>
      <c r="I1490" t="s">
        <v>38</v>
      </c>
      <c r="J1490" t="s">
        <v>37</v>
      </c>
      <c r="K1490" t="s">
        <v>22</v>
      </c>
      <c r="L1490">
        <v>2</v>
      </c>
      <c r="M1490" s="12">
        <v>1650</v>
      </c>
      <c r="N1490" s="12">
        <v>990</v>
      </c>
      <c r="O1490">
        <v>5</v>
      </c>
      <c r="P1490" s="12">
        <v>3135</v>
      </c>
      <c r="Q1490" s="12">
        <v>1980</v>
      </c>
      <c r="R1490" s="12">
        <v>1155</v>
      </c>
      <c r="S1490" t="s">
        <v>1246</v>
      </c>
      <c r="T1490" t="s">
        <v>109</v>
      </c>
      <c r="U1490" t="s">
        <v>1207</v>
      </c>
    </row>
    <row r="1491" spans="1:21" x14ac:dyDescent="0.25">
      <c r="A1491" t="s">
        <v>3453</v>
      </c>
      <c r="B1491" s="8">
        <v>45961</v>
      </c>
      <c r="C1491" t="s">
        <v>1988</v>
      </c>
      <c r="D1491" t="s">
        <v>703</v>
      </c>
      <c r="E1491" t="s">
        <v>198</v>
      </c>
      <c r="F1491">
        <v>38</v>
      </c>
      <c r="G1491" t="s">
        <v>16</v>
      </c>
      <c r="H1491" t="s">
        <v>15</v>
      </c>
      <c r="I1491" t="s">
        <v>36</v>
      </c>
      <c r="J1491" t="s">
        <v>136</v>
      </c>
      <c r="K1491" t="s">
        <v>22</v>
      </c>
      <c r="L1491">
        <v>3</v>
      </c>
      <c r="M1491" s="12">
        <v>3590</v>
      </c>
      <c r="N1491" s="12">
        <v>2333.5</v>
      </c>
      <c r="O1491">
        <v>7</v>
      </c>
      <c r="P1491" s="12">
        <v>10016.099999999999</v>
      </c>
      <c r="Q1491" s="12">
        <v>7000.5</v>
      </c>
      <c r="R1491" s="12">
        <v>3015.5999999999985</v>
      </c>
      <c r="S1491" t="s">
        <v>1246</v>
      </c>
      <c r="T1491" t="s">
        <v>107</v>
      </c>
      <c r="U1491" t="s">
        <v>1211</v>
      </c>
    </row>
    <row r="1492" spans="1:21" x14ac:dyDescent="0.25">
      <c r="A1492" t="s">
        <v>3455</v>
      </c>
      <c r="B1492" s="8">
        <v>45785</v>
      </c>
      <c r="C1492" t="s">
        <v>3812</v>
      </c>
      <c r="D1492" t="s">
        <v>837</v>
      </c>
      <c r="E1492" t="s">
        <v>198</v>
      </c>
      <c r="F1492">
        <v>47</v>
      </c>
      <c r="G1492" t="s">
        <v>290</v>
      </c>
      <c r="H1492" t="s">
        <v>3</v>
      </c>
      <c r="I1492" t="s">
        <v>55</v>
      </c>
      <c r="J1492" t="s">
        <v>65</v>
      </c>
      <c r="K1492" t="s">
        <v>64</v>
      </c>
      <c r="L1492">
        <v>3</v>
      </c>
      <c r="M1492" s="12">
        <v>80</v>
      </c>
      <c r="N1492" s="12">
        <v>56</v>
      </c>
      <c r="O1492">
        <v>13</v>
      </c>
      <c r="P1492" s="12">
        <v>208.8</v>
      </c>
      <c r="Q1492" s="12">
        <v>168</v>
      </c>
      <c r="R1492" s="12">
        <v>40.800000000000011</v>
      </c>
      <c r="S1492" t="s">
        <v>113</v>
      </c>
      <c r="T1492" t="s">
        <v>110</v>
      </c>
      <c r="U1492" t="s">
        <v>1199</v>
      </c>
    </row>
    <row r="1493" spans="1:21" x14ac:dyDescent="0.25">
      <c r="A1493" t="s">
        <v>3456</v>
      </c>
      <c r="B1493" s="8">
        <v>45708</v>
      </c>
      <c r="C1493" t="s">
        <v>1743</v>
      </c>
      <c r="D1493" t="s">
        <v>511</v>
      </c>
      <c r="E1493" t="s">
        <v>218</v>
      </c>
      <c r="F1493">
        <v>46</v>
      </c>
      <c r="G1493" t="s">
        <v>289</v>
      </c>
      <c r="H1493" t="s">
        <v>3</v>
      </c>
      <c r="I1493" t="s">
        <v>47</v>
      </c>
      <c r="J1493" t="s">
        <v>52</v>
      </c>
      <c r="K1493" t="s">
        <v>43</v>
      </c>
      <c r="L1493">
        <v>5</v>
      </c>
      <c r="M1493" s="12">
        <v>42999</v>
      </c>
      <c r="N1493" s="12">
        <v>33539.22</v>
      </c>
      <c r="O1493">
        <v>5</v>
      </c>
      <c r="P1493" s="12">
        <v>204245.25</v>
      </c>
      <c r="Q1493" s="12">
        <v>167696.1</v>
      </c>
      <c r="R1493" s="12">
        <v>36549.149999999994</v>
      </c>
      <c r="S1493" t="s">
        <v>1246</v>
      </c>
      <c r="T1493" t="s">
        <v>107</v>
      </c>
      <c r="U1493" t="s">
        <v>1198</v>
      </c>
    </row>
    <row r="1494" spans="1:21" x14ac:dyDescent="0.25">
      <c r="A1494" t="s">
        <v>3457</v>
      </c>
      <c r="B1494" s="8">
        <v>45711</v>
      </c>
      <c r="C1494" t="s">
        <v>1632</v>
      </c>
      <c r="D1494" t="s">
        <v>590</v>
      </c>
      <c r="E1494" t="s">
        <v>218</v>
      </c>
      <c r="F1494">
        <v>53</v>
      </c>
      <c r="G1494" t="s">
        <v>9</v>
      </c>
      <c r="H1494" t="s">
        <v>8</v>
      </c>
      <c r="I1494" t="s">
        <v>21</v>
      </c>
      <c r="J1494" t="s">
        <v>23</v>
      </c>
      <c r="K1494" t="s">
        <v>22</v>
      </c>
      <c r="L1494">
        <v>5</v>
      </c>
      <c r="M1494" s="12">
        <v>54999</v>
      </c>
      <c r="N1494" s="12">
        <v>45099.18</v>
      </c>
      <c r="O1494">
        <v>7</v>
      </c>
      <c r="P1494" s="12">
        <v>255745.34999999998</v>
      </c>
      <c r="Q1494" s="12">
        <v>225495.9</v>
      </c>
      <c r="R1494" s="12">
        <v>30249.449999999983</v>
      </c>
      <c r="S1494" t="s">
        <v>1246</v>
      </c>
      <c r="T1494" t="s">
        <v>110</v>
      </c>
      <c r="U1494" t="s">
        <v>1207</v>
      </c>
    </row>
    <row r="1495" spans="1:21" x14ac:dyDescent="0.25">
      <c r="A1495" t="s">
        <v>3458</v>
      </c>
      <c r="B1495" s="8">
        <v>45798</v>
      </c>
      <c r="C1495" t="s">
        <v>1829</v>
      </c>
      <c r="D1495" t="s">
        <v>657</v>
      </c>
      <c r="E1495" t="s">
        <v>198</v>
      </c>
      <c r="F1495">
        <v>49</v>
      </c>
      <c r="G1495" t="s">
        <v>14</v>
      </c>
      <c r="H1495" t="s">
        <v>15</v>
      </c>
      <c r="I1495" t="s">
        <v>57</v>
      </c>
      <c r="J1495" t="s">
        <v>67</v>
      </c>
      <c r="K1495" t="s">
        <v>64</v>
      </c>
      <c r="L1495">
        <v>4</v>
      </c>
      <c r="M1495" s="12">
        <v>150</v>
      </c>
      <c r="N1495" s="12">
        <v>97.5</v>
      </c>
      <c r="O1495">
        <v>12</v>
      </c>
      <c r="P1495" s="12">
        <v>528</v>
      </c>
      <c r="Q1495" s="12">
        <v>390</v>
      </c>
      <c r="R1495" s="12">
        <v>138</v>
      </c>
      <c r="S1495" t="s">
        <v>1246</v>
      </c>
      <c r="T1495" t="s">
        <v>107</v>
      </c>
      <c r="U1495" t="s">
        <v>1198</v>
      </c>
    </row>
    <row r="1496" spans="1:21" x14ac:dyDescent="0.25">
      <c r="A1496" t="s">
        <v>3459</v>
      </c>
      <c r="B1496" s="8">
        <v>46007</v>
      </c>
      <c r="C1496" t="s">
        <v>1442</v>
      </c>
      <c r="D1496" t="s">
        <v>883</v>
      </c>
      <c r="E1496" t="s">
        <v>218</v>
      </c>
      <c r="F1496">
        <v>54</v>
      </c>
      <c r="G1496" t="s">
        <v>14</v>
      </c>
      <c r="H1496" t="s">
        <v>15</v>
      </c>
      <c r="I1496" t="s">
        <v>40</v>
      </c>
      <c r="J1496" t="s">
        <v>39</v>
      </c>
      <c r="K1496" t="s">
        <v>22</v>
      </c>
      <c r="L1496">
        <v>5</v>
      </c>
      <c r="M1496" s="12">
        <v>1100</v>
      </c>
      <c r="N1496" s="12">
        <v>715</v>
      </c>
      <c r="O1496">
        <v>18</v>
      </c>
      <c r="P1496" s="12">
        <v>4510</v>
      </c>
      <c r="Q1496" s="12">
        <v>3575</v>
      </c>
      <c r="R1496" s="12">
        <v>935</v>
      </c>
      <c r="S1496" t="s">
        <v>1246</v>
      </c>
      <c r="T1496" t="s">
        <v>109</v>
      </c>
      <c r="U1496" t="s">
        <v>1199</v>
      </c>
    </row>
    <row r="1497" spans="1:21" x14ac:dyDescent="0.25">
      <c r="A1497" t="s">
        <v>3460</v>
      </c>
      <c r="B1497" s="8">
        <v>45967</v>
      </c>
      <c r="C1497" t="s">
        <v>4152</v>
      </c>
      <c r="D1497" t="s">
        <v>747</v>
      </c>
      <c r="E1497" t="s">
        <v>218</v>
      </c>
      <c r="F1497">
        <v>39</v>
      </c>
      <c r="G1497" t="s">
        <v>16</v>
      </c>
      <c r="H1497" t="s">
        <v>15</v>
      </c>
      <c r="I1497" t="s">
        <v>47</v>
      </c>
      <c r="J1497" t="s">
        <v>52</v>
      </c>
      <c r="K1497" t="s">
        <v>43</v>
      </c>
      <c r="L1497">
        <v>5</v>
      </c>
      <c r="M1497" s="12">
        <v>42999</v>
      </c>
      <c r="N1497" s="12">
        <v>33539.22</v>
      </c>
      <c r="O1497">
        <v>20</v>
      </c>
      <c r="P1497" s="12">
        <v>171996</v>
      </c>
      <c r="Q1497" s="12">
        <v>167696.1</v>
      </c>
      <c r="R1497" s="12">
        <v>4299.8999999999942</v>
      </c>
      <c r="S1497" t="s">
        <v>1246</v>
      </c>
      <c r="T1497" t="s">
        <v>110</v>
      </c>
      <c r="U1497" t="s">
        <v>1201</v>
      </c>
    </row>
    <row r="1498" spans="1:21" x14ac:dyDescent="0.25">
      <c r="A1498" t="s">
        <v>3461</v>
      </c>
      <c r="B1498" s="8">
        <v>45902</v>
      </c>
      <c r="C1498" t="s">
        <v>2068</v>
      </c>
      <c r="D1498" t="s">
        <v>775</v>
      </c>
      <c r="E1498" t="s">
        <v>218</v>
      </c>
      <c r="F1498">
        <v>60</v>
      </c>
      <c r="G1498" t="s">
        <v>14</v>
      </c>
      <c r="H1498" t="s">
        <v>15</v>
      </c>
      <c r="I1498" t="s">
        <v>47</v>
      </c>
      <c r="J1498" t="s">
        <v>52</v>
      </c>
      <c r="K1498" t="s">
        <v>43</v>
      </c>
      <c r="L1498">
        <v>1</v>
      </c>
      <c r="M1498" s="12">
        <v>42999</v>
      </c>
      <c r="N1498" s="12">
        <v>33539.22</v>
      </c>
      <c r="O1498">
        <v>6</v>
      </c>
      <c r="P1498" s="12">
        <v>40419.06</v>
      </c>
      <c r="Q1498" s="12">
        <v>33539.22</v>
      </c>
      <c r="R1498" s="12">
        <v>6879.8399999999965</v>
      </c>
      <c r="S1498" t="s">
        <v>113</v>
      </c>
      <c r="T1498" t="s">
        <v>107</v>
      </c>
      <c r="U1498" t="s">
        <v>1198</v>
      </c>
    </row>
    <row r="1499" spans="1:21" x14ac:dyDescent="0.25">
      <c r="A1499" t="s">
        <v>3462</v>
      </c>
      <c r="B1499" s="8">
        <v>45943</v>
      </c>
      <c r="C1499" t="s">
        <v>2584</v>
      </c>
      <c r="D1499" t="s">
        <v>463</v>
      </c>
      <c r="E1499" t="s">
        <v>218</v>
      </c>
      <c r="F1499">
        <v>32</v>
      </c>
      <c r="G1499" t="s">
        <v>16</v>
      </c>
      <c r="H1499" t="s">
        <v>15</v>
      </c>
      <c r="I1499" t="s">
        <v>51</v>
      </c>
      <c r="J1499" t="s">
        <v>54</v>
      </c>
      <c r="K1499" t="s">
        <v>43</v>
      </c>
      <c r="L1499">
        <v>5</v>
      </c>
      <c r="M1499" s="12">
        <v>27499</v>
      </c>
      <c r="N1499" s="12">
        <v>21724.210000000003</v>
      </c>
      <c r="O1499">
        <v>7</v>
      </c>
      <c r="P1499" s="12">
        <v>127870.34999999999</v>
      </c>
      <c r="Q1499" s="12">
        <v>108621.05000000002</v>
      </c>
      <c r="R1499" s="12">
        <v>19249.299999999974</v>
      </c>
      <c r="S1499" t="s">
        <v>1246</v>
      </c>
      <c r="T1499" t="s">
        <v>107</v>
      </c>
      <c r="U1499" t="s">
        <v>1194</v>
      </c>
    </row>
    <row r="1500" spans="1:21" x14ac:dyDescent="0.25">
      <c r="A1500" t="s">
        <v>3464</v>
      </c>
      <c r="B1500" s="8">
        <v>45944</v>
      </c>
      <c r="C1500" t="s">
        <v>1870</v>
      </c>
      <c r="D1500" t="s">
        <v>831</v>
      </c>
      <c r="E1500" t="s">
        <v>198</v>
      </c>
      <c r="F1500">
        <v>57</v>
      </c>
      <c r="G1500" t="s">
        <v>11</v>
      </c>
      <c r="H1500" t="s">
        <v>12</v>
      </c>
      <c r="I1500" t="s">
        <v>45</v>
      </c>
      <c r="J1500" t="s">
        <v>46</v>
      </c>
      <c r="K1500" t="s">
        <v>43</v>
      </c>
      <c r="L1500">
        <v>5</v>
      </c>
      <c r="M1500" s="12">
        <v>11999</v>
      </c>
      <c r="N1500" s="12">
        <v>8999.25</v>
      </c>
      <c r="O1500">
        <v>10</v>
      </c>
      <c r="P1500" s="12">
        <v>53995.5</v>
      </c>
      <c r="Q1500" s="12">
        <v>44996.25</v>
      </c>
      <c r="R1500" s="12">
        <v>8999.25</v>
      </c>
      <c r="S1500" t="s">
        <v>1246</v>
      </c>
      <c r="T1500" t="s">
        <v>107</v>
      </c>
      <c r="U1500" t="s">
        <v>1201</v>
      </c>
    </row>
    <row r="1501" spans="1:21" x14ac:dyDescent="0.25">
      <c r="A1501" t="s">
        <v>3465</v>
      </c>
      <c r="B1501" s="8">
        <v>45962</v>
      </c>
      <c r="C1501" t="s">
        <v>1897</v>
      </c>
      <c r="D1501" t="s">
        <v>409</v>
      </c>
      <c r="E1501" t="s">
        <v>198</v>
      </c>
      <c r="F1501">
        <v>62</v>
      </c>
      <c r="G1501" t="s">
        <v>10</v>
      </c>
      <c r="H1501" t="s">
        <v>8</v>
      </c>
      <c r="I1501" t="s">
        <v>40</v>
      </c>
      <c r="J1501" t="s">
        <v>39</v>
      </c>
      <c r="K1501" t="s">
        <v>22</v>
      </c>
      <c r="L1501">
        <v>5</v>
      </c>
      <c r="M1501" s="12">
        <v>1100</v>
      </c>
      <c r="N1501" s="12">
        <v>715</v>
      </c>
      <c r="O1501">
        <v>15</v>
      </c>
      <c r="P1501" s="12">
        <v>4675</v>
      </c>
      <c r="Q1501" s="12">
        <v>3575</v>
      </c>
      <c r="R1501" s="12">
        <v>1100</v>
      </c>
      <c r="S1501" t="s">
        <v>1246</v>
      </c>
      <c r="T1501" t="s">
        <v>109</v>
      </c>
      <c r="U1501" t="s">
        <v>1205</v>
      </c>
    </row>
    <row r="1502" spans="1:21" x14ac:dyDescent="0.25">
      <c r="A1502" t="s">
        <v>3467</v>
      </c>
      <c r="B1502" s="8">
        <v>45790</v>
      </c>
      <c r="C1502" t="s">
        <v>5091</v>
      </c>
      <c r="D1502" t="s">
        <v>717</v>
      </c>
      <c r="E1502" t="s">
        <v>198</v>
      </c>
      <c r="F1502">
        <v>47</v>
      </c>
      <c r="G1502" t="s">
        <v>14</v>
      </c>
      <c r="H1502" t="s">
        <v>15</v>
      </c>
      <c r="I1502" t="s">
        <v>40</v>
      </c>
      <c r="J1502" t="s">
        <v>39</v>
      </c>
      <c r="K1502" t="s">
        <v>22</v>
      </c>
      <c r="L1502">
        <v>2</v>
      </c>
      <c r="M1502" s="12">
        <v>1100</v>
      </c>
      <c r="N1502" s="12">
        <v>715</v>
      </c>
      <c r="O1502">
        <v>5</v>
      </c>
      <c r="P1502" s="12">
        <v>2090</v>
      </c>
      <c r="Q1502" s="12">
        <v>1430</v>
      </c>
      <c r="R1502" s="12">
        <v>660</v>
      </c>
      <c r="S1502" t="s">
        <v>1246</v>
      </c>
      <c r="T1502" t="s">
        <v>107</v>
      </c>
      <c r="U1502" t="s">
        <v>1201</v>
      </c>
    </row>
    <row r="1503" spans="1:21" x14ac:dyDescent="0.25">
      <c r="A1503" t="s">
        <v>3468</v>
      </c>
      <c r="B1503" s="8">
        <v>45906</v>
      </c>
      <c r="C1503" t="s">
        <v>1368</v>
      </c>
      <c r="D1503" t="s">
        <v>602</v>
      </c>
      <c r="E1503" t="s">
        <v>198</v>
      </c>
      <c r="F1503">
        <v>51</v>
      </c>
      <c r="G1503" t="s">
        <v>14</v>
      </c>
      <c r="H1503" t="s">
        <v>15</v>
      </c>
      <c r="I1503" t="s">
        <v>34</v>
      </c>
      <c r="J1503" t="s">
        <v>137</v>
      </c>
      <c r="K1503" t="s">
        <v>22</v>
      </c>
      <c r="L1503">
        <v>1</v>
      </c>
      <c r="M1503" s="12">
        <v>6900</v>
      </c>
      <c r="N1503" s="12">
        <v>5727</v>
      </c>
      <c r="O1503">
        <v>7</v>
      </c>
      <c r="P1503" s="12">
        <v>6417</v>
      </c>
      <c r="Q1503" s="12">
        <v>5727</v>
      </c>
      <c r="R1503" s="12">
        <v>690</v>
      </c>
      <c r="S1503" t="s">
        <v>1246</v>
      </c>
      <c r="T1503" t="s">
        <v>109</v>
      </c>
      <c r="U1503" t="s">
        <v>1203</v>
      </c>
    </row>
    <row r="1504" spans="1:21" x14ac:dyDescent="0.25">
      <c r="A1504" t="s">
        <v>3469</v>
      </c>
      <c r="B1504" s="8">
        <v>45974</v>
      </c>
      <c r="C1504" t="s">
        <v>1302</v>
      </c>
      <c r="D1504" t="s">
        <v>415</v>
      </c>
      <c r="E1504" t="s">
        <v>198</v>
      </c>
      <c r="F1504">
        <v>48</v>
      </c>
      <c r="G1504" t="s">
        <v>4</v>
      </c>
      <c r="H1504" t="s">
        <v>3</v>
      </c>
      <c r="I1504" t="s">
        <v>28</v>
      </c>
      <c r="J1504" t="s">
        <v>35</v>
      </c>
      <c r="K1504" t="s">
        <v>22</v>
      </c>
      <c r="L1504">
        <v>1</v>
      </c>
      <c r="M1504" s="12">
        <v>16499</v>
      </c>
      <c r="N1504" s="12">
        <v>14519.12</v>
      </c>
      <c r="O1504">
        <v>11</v>
      </c>
      <c r="P1504" s="12">
        <v>14684.11</v>
      </c>
      <c r="Q1504" s="12">
        <v>14519.12</v>
      </c>
      <c r="R1504" s="12">
        <v>164.98999999999978</v>
      </c>
      <c r="S1504" t="s">
        <v>1246</v>
      </c>
      <c r="T1504" t="s">
        <v>107</v>
      </c>
      <c r="U1504" t="s">
        <v>1211</v>
      </c>
    </row>
    <row r="1505" spans="1:21" x14ac:dyDescent="0.25">
      <c r="A1505" t="s">
        <v>3470</v>
      </c>
      <c r="B1505" s="8">
        <v>45967</v>
      </c>
      <c r="C1505" t="s">
        <v>1961</v>
      </c>
      <c r="D1505" t="s">
        <v>465</v>
      </c>
      <c r="E1505" t="s">
        <v>218</v>
      </c>
      <c r="F1505">
        <v>32</v>
      </c>
      <c r="G1505" t="s">
        <v>17</v>
      </c>
      <c r="H1505" t="s">
        <v>15</v>
      </c>
      <c r="I1505" t="s">
        <v>32</v>
      </c>
      <c r="J1505" t="s">
        <v>29</v>
      </c>
      <c r="K1505" t="s">
        <v>22</v>
      </c>
      <c r="L1505">
        <v>3</v>
      </c>
      <c r="M1505" s="12">
        <v>9500</v>
      </c>
      <c r="N1505" s="12">
        <v>6650</v>
      </c>
      <c r="O1505">
        <v>14</v>
      </c>
      <c r="P1505" s="12">
        <v>24510</v>
      </c>
      <c r="Q1505" s="12">
        <v>19950</v>
      </c>
      <c r="R1505" s="12">
        <v>4560</v>
      </c>
      <c r="S1505" t="s">
        <v>1246</v>
      </c>
      <c r="T1505" t="s">
        <v>107</v>
      </c>
      <c r="U1505" t="s">
        <v>1209</v>
      </c>
    </row>
    <row r="1506" spans="1:21" x14ac:dyDescent="0.25">
      <c r="A1506" t="s">
        <v>3471</v>
      </c>
      <c r="B1506" s="8">
        <v>46009</v>
      </c>
      <c r="C1506" t="s">
        <v>1590</v>
      </c>
      <c r="D1506" t="s">
        <v>562</v>
      </c>
      <c r="E1506" t="s">
        <v>218</v>
      </c>
      <c r="F1506">
        <v>44</v>
      </c>
      <c r="G1506" t="s">
        <v>290</v>
      </c>
      <c r="H1506" t="s">
        <v>3</v>
      </c>
      <c r="I1506" t="s">
        <v>63</v>
      </c>
      <c r="J1506" t="s">
        <v>77</v>
      </c>
      <c r="K1506" t="s">
        <v>64</v>
      </c>
      <c r="L1506">
        <v>4</v>
      </c>
      <c r="M1506" s="12">
        <v>650</v>
      </c>
      <c r="N1506" s="12">
        <v>468</v>
      </c>
      <c r="O1506">
        <v>5</v>
      </c>
      <c r="P1506" s="12">
        <v>2470</v>
      </c>
      <c r="Q1506" s="12">
        <v>1872</v>
      </c>
      <c r="R1506" s="12">
        <v>598</v>
      </c>
      <c r="S1506" t="s">
        <v>1246</v>
      </c>
      <c r="T1506" t="s">
        <v>107</v>
      </c>
      <c r="U1506" t="s">
        <v>1209</v>
      </c>
    </row>
    <row r="1507" spans="1:21" x14ac:dyDescent="0.25">
      <c r="A1507" t="s">
        <v>3472</v>
      </c>
      <c r="B1507" s="8">
        <v>45672</v>
      </c>
      <c r="C1507" t="s">
        <v>1532</v>
      </c>
      <c r="D1507" t="s">
        <v>867</v>
      </c>
      <c r="E1507" t="s">
        <v>218</v>
      </c>
      <c r="F1507">
        <v>21</v>
      </c>
      <c r="G1507" t="s">
        <v>16</v>
      </c>
      <c r="H1507" t="s">
        <v>15</v>
      </c>
      <c r="I1507" t="s">
        <v>28</v>
      </c>
      <c r="J1507" t="s">
        <v>35</v>
      </c>
      <c r="K1507" t="s">
        <v>22</v>
      </c>
      <c r="L1507">
        <v>5</v>
      </c>
      <c r="M1507" s="12">
        <v>16499</v>
      </c>
      <c r="N1507" s="12">
        <v>14519.12</v>
      </c>
      <c r="O1507">
        <v>7</v>
      </c>
      <c r="P1507" s="12">
        <v>76720.349999999991</v>
      </c>
      <c r="Q1507" s="12">
        <v>72595.600000000006</v>
      </c>
      <c r="R1507" s="12">
        <v>4124.7499999999854</v>
      </c>
      <c r="S1507" t="s">
        <v>113</v>
      </c>
      <c r="T1507" t="s">
        <v>107</v>
      </c>
      <c r="U1507" t="s">
        <v>1198</v>
      </c>
    </row>
    <row r="1508" spans="1:21" x14ac:dyDescent="0.25">
      <c r="A1508" t="s">
        <v>3473</v>
      </c>
      <c r="B1508" s="8">
        <v>45713</v>
      </c>
      <c r="C1508" t="s">
        <v>1380</v>
      </c>
      <c r="D1508" t="s">
        <v>919</v>
      </c>
      <c r="E1508" t="s">
        <v>218</v>
      </c>
      <c r="F1508">
        <v>49</v>
      </c>
      <c r="G1508" t="s">
        <v>14</v>
      </c>
      <c r="H1508" t="s">
        <v>15</v>
      </c>
      <c r="I1508" t="s">
        <v>34</v>
      </c>
      <c r="J1508" t="s">
        <v>137</v>
      </c>
      <c r="K1508" t="s">
        <v>22</v>
      </c>
      <c r="L1508">
        <v>4</v>
      </c>
      <c r="M1508" s="12">
        <v>6900</v>
      </c>
      <c r="N1508" s="12">
        <v>5727</v>
      </c>
      <c r="O1508">
        <v>6</v>
      </c>
      <c r="P1508" s="12">
        <v>25944</v>
      </c>
      <c r="Q1508" s="12">
        <v>22908</v>
      </c>
      <c r="R1508" s="12">
        <v>3036</v>
      </c>
      <c r="S1508" t="s">
        <v>113</v>
      </c>
      <c r="T1508" t="s">
        <v>109</v>
      </c>
      <c r="U1508" t="s">
        <v>1199</v>
      </c>
    </row>
    <row r="1509" spans="1:21" x14ac:dyDescent="0.25">
      <c r="A1509" t="s">
        <v>3474</v>
      </c>
      <c r="B1509" s="8">
        <v>45980</v>
      </c>
      <c r="C1509" t="s">
        <v>1551</v>
      </c>
      <c r="D1509" t="s">
        <v>830</v>
      </c>
      <c r="E1509" t="s">
        <v>218</v>
      </c>
      <c r="F1509">
        <v>20</v>
      </c>
      <c r="G1509" t="s">
        <v>5</v>
      </c>
      <c r="H1509" t="s">
        <v>3</v>
      </c>
      <c r="I1509" t="s">
        <v>49</v>
      </c>
      <c r="J1509" t="s">
        <v>56</v>
      </c>
      <c r="K1509" t="s">
        <v>43</v>
      </c>
      <c r="L1509">
        <v>1</v>
      </c>
      <c r="M1509" s="12">
        <v>31999</v>
      </c>
      <c r="N1509" s="12">
        <v>25599.200000000001</v>
      </c>
      <c r="O1509">
        <v>18</v>
      </c>
      <c r="P1509" s="12">
        <v>26239.18</v>
      </c>
      <c r="Q1509" s="12">
        <v>25599.200000000001</v>
      </c>
      <c r="R1509" s="12">
        <v>639.97999999999956</v>
      </c>
      <c r="S1509" t="s">
        <v>1246</v>
      </c>
      <c r="T1509" t="s">
        <v>110</v>
      </c>
      <c r="U1509" t="s">
        <v>1199</v>
      </c>
    </row>
    <row r="1510" spans="1:21" x14ac:dyDescent="0.25">
      <c r="A1510" t="s">
        <v>3475</v>
      </c>
      <c r="B1510" s="8">
        <v>45721</v>
      </c>
      <c r="C1510" t="s">
        <v>3205</v>
      </c>
      <c r="D1510" t="s">
        <v>1185</v>
      </c>
      <c r="E1510" t="s">
        <v>218</v>
      </c>
      <c r="F1510">
        <v>30</v>
      </c>
      <c r="G1510" t="s">
        <v>14</v>
      </c>
      <c r="H1510" t="s">
        <v>15</v>
      </c>
      <c r="I1510" t="s">
        <v>21</v>
      </c>
      <c r="J1510" t="s">
        <v>23</v>
      </c>
      <c r="K1510" t="s">
        <v>22</v>
      </c>
      <c r="L1510">
        <v>2</v>
      </c>
      <c r="M1510" s="12">
        <v>54999</v>
      </c>
      <c r="N1510" s="12">
        <v>45099.18</v>
      </c>
      <c r="O1510">
        <v>3</v>
      </c>
      <c r="P1510" s="12">
        <v>106698.06</v>
      </c>
      <c r="Q1510" s="12">
        <v>90198.36</v>
      </c>
      <c r="R1510" s="12">
        <v>16499.699999999997</v>
      </c>
      <c r="S1510" t="s">
        <v>113</v>
      </c>
      <c r="T1510" t="s">
        <v>108</v>
      </c>
      <c r="U1510" t="s">
        <v>1209</v>
      </c>
    </row>
    <row r="1511" spans="1:21" x14ac:dyDescent="0.25">
      <c r="A1511" t="s">
        <v>3476</v>
      </c>
      <c r="B1511" s="8">
        <v>45845</v>
      </c>
      <c r="C1511" t="s">
        <v>2784</v>
      </c>
      <c r="D1511" t="s">
        <v>645</v>
      </c>
      <c r="E1511" t="s">
        <v>198</v>
      </c>
      <c r="F1511">
        <v>50</v>
      </c>
      <c r="G1511" t="s">
        <v>17</v>
      </c>
      <c r="H1511" t="s">
        <v>15</v>
      </c>
      <c r="I1511" t="s">
        <v>59</v>
      </c>
      <c r="J1511" t="s">
        <v>73</v>
      </c>
      <c r="K1511" t="s">
        <v>64</v>
      </c>
      <c r="L1511">
        <v>1</v>
      </c>
      <c r="M1511" s="12">
        <v>120</v>
      </c>
      <c r="N1511" s="12">
        <v>81.599999999999994</v>
      </c>
      <c r="O1511">
        <v>1</v>
      </c>
      <c r="P1511" s="12">
        <v>118.8</v>
      </c>
      <c r="Q1511" s="12">
        <v>81.599999999999994</v>
      </c>
      <c r="R1511" s="12">
        <v>37.200000000000003</v>
      </c>
      <c r="S1511" t="s">
        <v>1246</v>
      </c>
      <c r="T1511" t="s">
        <v>110</v>
      </c>
      <c r="U1511" t="s">
        <v>1205</v>
      </c>
    </row>
    <row r="1512" spans="1:21" x14ac:dyDescent="0.25">
      <c r="A1512" t="s">
        <v>3477</v>
      </c>
      <c r="B1512" s="8">
        <v>45907</v>
      </c>
      <c r="C1512" t="s">
        <v>3866</v>
      </c>
      <c r="D1512" t="s">
        <v>928</v>
      </c>
      <c r="E1512" t="s">
        <v>218</v>
      </c>
      <c r="F1512">
        <v>49</v>
      </c>
      <c r="G1512" t="s">
        <v>9</v>
      </c>
      <c r="H1512" t="s">
        <v>8</v>
      </c>
      <c r="I1512" t="s">
        <v>57</v>
      </c>
      <c r="J1512" t="s">
        <v>67</v>
      </c>
      <c r="K1512" t="s">
        <v>64</v>
      </c>
      <c r="L1512">
        <v>4</v>
      </c>
      <c r="M1512" s="12">
        <v>150</v>
      </c>
      <c r="N1512" s="12">
        <v>97.5</v>
      </c>
      <c r="O1512">
        <v>3</v>
      </c>
      <c r="P1512" s="12">
        <v>582</v>
      </c>
      <c r="Q1512" s="12">
        <v>390</v>
      </c>
      <c r="R1512" s="12">
        <v>192</v>
      </c>
      <c r="S1512" t="s">
        <v>1246</v>
      </c>
      <c r="T1512" t="s">
        <v>107</v>
      </c>
      <c r="U1512" t="s">
        <v>1207</v>
      </c>
    </row>
    <row r="1513" spans="1:21" x14ac:dyDescent="0.25">
      <c r="A1513" t="s">
        <v>3478</v>
      </c>
      <c r="B1513" s="8">
        <v>46021</v>
      </c>
      <c r="C1513" t="s">
        <v>2634</v>
      </c>
      <c r="D1513" t="s">
        <v>419</v>
      </c>
      <c r="E1513" t="s">
        <v>198</v>
      </c>
      <c r="F1513">
        <v>18</v>
      </c>
      <c r="G1513" t="s">
        <v>290</v>
      </c>
      <c r="H1513" t="s">
        <v>3</v>
      </c>
      <c r="I1513" t="s">
        <v>63</v>
      </c>
      <c r="J1513" t="s">
        <v>77</v>
      </c>
      <c r="K1513" t="s">
        <v>64</v>
      </c>
      <c r="L1513">
        <v>4</v>
      </c>
      <c r="M1513" s="12">
        <v>650</v>
      </c>
      <c r="N1513" s="12">
        <v>468</v>
      </c>
      <c r="O1513">
        <v>6</v>
      </c>
      <c r="P1513" s="12">
        <v>2444</v>
      </c>
      <c r="Q1513" s="12">
        <v>1872</v>
      </c>
      <c r="R1513" s="12">
        <v>572</v>
      </c>
      <c r="S1513" t="s">
        <v>113</v>
      </c>
      <c r="T1513" t="s">
        <v>109</v>
      </c>
      <c r="U1513" t="s">
        <v>1198</v>
      </c>
    </row>
    <row r="1514" spans="1:21" x14ac:dyDescent="0.25">
      <c r="A1514" t="s">
        <v>3479</v>
      </c>
      <c r="B1514" s="8">
        <v>45896</v>
      </c>
      <c r="C1514" t="s">
        <v>2454</v>
      </c>
      <c r="D1514" t="s">
        <v>478</v>
      </c>
      <c r="E1514" t="s">
        <v>198</v>
      </c>
      <c r="F1514">
        <v>42</v>
      </c>
      <c r="G1514" t="s">
        <v>10</v>
      </c>
      <c r="H1514" t="s">
        <v>8</v>
      </c>
      <c r="I1514" t="s">
        <v>61</v>
      </c>
      <c r="J1514" t="s">
        <v>146</v>
      </c>
      <c r="K1514" t="s">
        <v>64</v>
      </c>
      <c r="L1514">
        <v>5</v>
      </c>
      <c r="M1514" s="12">
        <v>250</v>
      </c>
      <c r="N1514" s="12">
        <v>155</v>
      </c>
      <c r="O1514">
        <v>2</v>
      </c>
      <c r="P1514" s="12">
        <v>1225</v>
      </c>
      <c r="Q1514" s="12">
        <v>775</v>
      </c>
      <c r="R1514" s="12">
        <v>450</v>
      </c>
      <c r="S1514" t="s">
        <v>113</v>
      </c>
      <c r="T1514" t="s">
        <v>109</v>
      </c>
      <c r="U1514" t="s">
        <v>1198</v>
      </c>
    </row>
    <row r="1515" spans="1:21" x14ac:dyDescent="0.25">
      <c r="A1515" t="s">
        <v>3480</v>
      </c>
      <c r="B1515" s="8">
        <v>45707</v>
      </c>
      <c r="C1515" t="s">
        <v>1421</v>
      </c>
      <c r="D1515" t="s">
        <v>1035</v>
      </c>
      <c r="E1515" t="s">
        <v>198</v>
      </c>
      <c r="F1515">
        <v>32</v>
      </c>
      <c r="G1515" t="s">
        <v>289</v>
      </c>
      <c r="H1515" t="s">
        <v>3</v>
      </c>
      <c r="I1515" t="s">
        <v>51</v>
      </c>
      <c r="J1515" t="s">
        <v>54</v>
      </c>
      <c r="K1515" t="s">
        <v>43</v>
      </c>
      <c r="L1515">
        <v>1</v>
      </c>
      <c r="M1515" s="12">
        <v>27499</v>
      </c>
      <c r="N1515" s="12">
        <v>21724.210000000003</v>
      </c>
      <c r="O1515">
        <v>8</v>
      </c>
      <c r="P1515" s="12">
        <v>25299.08</v>
      </c>
      <c r="Q1515" s="12">
        <v>21724.210000000003</v>
      </c>
      <c r="R1515" s="12">
        <v>3574.869999999999</v>
      </c>
      <c r="S1515" t="s">
        <v>1246</v>
      </c>
      <c r="T1515" t="s">
        <v>108</v>
      </c>
      <c r="U1515" t="s">
        <v>1194</v>
      </c>
    </row>
    <row r="1516" spans="1:21" x14ac:dyDescent="0.25">
      <c r="A1516" t="s">
        <v>3481</v>
      </c>
      <c r="B1516" s="8">
        <v>45955</v>
      </c>
      <c r="C1516" t="s">
        <v>1616</v>
      </c>
      <c r="D1516" t="s">
        <v>582</v>
      </c>
      <c r="E1516" t="s">
        <v>198</v>
      </c>
      <c r="F1516">
        <v>61</v>
      </c>
      <c r="G1516" t="s">
        <v>14</v>
      </c>
      <c r="H1516" t="s">
        <v>15</v>
      </c>
      <c r="I1516" t="s">
        <v>47</v>
      </c>
      <c r="J1516" t="s">
        <v>52</v>
      </c>
      <c r="K1516" t="s">
        <v>43</v>
      </c>
      <c r="L1516">
        <v>1</v>
      </c>
      <c r="M1516" s="12">
        <v>42999</v>
      </c>
      <c r="N1516" s="12">
        <v>33539.22</v>
      </c>
      <c r="O1516">
        <v>6</v>
      </c>
      <c r="P1516" s="12">
        <v>40419.06</v>
      </c>
      <c r="Q1516" s="12">
        <v>33539.22</v>
      </c>
      <c r="R1516" s="12">
        <v>6879.8399999999965</v>
      </c>
      <c r="S1516" t="s">
        <v>113</v>
      </c>
      <c r="T1516" t="s">
        <v>107</v>
      </c>
      <c r="U1516" t="s">
        <v>1196</v>
      </c>
    </row>
    <row r="1517" spans="1:21" x14ac:dyDescent="0.25">
      <c r="A1517" t="s">
        <v>3482</v>
      </c>
      <c r="B1517" s="8">
        <v>45792</v>
      </c>
      <c r="C1517" t="s">
        <v>1361</v>
      </c>
      <c r="D1517" t="s">
        <v>1141</v>
      </c>
      <c r="E1517" t="s">
        <v>218</v>
      </c>
      <c r="F1517">
        <v>31</v>
      </c>
      <c r="G1517" t="s">
        <v>290</v>
      </c>
      <c r="H1517" t="s">
        <v>3</v>
      </c>
      <c r="I1517" t="s">
        <v>21</v>
      </c>
      <c r="J1517" t="s">
        <v>23</v>
      </c>
      <c r="K1517" t="s">
        <v>22</v>
      </c>
      <c r="L1517">
        <v>2</v>
      </c>
      <c r="M1517" s="12">
        <v>54999</v>
      </c>
      <c r="N1517" s="12">
        <v>45099.18</v>
      </c>
      <c r="O1517">
        <v>7</v>
      </c>
      <c r="P1517" s="12">
        <v>102298.14</v>
      </c>
      <c r="Q1517" s="12">
        <v>90198.36</v>
      </c>
      <c r="R1517" s="12">
        <v>12099.779999999999</v>
      </c>
      <c r="S1517" t="s">
        <v>1246</v>
      </c>
      <c r="T1517" t="s">
        <v>107</v>
      </c>
      <c r="U1517" t="s">
        <v>1203</v>
      </c>
    </row>
    <row r="1518" spans="1:21" x14ac:dyDescent="0.25">
      <c r="A1518" t="s">
        <v>3484</v>
      </c>
      <c r="B1518" s="8">
        <v>45816</v>
      </c>
      <c r="C1518" t="s">
        <v>1306</v>
      </c>
      <c r="D1518" t="s">
        <v>601</v>
      </c>
      <c r="E1518" t="s">
        <v>198</v>
      </c>
      <c r="F1518">
        <v>26</v>
      </c>
      <c r="G1518" t="s">
        <v>14</v>
      </c>
      <c r="H1518" t="s">
        <v>15</v>
      </c>
      <c r="I1518" t="s">
        <v>53</v>
      </c>
      <c r="J1518" t="s">
        <v>48</v>
      </c>
      <c r="K1518" t="s">
        <v>43</v>
      </c>
      <c r="L1518">
        <v>5</v>
      </c>
      <c r="M1518" s="12">
        <v>6499</v>
      </c>
      <c r="N1518" s="12">
        <v>4549.2999999999993</v>
      </c>
      <c r="O1518">
        <v>5</v>
      </c>
      <c r="P1518" s="12">
        <v>30870.25</v>
      </c>
      <c r="Q1518" s="12">
        <v>22746.499999999996</v>
      </c>
      <c r="R1518" s="12">
        <v>8123.7500000000036</v>
      </c>
      <c r="S1518" t="s">
        <v>1246</v>
      </c>
      <c r="T1518" t="s">
        <v>107</v>
      </c>
      <c r="U1518" t="s">
        <v>1194</v>
      </c>
    </row>
    <row r="1519" spans="1:21" x14ac:dyDescent="0.25">
      <c r="A1519" t="s">
        <v>3485</v>
      </c>
      <c r="B1519" s="8">
        <v>45985</v>
      </c>
      <c r="C1519" t="s">
        <v>2729</v>
      </c>
      <c r="D1519" t="s">
        <v>1037</v>
      </c>
      <c r="E1519" t="s">
        <v>218</v>
      </c>
      <c r="F1519">
        <v>62</v>
      </c>
      <c r="G1519" t="s">
        <v>10</v>
      </c>
      <c r="H1519" t="s">
        <v>8</v>
      </c>
      <c r="I1519" t="s">
        <v>42</v>
      </c>
      <c r="J1519" t="s">
        <v>44</v>
      </c>
      <c r="K1519" t="s">
        <v>43</v>
      </c>
      <c r="L1519">
        <v>5</v>
      </c>
      <c r="M1519" s="12">
        <v>8999</v>
      </c>
      <c r="N1519" s="12">
        <v>6479.28</v>
      </c>
      <c r="O1519">
        <v>13</v>
      </c>
      <c r="P1519" s="12">
        <v>39145.65</v>
      </c>
      <c r="Q1519" s="12">
        <v>32396.399999999998</v>
      </c>
      <c r="R1519" s="12">
        <v>6749.2500000000036</v>
      </c>
      <c r="S1519" t="s">
        <v>1246</v>
      </c>
      <c r="T1519" t="s">
        <v>110</v>
      </c>
      <c r="U1519" t="s">
        <v>1205</v>
      </c>
    </row>
    <row r="1520" spans="1:21" x14ac:dyDescent="0.25">
      <c r="A1520" t="s">
        <v>3486</v>
      </c>
      <c r="B1520" s="8">
        <v>45970</v>
      </c>
      <c r="C1520" t="s">
        <v>1481</v>
      </c>
      <c r="D1520" t="s">
        <v>886</v>
      </c>
      <c r="E1520" t="s">
        <v>198</v>
      </c>
      <c r="F1520">
        <v>54</v>
      </c>
      <c r="G1520" t="s">
        <v>7</v>
      </c>
      <c r="H1520" t="s">
        <v>8</v>
      </c>
      <c r="I1520" t="s">
        <v>24</v>
      </c>
      <c r="J1520" t="s">
        <v>25</v>
      </c>
      <c r="K1520" t="s">
        <v>22</v>
      </c>
      <c r="L1520">
        <v>5</v>
      </c>
      <c r="M1520" s="12">
        <v>35800</v>
      </c>
      <c r="N1520" s="12">
        <v>28640</v>
      </c>
      <c r="O1520">
        <v>11</v>
      </c>
      <c r="P1520" s="12">
        <v>159310</v>
      </c>
      <c r="Q1520" s="12">
        <v>143200</v>
      </c>
      <c r="R1520" s="12">
        <v>16110</v>
      </c>
      <c r="S1520" t="s">
        <v>1246</v>
      </c>
      <c r="T1520" t="s">
        <v>107</v>
      </c>
      <c r="U1520" t="s">
        <v>1203</v>
      </c>
    </row>
    <row r="1521" spans="1:21" x14ac:dyDescent="0.25">
      <c r="A1521" t="s">
        <v>3488</v>
      </c>
      <c r="B1521" s="8">
        <v>45971</v>
      </c>
      <c r="C1521" t="s">
        <v>4132</v>
      </c>
      <c r="D1521" t="s">
        <v>875</v>
      </c>
      <c r="E1521" t="s">
        <v>198</v>
      </c>
      <c r="F1521">
        <v>40</v>
      </c>
      <c r="G1521" t="s">
        <v>2</v>
      </c>
      <c r="H1521" t="s">
        <v>3</v>
      </c>
      <c r="I1521" t="s">
        <v>63</v>
      </c>
      <c r="J1521" t="s">
        <v>77</v>
      </c>
      <c r="K1521" t="s">
        <v>64</v>
      </c>
      <c r="L1521">
        <v>1</v>
      </c>
      <c r="M1521" s="12">
        <v>650</v>
      </c>
      <c r="N1521" s="12">
        <v>468</v>
      </c>
      <c r="O1521">
        <v>6</v>
      </c>
      <c r="P1521" s="12">
        <v>611</v>
      </c>
      <c r="Q1521" s="12">
        <v>468</v>
      </c>
      <c r="R1521" s="12">
        <v>143</v>
      </c>
      <c r="S1521" t="s">
        <v>1246</v>
      </c>
      <c r="T1521" t="s">
        <v>110</v>
      </c>
      <c r="U1521" t="s">
        <v>1205</v>
      </c>
    </row>
    <row r="1522" spans="1:21" x14ac:dyDescent="0.25">
      <c r="A1522" t="s">
        <v>3489</v>
      </c>
      <c r="B1522" s="8">
        <v>45923</v>
      </c>
      <c r="C1522" t="s">
        <v>2559</v>
      </c>
      <c r="D1522" t="s">
        <v>748</v>
      </c>
      <c r="E1522" t="s">
        <v>218</v>
      </c>
      <c r="F1522">
        <v>34</v>
      </c>
      <c r="G1522" t="s">
        <v>10</v>
      </c>
      <c r="H1522" t="s">
        <v>8</v>
      </c>
      <c r="I1522" t="s">
        <v>47</v>
      </c>
      <c r="J1522" t="s">
        <v>52</v>
      </c>
      <c r="K1522" t="s">
        <v>43</v>
      </c>
      <c r="L1522">
        <v>5</v>
      </c>
      <c r="M1522" s="12">
        <v>42999</v>
      </c>
      <c r="N1522" s="12">
        <v>33539.22</v>
      </c>
      <c r="O1522">
        <v>8</v>
      </c>
      <c r="P1522" s="12">
        <v>197795.4</v>
      </c>
      <c r="Q1522" s="12">
        <v>167696.1</v>
      </c>
      <c r="R1522" s="12">
        <v>30099.299999999988</v>
      </c>
      <c r="S1522" t="s">
        <v>113</v>
      </c>
      <c r="T1522" t="s">
        <v>109</v>
      </c>
      <c r="U1522" t="s">
        <v>1207</v>
      </c>
    </row>
    <row r="1523" spans="1:21" x14ac:dyDescent="0.25">
      <c r="A1523" t="s">
        <v>3490</v>
      </c>
      <c r="B1523" s="8">
        <v>45888</v>
      </c>
      <c r="C1523" t="s">
        <v>1918</v>
      </c>
      <c r="D1523" t="s">
        <v>522</v>
      </c>
      <c r="E1523" t="s">
        <v>198</v>
      </c>
      <c r="F1523">
        <v>55</v>
      </c>
      <c r="G1523" t="s">
        <v>16</v>
      </c>
      <c r="H1523" t="s">
        <v>15</v>
      </c>
      <c r="I1523" t="s">
        <v>21</v>
      </c>
      <c r="J1523" t="s">
        <v>23</v>
      </c>
      <c r="K1523" t="s">
        <v>22</v>
      </c>
      <c r="L1523">
        <v>5</v>
      </c>
      <c r="M1523" s="12">
        <v>54999</v>
      </c>
      <c r="N1523" s="12">
        <v>45099.18</v>
      </c>
      <c r="O1523">
        <v>6</v>
      </c>
      <c r="P1523" s="12">
        <v>258495.3</v>
      </c>
      <c r="Q1523" s="12">
        <v>225495.9</v>
      </c>
      <c r="R1523" s="12">
        <v>32999.399999999994</v>
      </c>
      <c r="S1523" t="s">
        <v>1249</v>
      </c>
      <c r="T1523" t="s">
        <v>108</v>
      </c>
      <c r="U1523" t="s">
        <v>1203</v>
      </c>
    </row>
    <row r="1524" spans="1:21" x14ac:dyDescent="0.25">
      <c r="A1524" t="s">
        <v>3491</v>
      </c>
      <c r="B1524" s="8">
        <v>45740</v>
      </c>
      <c r="C1524" t="s">
        <v>1458</v>
      </c>
      <c r="D1524" t="s">
        <v>1038</v>
      </c>
      <c r="E1524" t="s">
        <v>198</v>
      </c>
      <c r="F1524">
        <v>61</v>
      </c>
      <c r="G1524" t="s">
        <v>17</v>
      </c>
      <c r="H1524" t="s">
        <v>15</v>
      </c>
      <c r="I1524" t="s">
        <v>49</v>
      </c>
      <c r="J1524" t="s">
        <v>56</v>
      </c>
      <c r="K1524" t="s">
        <v>43</v>
      </c>
      <c r="L1524">
        <v>3</v>
      </c>
      <c r="M1524" s="12">
        <v>31999</v>
      </c>
      <c r="N1524" s="12">
        <v>25599.200000000001</v>
      </c>
      <c r="O1524">
        <v>9</v>
      </c>
      <c r="P1524" s="12">
        <v>87357.27</v>
      </c>
      <c r="Q1524" s="12">
        <v>76797.600000000006</v>
      </c>
      <c r="R1524" s="12">
        <v>10559.669999999998</v>
      </c>
      <c r="S1524" t="s">
        <v>1246</v>
      </c>
      <c r="T1524" t="s">
        <v>109</v>
      </c>
      <c r="U1524" t="s">
        <v>1211</v>
      </c>
    </row>
    <row r="1525" spans="1:21" x14ac:dyDescent="0.25">
      <c r="A1525" t="s">
        <v>3492</v>
      </c>
      <c r="B1525" s="8">
        <v>45981</v>
      </c>
      <c r="C1525" t="s">
        <v>2248</v>
      </c>
      <c r="D1525" t="s">
        <v>880</v>
      </c>
      <c r="E1525" t="s">
        <v>198</v>
      </c>
      <c r="F1525">
        <v>25</v>
      </c>
      <c r="G1525" t="s">
        <v>14</v>
      </c>
      <c r="H1525" t="s">
        <v>15</v>
      </c>
      <c r="I1525" t="s">
        <v>40</v>
      </c>
      <c r="J1525" t="s">
        <v>39</v>
      </c>
      <c r="K1525" t="s">
        <v>22</v>
      </c>
      <c r="L1525">
        <v>1</v>
      </c>
      <c r="M1525" s="12">
        <v>1100</v>
      </c>
      <c r="N1525" s="12">
        <v>715</v>
      </c>
      <c r="O1525">
        <v>11</v>
      </c>
      <c r="P1525" s="12">
        <v>979</v>
      </c>
      <c r="Q1525" s="12">
        <v>715</v>
      </c>
      <c r="R1525" s="12">
        <v>264</v>
      </c>
      <c r="S1525" t="s">
        <v>1249</v>
      </c>
      <c r="T1525" t="s">
        <v>108</v>
      </c>
      <c r="U1525" t="s">
        <v>1196</v>
      </c>
    </row>
    <row r="1526" spans="1:21" x14ac:dyDescent="0.25">
      <c r="A1526" t="s">
        <v>3493</v>
      </c>
      <c r="B1526" s="8">
        <v>45856</v>
      </c>
      <c r="C1526" t="s">
        <v>2186</v>
      </c>
      <c r="D1526" t="s">
        <v>1111</v>
      </c>
      <c r="E1526" t="s">
        <v>218</v>
      </c>
      <c r="F1526">
        <v>37</v>
      </c>
      <c r="G1526" t="s">
        <v>7</v>
      </c>
      <c r="H1526" t="s">
        <v>8</v>
      </c>
      <c r="I1526" t="s">
        <v>57</v>
      </c>
      <c r="J1526" t="s">
        <v>67</v>
      </c>
      <c r="K1526" t="s">
        <v>64</v>
      </c>
      <c r="L1526">
        <v>4</v>
      </c>
      <c r="M1526" s="12">
        <v>150</v>
      </c>
      <c r="N1526" s="12">
        <v>97.5</v>
      </c>
      <c r="O1526">
        <v>4</v>
      </c>
      <c r="P1526" s="12">
        <v>576</v>
      </c>
      <c r="Q1526" s="12">
        <v>390</v>
      </c>
      <c r="R1526" s="12">
        <v>186</v>
      </c>
      <c r="S1526" t="s">
        <v>113</v>
      </c>
      <c r="T1526" t="s">
        <v>107</v>
      </c>
      <c r="U1526" t="s">
        <v>1199</v>
      </c>
    </row>
    <row r="1527" spans="1:21" x14ac:dyDescent="0.25">
      <c r="A1527" t="s">
        <v>3494</v>
      </c>
      <c r="B1527" s="8">
        <v>45855</v>
      </c>
      <c r="C1527" t="s">
        <v>1557</v>
      </c>
      <c r="D1527" t="s">
        <v>889</v>
      </c>
      <c r="E1527" t="s">
        <v>218</v>
      </c>
      <c r="F1527">
        <v>31</v>
      </c>
      <c r="G1527" t="s">
        <v>9</v>
      </c>
      <c r="H1527" t="s">
        <v>8</v>
      </c>
      <c r="I1527" t="s">
        <v>38</v>
      </c>
      <c r="J1527" t="s">
        <v>37</v>
      </c>
      <c r="K1527" t="s">
        <v>22</v>
      </c>
      <c r="L1527">
        <v>1</v>
      </c>
      <c r="M1527" s="12">
        <v>1650</v>
      </c>
      <c r="N1527" s="12">
        <v>990</v>
      </c>
      <c r="O1527">
        <v>5</v>
      </c>
      <c r="P1527" s="12">
        <v>1567.5</v>
      </c>
      <c r="Q1527" s="12">
        <v>990</v>
      </c>
      <c r="R1527" s="12">
        <v>577.5</v>
      </c>
      <c r="S1527" t="s">
        <v>113</v>
      </c>
      <c r="T1527" t="s">
        <v>110</v>
      </c>
      <c r="U1527" t="s">
        <v>1207</v>
      </c>
    </row>
    <row r="1528" spans="1:21" x14ac:dyDescent="0.25">
      <c r="A1528" t="s">
        <v>3495</v>
      </c>
      <c r="B1528" s="8">
        <v>45874</v>
      </c>
      <c r="C1528" t="s">
        <v>2780</v>
      </c>
      <c r="D1528" t="s">
        <v>779</v>
      </c>
      <c r="E1528" t="s">
        <v>218</v>
      </c>
      <c r="F1528">
        <v>38</v>
      </c>
      <c r="G1528" t="s">
        <v>9</v>
      </c>
      <c r="H1528" t="s">
        <v>8</v>
      </c>
      <c r="I1528" t="s">
        <v>32</v>
      </c>
      <c r="J1528" t="s">
        <v>29</v>
      </c>
      <c r="K1528" t="s">
        <v>22</v>
      </c>
      <c r="L1528">
        <v>5</v>
      </c>
      <c r="M1528" s="12">
        <v>9500</v>
      </c>
      <c r="N1528" s="12">
        <v>6650</v>
      </c>
      <c r="O1528">
        <v>3</v>
      </c>
      <c r="P1528" s="12">
        <v>46075</v>
      </c>
      <c r="Q1528" s="12">
        <v>33250</v>
      </c>
      <c r="R1528" s="12">
        <v>12825</v>
      </c>
      <c r="S1528" t="s">
        <v>113</v>
      </c>
      <c r="T1528" t="s">
        <v>108</v>
      </c>
      <c r="U1528" t="s">
        <v>1209</v>
      </c>
    </row>
    <row r="1529" spans="1:21" x14ac:dyDescent="0.25">
      <c r="A1529" t="s">
        <v>3496</v>
      </c>
      <c r="B1529" s="8">
        <v>45732</v>
      </c>
      <c r="C1529" t="s">
        <v>2206</v>
      </c>
      <c r="D1529" t="s">
        <v>846</v>
      </c>
      <c r="E1529" t="s">
        <v>218</v>
      </c>
      <c r="F1529">
        <v>52</v>
      </c>
      <c r="G1529" t="s">
        <v>14</v>
      </c>
      <c r="H1529" t="s">
        <v>15</v>
      </c>
      <c r="I1529" t="s">
        <v>26</v>
      </c>
      <c r="J1529" t="s">
        <v>27</v>
      </c>
      <c r="K1529" t="s">
        <v>22</v>
      </c>
      <c r="L1529">
        <v>5</v>
      </c>
      <c r="M1529" s="12">
        <v>27499</v>
      </c>
      <c r="N1529" s="12">
        <v>23374.149999999998</v>
      </c>
      <c r="O1529">
        <v>8</v>
      </c>
      <c r="P1529" s="12">
        <v>126495.40000000001</v>
      </c>
      <c r="Q1529" s="12">
        <v>116870.74999999999</v>
      </c>
      <c r="R1529" s="12">
        <v>9624.6500000000233</v>
      </c>
      <c r="S1529" t="s">
        <v>113</v>
      </c>
      <c r="T1529" t="s">
        <v>108</v>
      </c>
      <c r="U1529" t="s">
        <v>1211</v>
      </c>
    </row>
    <row r="1530" spans="1:21" x14ac:dyDescent="0.25">
      <c r="A1530" t="s">
        <v>3497</v>
      </c>
      <c r="B1530" s="8">
        <v>45718</v>
      </c>
      <c r="C1530" t="s">
        <v>1322</v>
      </c>
      <c r="D1530" t="s">
        <v>737</v>
      </c>
      <c r="E1530" t="s">
        <v>198</v>
      </c>
      <c r="F1530">
        <v>56</v>
      </c>
      <c r="G1530" t="s">
        <v>2</v>
      </c>
      <c r="H1530" t="s">
        <v>3</v>
      </c>
      <c r="I1530" t="s">
        <v>53</v>
      </c>
      <c r="J1530" t="s">
        <v>48</v>
      </c>
      <c r="K1530" t="s">
        <v>43</v>
      </c>
      <c r="L1530">
        <v>1</v>
      </c>
      <c r="M1530" s="12">
        <v>6499</v>
      </c>
      <c r="N1530" s="12">
        <v>4549.2999999999993</v>
      </c>
      <c r="O1530">
        <v>8</v>
      </c>
      <c r="P1530" s="12">
        <v>5979.08</v>
      </c>
      <c r="Q1530" s="12">
        <v>4549.2999999999993</v>
      </c>
      <c r="R1530" s="12">
        <v>1429.7800000000007</v>
      </c>
      <c r="S1530" t="s">
        <v>113</v>
      </c>
      <c r="T1530" t="s">
        <v>107</v>
      </c>
      <c r="U1530" t="s">
        <v>1209</v>
      </c>
    </row>
    <row r="1531" spans="1:21" x14ac:dyDescent="0.25">
      <c r="A1531" t="s">
        <v>3498</v>
      </c>
      <c r="B1531" s="8">
        <v>45983</v>
      </c>
      <c r="C1531" t="s">
        <v>1692</v>
      </c>
      <c r="D1531" t="s">
        <v>988</v>
      </c>
      <c r="E1531" t="s">
        <v>218</v>
      </c>
      <c r="F1531">
        <v>49</v>
      </c>
      <c r="G1531" t="s">
        <v>289</v>
      </c>
      <c r="H1531" t="s">
        <v>3</v>
      </c>
      <c r="I1531" t="s">
        <v>38</v>
      </c>
      <c r="J1531" t="s">
        <v>37</v>
      </c>
      <c r="K1531" t="s">
        <v>22</v>
      </c>
      <c r="L1531">
        <v>1</v>
      </c>
      <c r="M1531" s="12">
        <v>1650</v>
      </c>
      <c r="N1531" s="12">
        <v>990</v>
      </c>
      <c r="O1531">
        <v>18</v>
      </c>
      <c r="P1531" s="12">
        <v>1353</v>
      </c>
      <c r="Q1531" s="12">
        <v>990</v>
      </c>
      <c r="R1531" s="12">
        <v>363</v>
      </c>
      <c r="S1531" t="s">
        <v>1246</v>
      </c>
      <c r="T1531" t="s">
        <v>110</v>
      </c>
      <c r="U1531" t="s">
        <v>1209</v>
      </c>
    </row>
    <row r="1532" spans="1:21" x14ac:dyDescent="0.25">
      <c r="A1532" t="s">
        <v>3499</v>
      </c>
      <c r="B1532" s="8">
        <v>45664</v>
      </c>
      <c r="C1532" t="s">
        <v>1738</v>
      </c>
      <c r="D1532" t="s">
        <v>683</v>
      </c>
      <c r="E1532" t="s">
        <v>198</v>
      </c>
      <c r="F1532">
        <v>65</v>
      </c>
      <c r="G1532" t="s">
        <v>289</v>
      </c>
      <c r="H1532" t="s">
        <v>3</v>
      </c>
      <c r="I1532" t="s">
        <v>51</v>
      </c>
      <c r="J1532" t="s">
        <v>54</v>
      </c>
      <c r="K1532" t="s">
        <v>43</v>
      </c>
      <c r="L1532">
        <v>3</v>
      </c>
      <c r="M1532" s="12">
        <v>27499</v>
      </c>
      <c r="N1532" s="12">
        <v>21724.210000000003</v>
      </c>
      <c r="O1532">
        <v>4</v>
      </c>
      <c r="P1532" s="12">
        <v>79197.119999999995</v>
      </c>
      <c r="Q1532" s="12">
        <v>65172.630000000005</v>
      </c>
      <c r="R1532" s="12">
        <v>14024.489999999991</v>
      </c>
      <c r="S1532" t="s">
        <v>113</v>
      </c>
      <c r="T1532" t="s">
        <v>109</v>
      </c>
      <c r="U1532" t="s">
        <v>1207</v>
      </c>
    </row>
    <row r="1533" spans="1:21" x14ac:dyDescent="0.25">
      <c r="A1533" t="s">
        <v>3500</v>
      </c>
      <c r="B1533" s="8">
        <v>45725</v>
      </c>
      <c r="C1533" t="s">
        <v>3408</v>
      </c>
      <c r="D1533" t="s">
        <v>547</v>
      </c>
      <c r="E1533" t="s">
        <v>198</v>
      </c>
      <c r="F1533">
        <v>31</v>
      </c>
      <c r="G1533" t="s">
        <v>9</v>
      </c>
      <c r="H1533" t="s">
        <v>8</v>
      </c>
      <c r="I1533" t="s">
        <v>24</v>
      </c>
      <c r="J1533" t="s">
        <v>25</v>
      </c>
      <c r="K1533" t="s">
        <v>22</v>
      </c>
      <c r="L1533">
        <v>1</v>
      </c>
      <c r="M1533" s="12">
        <v>35800</v>
      </c>
      <c r="N1533" s="12">
        <v>28640</v>
      </c>
      <c r="O1533">
        <v>6</v>
      </c>
      <c r="P1533" s="12">
        <v>33652</v>
      </c>
      <c r="Q1533" s="12">
        <v>28640</v>
      </c>
      <c r="R1533" s="12">
        <v>5012</v>
      </c>
      <c r="S1533" t="s">
        <v>113</v>
      </c>
      <c r="T1533" t="s">
        <v>108</v>
      </c>
      <c r="U1533" t="s">
        <v>1199</v>
      </c>
    </row>
    <row r="1534" spans="1:21" x14ac:dyDescent="0.25">
      <c r="A1534" t="s">
        <v>3501</v>
      </c>
      <c r="B1534" s="8">
        <v>45752</v>
      </c>
      <c r="C1534" t="s">
        <v>2572</v>
      </c>
      <c r="D1534" t="s">
        <v>635</v>
      </c>
      <c r="E1534" t="s">
        <v>198</v>
      </c>
      <c r="F1534">
        <v>53</v>
      </c>
      <c r="G1534" t="s">
        <v>17</v>
      </c>
      <c r="H1534" t="s">
        <v>15</v>
      </c>
      <c r="I1534" t="s">
        <v>49</v>
      </c>
      <c r="J1534" t="s">
        <v>56</v>
      </c>
      <c r="K1534" t="s">
        <v>43</v>
      </c>
      <c r="L1534">
        <v>3</v>
      </c>
      <c r="M1534" s="12">
        <v>31999</v>
      </c>
      <c r="N1534" s="12">
        <v>25599.200000000001</v>
      </c>
      <c r="O1534">
        <v>7</v>
      </c>
      <c r="P1534" s="12">
        <v>89277.209999999992</v>
      </c>
      <c r="Q1534" s="12">
        <v>76797.600000000006</v>
      </c>
      <c r="R1534" s="12">
        <v>12479.609999999986</v>
      </c>
      <c r="S1534" t="s">
        <v>113</v>
      </c>
      <c r="T1534" t="s">
        <v>107</v>
      </c>
      <c r="U1534" t="s">
        <v>1199</v>
      </c>
    </row>
    <row r="1535" spans="1:21" x14ac:dyDescent="0.25">
      <c r="A1535" t="s">
        <v>3503</v>
      </c>
      <c r="B1535" s="8">
        <v>45658</v>
      </c>
      <c r="C1535" t="s">
        <v>1579</v>
      </c>
      <c r="D1535" t="s">
        <v>1021</v>
      </c>
      <c r="E1535" t="s">
        <v>218</v>
      </c>
      <c r="F1535">
        <v>51</v>
      </c>
      <c r="G1535" t="s">
        <v>10</v>
      </c>
      <c r="H1535" t="s">
        <v>8</v>
      </c>
      <c r="I1535" t="s">
        <v>61</v>
      </c>
      <c r="J1535" t="s">
        <v>146</v>
      </c>
      <c r="K1535" t="s">
        <v>64</v>
      </c>
      <c r="L1535">
        <v>2</v>
      </c>
      <c r="M1535" s="12">
        <v>250</v>
      </c>
      <c r="N1535" s="12">
        <v>155</v>
      </c>
      <c r="O1535">
        <v>8</v>
      </c>
      <c r="P1535" s="12">
        <v>460</v>
      </c>
      <c r="Q1535" s="12">
        <v>310</v>
      </c>
      <c r="R1535" s="12">
        <v>150</v>
      </c>
      <c r="S1535" t="s">
        <v>113</v>
      </c>
      <c r="T1535" t="s">
        <v>108</v>
      </c>
      <c r="U1535" t="s">
        <v>1194</v>
      </c>
    </row>
    <row r="1536" spans="1:21" x14ac:dyDescent="0.25">
      <c r="A1536" t="s">
        <v>3504</v>
      </c>
      <c r="B1536" s="8">
        <v>45818</v>
      </c>
      <c r="C1536" t="s">
        <v>2797</v>
      </c>
      <c r="D1536" t="s">
        <v>380</v>
      </c>
      <c r="E1536" t="s">
        <v>218</v>
      </c>
      <c r="F1536">
        <v>58</v>
      </c>
      <c r="G1536" t="s">
        <v>11</v>
      </c>
      <c r="H1536" t="s">
        <v>12</v>
      </c>
      <c r="I1536" t="s">
        <v>21</v>
      </c>
      <c r="J1536" t="s">
        <v>23</v>
      </c>
      <c r="K1536" t="s">
        <v>22</v>
      </c>
      <c r="L1536">
        <v>3</v>
      </c>
      <c r="M1536" s="12">
        <v>54999</v>
      </c>
      <c r="N1536" s="12">
        <v>45099.18</v>
      </c>
      <c r="O1536">
        <v>5</v>
      </c>
      <c r="P1536" s="12">
        <v>156747.15</v>
      </c>
      <c r="Q1536" s="12">
        <v>135297.54</v>
      </c>
      <c r="R1536" s="12">
        <v>21449.609999999986</v>
      </c>
      <c r="S1536" t="s">
        <v>113</v>
      </c>
      <c r="T1536" t="s">
        <v>109</v>
      </c>
      <c r="U1536" t="s">
        <v>1203</v>
      </c>
    </row>
    <row r="1537" spans="1:21" x14ac:dyDescent="0.25">
      <c r="A1537" t="s">
        <v>3505</v>
      </c>
      <c r="B1537" s="8">
        <v>45750</v>
      </c>
      <c r="C1537" t="s">
        <v>1355</v>
      </c>
      <c r="D1537" t="s">
        <v>887</v>
      </c>
      <c r="E1537" t="s">
        <v>198</v>
      </c>
      <c r="F1537">
        <v>26</v>
      </c>
      <c r="G1537" t="s">
        <v>290</v>
      </c>
      <c r="H1537" t="s">
        <v>3</v>
      </c>
      <c r="I1537" t="s">
        <v>47</v>
      </c>
      <c r="J1537" t="s">
        <v>52</v>
      </c>
      <c r="K1537" t="s">
        <v>43</v>
      </c>
      <c r="L1537">
        <v>1</v>
      </c>
      <c r="M1537" s="12">
        <v>42999</v>
      </c>
      <c r="N1537" s="12">
        <v>33539.22</v>
      </c>
      <c r="O1537">
        <v>10</v>
      </c>
      <c r="P1537" s="12">
        <v>38699.1</v>
      </c>
      <c r="Q1537" s="12">
        <v>33539.22</v>
      </c>
      <c r="R1537" s="12">
        <v>5159.8799999999974</v>
      </c>
      <c r="S1537" t="s">
        <v>1246</v>
      </c>
      <c r="T1537" t="s">
        <v>110</v>
      </c>
      <c r="U1537" t="s">
        <v>1209</v>
      </c>
    </row>
    <row r="1538" spans="1:21" x14ac:dyDescent="0.25">
      <c r="A1538" t="s">
        <v>3506</v>
      </c>
      <c r="B1538" s="8">
        <v>45784</v>
      </c>
      <c r="C1538" t="s">
        <v>3561</v>
      </c>
      <c r="D1538" t="s">
        <v>721</v>
      </c>
      <c r="E1538" t="s">
        <v>198</v>
      </c>
      <c r="F1538">
        <v>43</v>
      </c>
      <c r="G1538" t="s">
        <v>7</v>
      </c>
      <c r="H1538" t="s">
        <v>8</v>
      </c>
      <c r="I1538" t="s">
        <v>51</v>
      </c>
      <c r="J1538" t="s">
        <v>54</v>
      </c>
      <c r="K1538" t="s">
        <v>43</v>
      </c>
      <c r="L1538">
        <v>3</v>
      </c>
      <c r="M1538" s="12">
        <v>27499</v>
      </c>
      <c r="N1538" s="12">
        <v>21724.210000000003</v>
      </c>
      <c r="O1538">
        <v>4</v>
      </c>
      <c r="P1538" s="12">
        <v>79197.119999999995</v>
      </c>
      <c r="Q1538" s="12">
        <v>65172.630000000005</v>
      </c>
      <c r="R1538" s="12">
        <v>14024.489999999991</v>
      </c>
      <c r="S1538" t="s">
        <v>1246</v>
      </c>
      <c r="T1538" t="s">
        <v>107</v>
      </c>
      <c r="U1538" t="s">
        <v>1205</v>
      </c>
    </row>
    <row r="1539" spans="1:21" x14ac:dyDescent="0.25">
      <c r="A1539" t="s">
        <v>3507</v>
      </c>
      <c r="B1539" s="8">
        <v>45695</v>
      </c>
      <c r="C1539" t="s">
        <v>2206</v>
      </c>
      <c r="D1539" t="s">
        <v>846</v>
      </c>
      <c r="E1539" t="s">
        <v>218</v>
      </c>
      <c r="F1539">
        <v>52</v>
      </c>
      <c r="G1539" t="s">
        <v>14</v>
      </c>
      <c r="H1539" t="s">
        <v>15</v>
      </c>
      <c r="I1539" t="s">
        <v>34</v>
      </c>
      <c r="J1539" t="s">
        <v>137</v>
      </c>
      <c r="K1539" t="s">
        <v>22</v>
      </c>
      <c r="L1539">
        <v>3</v>
      </c>
      <c r="M1539" s="12">
        <v>6900</v>
      </c>
      <c r="N1539" s="12">
        <v>5727</v>
      </c>
      <c r="O1539">
        <v>4</v>
      </c>
      <c r="P1539" s="12">
        <v>19872</v>
      </c>
      <c r="Q1539" s="12">
        <v>17181</v>
      </c>
      <c r="R1539" s="12">
        <v>2691</v>
      </c>
      <c r="S1539" t="s">
        <v>1246</v>
      </c>
      <c r="T1539" t="s">
        <v>108</v>
      </c>
      <c r="U1539" t="s">
        <v>1198</v>
      </c>
    </row>
    <row r="1540" spans="1:21" x14ac:dyDescent="0.25">
      <c r="A1540" t="s">
        <v>3508</v>
      </c>
      <c r="B1540" s="8">
        <v>45926</v>
      </c>
      <c r="C1540" t="s">
        <v>2369</v>
      </c>
      <c r="D1540" t="s">
        <v>816</v>
      </c>
      <c r="E1540" t="s">
        <v>218</v>
      </c>
      <c r="F1540">
        <v>30</v>
      </c>
      <c r="G1540" t="s">
        <v>2</v>
      </c>
      <c r="H1540" t="s">
        <v>3</v>
      </c>
      <c r="I1540" t="s">
        <v>38</v>
      </c>
      <c r="J1540" t="s">
        <v>37</v>
      </c>
      <c r="K1540" t="s">
        <v>22</v>
      </c>
      <c r="L1540">
        <v>1</v>
      </c>
      <c r="M1540" s="12">
        <v>1650</v>
      </c>
      <c r="N1540" s="12">
        <v>990</v>
      </c>
      <c r="O1540">
        <v>7</v>
      </c>
      <c r="P1540" s="12">
        <v>1534.5</v>
      </c>
      <c r="Q1540" s="12">
        <v>990</v>
      </c>
      <c r="R1540" s="12">
        <v>544.5</v>
      </c>
      <c r="S1540" t="s">
        <v>113</v>
      </c>
      <c r="T1540" t="s">
        <v>108</v>
      </c>
      <c r="U1540" t="s">
        <v>1194</v>
      </c>
    </row>
    <row r="1541" spans="1:21" x14ac:dyDescent="0.25">
      <c r="A1541" t="s">
        <v>3509</v>
      </c>
      <c r="B1541" s="8">
        <v>45771</v>
      </c>
      <c r="C1541" t="s">
        <v>2379</v>
      </c>
      <c r="D1541" t="s">
        <v>750</v>
      </c>
      <c r="E1541" t="s">
        <v>218</v>
      </c>
      <c r="F1541">
        <v>24</v>
      </c>
      <c r="G1541" t="s">
        <v>9</v>
      </c>
      <c r="H1541" t="s">
        <v>8</v>
      </c>
      <c r="I1541" t="s">
        <v>30</v>
      </c>
      <c r="J1541" t="s">
        <v>41</v>
      </c>
      <c r="K1541" t="s">
        <v>22</v>
      </c>
      <c r="L1541">
        <v>4</v>
      </c>
      <c r="M1541" s="12">
        <v>13749</v>
      </c>
      <c r="N1541" s="12">
        <v>10999.2</v>
      </c>
      <c r="O1541">
        <v>6</v>
      </c>
      <c r="P1541" s="12">
        <v>51696.24</v>
      </c>
      <c r="Q1541" s="12">
        <v>43996.800000000003</v>
      </c>
      <c r="R1541" s="12">
        <v>7699.4399999999951</v>
      </c>
      <c r="S1541" t="s">
        <v>1246</v>
      </c>
      <c r="T1541" t="s">
        <v>108</v>
      </c>
      <c r="U1541" t="s">
        <v>1211</v>
      </c>
    </row>
    <row r="1542" spans="1:21" x14ac:dyDescent="0.25">
      <c r="A1542" t="s">
        <v>3510</v>
      </c>
      <c r="B1542" s="8">
        <v>45711</v>
      </c>
      <c r="C1542" t="s">
        <v>2878</v>
      </c>
      <c r="D1542" t="s">
        <v>525</v>
      </c>
      <c r="E1542" t="s">
        <v>198</v>
      </c>
      <c r="F1542">
        <v>24</v>
      </c>
      <c r="G1542" t="s">
        <v>16</v>
      </c>
      <c r="H1542" t="s">
        <v>15</v>
      </c>
      <c r="I1542" t="s">
        <v>30</v>
      </c>
      <c r="J1542" t="s">
        <v>41</v>
      </c>
      <c r="K1542" t="s">
        <v>22</v>
      </c>
      <c r="L1542">
        <v>2</v>
      </c>
      <c r="M1542" s="12">
        <v>13749</v>
      </c>
      <c r="N1542" s="12">
        <v>10999.2</v>
      </c>
      <c r="O1542">
        <v>3</v>
      </c>
      <c r="P1542" s="12">
        <v>26673.059999999998</v>
      </c>
      <c r="Q1542" s="12">
        <v>21998.400000000001</v>
      </c>
      <c r="R1542" s="12">
        <v>4674.6599999999962</v>
      </c>
      <c r="S1542" t="s">
        <v>113</v>
      </c>
      <c r="T1542" t="s">
        <v>109</v>
      </c>
      <c r="U1542" t="s">
        <v>1203</v>
      </c>
    </row>
    <row r="1543" spans="1:21" x14ac:dyDescent="0.25">
      <c r="A1543" t="s">
        <v>3511</v>
      </c>
      <c r="B1543" s="8">
        <v>45927</v>
      </c>
      <c r="C1543" t="s">
        <v>1616</v>
      </c>
      <c r="D1543" t="s">
        <v>582</v>
      </c>
      <c r="E1543" t="s">
        <v>198</v>
      </c>
      <c r="F1543">
        <v>61</v>
      </c>
      <c r="G1543" t="s">
        <v>14</v>
      </c>
      <c r="H1543" t="s">
        <v>15</v>
      </c>
      <c r="I1543" t="s">
        <v>26</v>
      </c>
      <c r="J1543" t="s">
        <v>27</v>
      </c>
      <c r="K1543" t="s">
        <v>22</v>
      </c>
      <c r="L1543">
        <v>1</v>
      </c>
      <c r="M1543" s="12">
        <v>27499</v>
      </c>
      <c r="N1543" s="12">
        <v>23374.149999999998</v>
      </c>
      <c r="O1543">
        <v>4</v>
      </c>
      <c r="P1543" s="12">
        <v>26399.039999999997</v>
      </c>
      <c r="Q1543" s="12">
        <v>23374.149999999998</v>
      </c>
      <c r="R1543" s="12">
        <v>3024.8899999999994</v>
      </c>
      <c r="S1543" t="s">
        <v>113</v>
      </c>
      <c r="T1543" t="s">
        <v>107</v>
      </c>
      <c r="U1543" t="s">
        <v>1207</v>
      </c>
    </row>
    <row r="1544" spans="1:21" x14ac:dyDescent="0.25">
      <c r="A1544" t="s">
        <v>3512</v>
      </c>
      <c r="B1544" s="8">
        <v>45858</v>
      </c>
      <c r="C1544" t="s">
        <v>2173</v>
      </c>
      <c r="D1544" t="s">
        <v>1076</v>
      </c>
      <c r="E1544" t="s">
        <v>198</v>
      </c>
      <c r="F1544">
        <v>30</v>
      </c>
      <c r="G1544" t="s">
        <v>2</v>
      </c>
      <c r="H1544" t="s">
        <v>3</v>
      </c>
      <c r="I1544" t="s">
        <v>63</v>
      </c>
      <c r="J1544" t="s">
        <v>77</v>
      </c>
      <c r="K1544" t="s">
        <v>64</v>
      </c>
      <c r="L1544">
        <v>1</v>
      </c>
      <c r="M1544" s="12">
        <v>650</v>
      </c>
      <c r="N1544" s="12">
        <v>468</v>
      </c>
      <c r="O1544">
        <v>5</v>
      </c>
      <c r="P1544" s="12">
        <v>617.5</v>
      </c>
      <c r="Q1544" s="12">
        <v>468</v>
      </c>
      <c r="R1544" s="12">
        <v>149.5</v>
      </c>
      <c r="S1544" t="s">
        <v>113</v>
      </c>
      <c r="T1544" t="s">
        <v>109</v>
      </c>
      <c r="U1544" t="s">
        <v>1196</v>
      </c>
    </row>
    <row r="1545" spans="1:21" x14ac:dyDescent="0.25">
      <c r="A1545" t="s">
        <v>3513</v>
      </c>
      <c r="B1545" s="8">
        <v>45861</v>
      </c>
      <c r="C1545" t="s">
        <v>2539</v>
      </c>
      <c r="D1545" t="s">
        <v>417</v>
      </c>
      <c r="E1545" t="s">
        <v>198</v>
      </c>
      <c r="F1545">
        <v>20</v>
      </c>
      <c r="G1545" t="s">
        <v>290</v>
      </c>
      <c r="H1545" t="s">
        <v>3</v>
      </c>
      <c r="I1545" t="s">
        <v>59</v>
      </c>
      <c r="J1545" t="s">
        <v>73</v>
      </c>
      <c r="K1545" t="s">
        <v>64</v>
      </c>
      <c r="L1545">
        <v>2</v>
      </c>
      <c r="M1545" s="12">
        <v>120</v>
      </c>
      <c r="N1545" s="12">
        <v>81.599999999999994</v>
      </c>
      <c r="O1545">
        <v>2</v>
      </c>
      <c r="P1545" s="12">
        <v>235.2</v>
      </c>
      <c r="Q1545" s="12">
        <v>163.19999999999999</v>
      </c>
      <c r="R1545" s="12">
        <v>72</v>
      </c>
      <c r="S1545" t="s">
        <v>1249</v>
      </c>
      <c r="T1545" t="s">
        <v>109</v>
      </c>
      <c r="U1545" t="s">
        <v>1205</v>
      </c>
    </row>
    <row r="1546" spans="1:21" x14ac:dyDescent="0.25">
      <c r="A1546" t="s">
        <v>3514</v>
      </c>
      <c r="B1546" s="8">
        <v>45842</v>
      </c>
      <c r="C1546" t="s">
        <v>1452</v>
      </c>
      <c r="D1546" t="s">
        <v>661</v>
      </c>
      <c r="E1546" t="s">
        <v>198</v>
      </c>
      <c r="F1546">
        <v>56</v>
      </c>
      <c r="G1546" t="s">
        <v>5</v>
      </c>
      <c r="H1546" t="s">
        <v>3</v>
      </c>
      <c r="I1546" t="s">
        <v>59</v>
      </c>
      <c r="J1546" t="s">
        <v>73</v>
      </c>
      <c r="K1546" t="s">
        <v>64</v>
      </c>
      <c r="L1546">
        <v>4</v>
      </c>
      <c r="M1546" s="12">
        <v>120</v>
      </c>
      <c r="N1546" s="12">
        <v>81.599999999999994</v>
      </c>
      <c r="O1546">
        <v>3</v>
      </c>
      <c r="P1546" s="12">
        <v>465.59999999999997</v>
      </c>
      <c r="Q1546" s="12">
        <v>326.39999999999998</v>
      </c>
      <c r="R1546" s="12">
        <v>139.19999999999999</v>
      </c>
      <c r="S1546" t="s">
        <v>1246</v>
      </c>
      <c r="T1546" t="s">
        <v>107</v>
      </c>
      <c r="U1546" t="s">
        <v>1201</v>
      </c>
    </row>
    <row r="1547" spans="1:21" x14ac:dyDescent="0.25">
      <c r="A1547" t="s">
        <v>3515</v>
      </c>
      <c r="B1547" s="8">
        <v>45796</v>
      </c>
      <c r="C1547" t="s">
        <v>1971</v>
      </c>
      <c r="D1547" t="s">
        <v>393</v>
      </c>
      <c r="E1547" t="s">
        <v>198</v>
      </c>
      <c r="F1547">
        <v>46</v>
      </c>
      <c r="G1547" t="s">
        <v>14</v>
      </c>
      <c r="H1547" t="s">
        <v>15</v>
      </c>
      <c r="I1547" t="s">
        <v>42</v>
      </c>
      <c r="J1547" t="s">
        <v>44</v>
      </c>
      <c r="K1547" t="s">
        <v>43</v>
      </c>
      <c r="L1547">
        <v>3</v>
      </c>
      <c r="M1547" s="12">
        <v>8999</v>
      </c>
      <c r="N1547" s="12">
        <v>6479.28</v>
      </c>
      <c r="O1547">
        <v>2</v>
      </c>
      <c r="P1547" s="12">
        <v>26457.06</v>
      </c>
      <c r="Q1547" s="12">
        <v>19437.84</v>
      </c>
      <c r="R1547" s="12">
        <v>7019.2200000000012</v>
      </c>
      <c r="S1547" t="s">
        <v>113</v>
      </c>
      <c r="T1547" t="s">
        <v>110</v>
      </c>
      <c r="U1547" t="s">
        <v>1201</v>
      </c>
    </row>
    <row r="1548" spans="1:21" x14ac:dyDescent="0.25">
      <c r="A1548" t="s">
        <v>3516</v>
      </c>
      <c r="B1548" s="8">
        <v>45697</v>
      </c>
      <c r="C1548" t="s">
        <v>3044</v>
      </c>
      <c r="D1548" t="s">
        <v>1191</v>
      </c>
      <c r="E1548" t="s">
        <v>218</v>
      </c>
      <c r="F1548">
        <v>39</v>
      </c>
      <c r="G1548" t="s">
        <v>7</v>
      </c>
      <c r="H1548" t="s">
        <v>8</v>
      </c>
      <c r="I1548" t="s">
        <v>30</v>
      </c>
      <c r="J1548" t="s">
        <v>41</v>
      </c>
      <c r="K1548" t="s">
        <v>22</v>
      </c>
      <c r="L1548">
        <v>3</v>
      </c>
      <c r="M1548" s="12">
        <v>13749</v>
      </c>
      <c r="N1548" s="12">
        <v>10999.2</v>
      </c>
      <c r="O1548">
        <v>7</v>
      </c>
      <c r="P1548" s="12">
        <v>38359.71</v>
      </c>
      <c r="Q1548" s="12">
        <v>32997.600000000006</v>
      </c>
      <c r="R1548" s="12">
        <v>5362.1099999999933</v>
      </c>
      <c r="S1548" t="s">
        <v>1246</v>
      </c>
      <c r="T1548" t="s">
        <v>108</v>
      </c>
      <c r="U1548" t="s">
        <v>1209</v>
      </c>
    </row>
    <row r="1549" spans="1:21" x14ac:dyDescent="0.25">
      <c r="A1549" t="s">
        <v>3517</v>
      </c>
      <c r="B1549" s="8">
        <v>45854</v>
      </c>
      <c r="C1549" t="s">
        <v>2784</v>
      </c>
      <c r="D1549" t="s">
        <v>645</v>
      </c>
      <c r="E1549" t="s">
        <v>198</v>
      </c>
      <c r="F1549">
        <v>50</v>
      </c>
      <c r="G1549" t="s">
        <v>17</v>
      </c>
      <c r="H1549" t="s">
        <v>15</v>
      </c>
      <c r="I1549" t="s">
        <v>55</v>
      </c>
      <c r="J1549" t="s">
        <v>65</v>
      </c>
      <c r="K1549" t="s">
        <v>64</v>
      </c>
      <c r="L1549">
        <v>1</v>
      </c>
      <c r="M1549" s="12">
        <v>80</v>
      </c>
      <c r="N1549" s="12">
        <v>56</v>
      </c>
      <c r="O1549">
        <v>5</v>
      </c>
      <c r="P1549" s="12">
        <v>76</v>
      </c>
      <c r="Q1549" s="12">
        <v>56</v>
      </c>
      <c r="R1549" s="12">
        <v>20</v>
      </c>
      <c r="S1549" t="s">
        <v>1246</v>
      </c>
      <c r="T1549" t="s">
        <v>109</v>
      </c>
      <c r="U1549" t="s">
        <v>1198</v>
      </c>
    </row>
    <row r="1550" spans="1:21" x14ac:dyDescent="0.25">
      <c r="A1550" t="s">
        <v>3518</v>
      </c>
      <c r="B1550" s="8">
        <v>45928</v>
      </c>
      <c r="C1550" t="s">
        <v>3929</v>
      </c>
      <c r="D1550" t="s">
        <v>953</v>
      </c>
      <c r="E1550" t="s">
        <v>198</v>
      </c>
      <c r="F1550">
        <v>51</v>
      </c>
      <c r="G1550" t="s">
        <v>289</v>
      </c>
      <c r="H1550" t="s">
        <v>3</v>
      </c>
      <c r="I1550" t="s">
        <v>34</v>
      </c>
      <c r="J1550" t="s">
        <v>137</v>
      </c>
      <c r="K1550" t="s">
        <v>22</v>
      </c>
      <c r="L1550">
        <v>5</v>
      </c>
      <c r="M1550" s="12">
        <v>6900</v>
      </c>
      <c r="N1550" s="12">
        <v>5727</v>
      </c>
      <c r="O1550">
        <v>8</v>
      </c>
      <c r="P1550" s="12">
        <v>31740</v>
      </c>
      <c r="Q1550" s="12">
        <v>28635</v>
      </c>
      <c r="R1550" s="12">
        <v>3105</v>
      </c>
      <c r="S1550" t="s">
        <v>1246</v>
      </c>
      <c r="T1550" t="s">
        <v>107</v>
      </c>
      <c r="U1550" t="s">
        <v>1211</v>
      </c>
    </row>
    <row r="1551" spans="1:21" x14ac:dyDescent="0.25">
      <c r="A1551" t="s">
        <v>3519</v>
      </c>
      <c r="B1551" s="8">
        <v>46018</v>
      </c>
      <c r="C1551" t="s">
        <v>1411</v>
      </c>
      <c r="D1551" t="s">
        <v>811</v>
      </c>
      <c r="E1551" t="s">
        <v>198</v>
      </c>
      <c r="F1551">
        <v>50</v>
      </c>
      <c r="G1551" t="s">
        <v>10</v>
      </c>
      <c r="H1551" t="s">
        <v>8</v>
      </c>
      <c r="I1551" t="s">
        <v>53</v>
      </c>
      <c r="J1551" t="s">
        <v>48</v>
      </c>
      <c r="K1551" t="s">
        <v>43</v>
      </c>
      <c r="L1551">
        <v>1</v>
      </c>
      <c r="M1551" s="12">
        <v>6499</v>
      </c>
      <c r="N1551" s="12">
        <v>4549.2999999999993</v>
      </c>
      <c r="O1551">
        <v>12</v>
      </c>
      <c r="P1551" s="12">
        <v>5719.12</v>
      </c>
      <c r="Q1551" s="12">
        <v>4549.2999999999993</v>
      </c>
      <c r="R1551" s="12">
        <v>1169.8200000000006</v>
      </c>
      <c r="S1551" t="s">
        <v>1246</v>
      </c>
      <c r="T1551" t="s">
        <v>110</v>
      </c>
      <c r="U1551" t="s">
        <v>1194</v>
      </c>
    </row>
    <row r="1552" spans="1:21" x14ac:dyDescent="0.25">
      <c r="A1552" t="s">
        <v>3520</v>
      </c>
      <c r="B1552" s="8">
        <v>45701</v>
      </c>
      <c r="C1552" t="s">
        <v>2296</v>
      </c>
      <c r="D1552" t="s">
        <v>663</v>
      </c>
      <c r="E1552" t="s">
        <v>218</v>
      </c>
      <c r="F1552">
        <v>62</v>
      </c>
      <c r="G1552" t="s">
        <v>17</v>
      </c>
      <c r="H1552" t="s">
        <v>15</v>
      </c>
      <c r="I1552" t="s">
        <v>63</v>
      </c>
      <c r="J1552" t="s">
        <v>77</v>
      </c>
      <c r="K1552" t="s">
        <v>64</v>
      </c>
      <c r="L1552">
        <v>5</v>
      </c>
      <c r="M1552" s="12">
        <v>650</v>
      </c>
      <c r="N1552" s="12">
        <v>468</v>
      </c>
      <c r="O1552">
        <v>2</v>
      </c>
      <c r="P1552" s="12">
        <v>3185</v>
      </c>
      <c r="Q1552" s="12">
        <v>2340</v>
      </c>
      <c r="R1552" s="12">
        <v>845</v>
      </c>
      <c r="S1552" t="s">
        <v>1246</v>
      </c>
      <c r="T1552" t="s">
        <v>107</v>
      </c>
      <c r="U1552" t="s">
        <v>1205</v>
      </c>
    </row>
    <row r="1553" spans="1:21" x14ac:dyDescent="0.25">
      <c r="A1553" t="s">
        <v>3521</v>
      </c>
      <c r="B1553" s="8">
        <v>45830</v>
      </c>
      <c r="C1553" t="s">
        <v>3201</v>
      </c>
      <c r="D1553" t="s">
        <v>769</v>
      </c>
      <c r="E1553" t="s">
        <v>218</v>
      </c>
      <c r="F1553">
        <v>49</v>
      </c>
      <c r="G1553" t="s">
        <v>10</v>
      </c>
      <c r="H1553" t="s">
        <v>8</v>
      </c>
      <c r="I1553" t="s">
        <v>63</v>
      </c>
      <c r="J1553" t="s">
        <v>77</v>
      </c>
      <c r="K1553" t="s">
        <v>64</v>
      </c>
      <c r="L1553">
        <v>4</v>
      </c>
      <c r="M1553" s="12">
        <v>650</v>
      </c>
      <c r="N1553" s="12">
        <v>468</v>
      </c>
      <c r="O1553">
        <v>14</v>
      </c>
      <c r="P1553" s="12">
        <v>2236</v>
      </c>
      <c r="Q1553" s="12">
        <v>1872</v>
      </c>
      <c r="R1553" s="12">
        <v>364</v>
      </c>
      <c r="S1553" t="s">
        <v>113</v>
      </c>
      <c r="T1553" t="s">
        <v>108</v>
      </c>
      <c r="U1553" t="s">
        <v>1205</v>
      </c>
    </row>
    <row r="1554" spans="1:21" x14ac:dyDescent="0.25">
      <c r="A1554" t="s">
        <v>3523</v>
      </c>
      <c r="B1554" s="8">
        <v>45754</v>
      </c>
      <c r="C1554" t="s">
        <v>2036</v>
      </c>
      <c r="D1554" t="s">
        <v>1077</v>
      </c>
      <c r="E1554" t="s">
        <v>218</v>
      </c>
      <c r="F1554">
        <v>32</v>
      </c>
      <c r="G1554" t="s">
        <v>16</v>
      </c>
      <c r="H1554" t="s">
        <v>15</v>
      </c>
      <c r="I1554" t="s">
        <v>63</v>
      </c>
      <c r="J1554" t="s">
        <v>77</v>
      </c>
      <c r="K1554" t="s">
        <v>64</v>
      </c>
      <c r="L1554">
        <v>2</v>
      </c>
      <c r="M1554" s="12">
        <v>650</v>
      </c>
      <c r="N1554" s="12">
        <v>468</v>
      </c>
      <c r="O1554">
        <v>0</v>
      </c>
      <c r="P1554" s="12">
        <v>1300</v>
      </c>
      <c r="Q1554" s="12">
        <v>936</v>
      </c>
      <c r="R1554" s="12">
        <v>364</v>
      </c>
      <c r="S1554" t="s">
        <v>1246</v>
      </c>
      <c r="T1554" t="s">
        <v>110</v>
      </c>
      <c r="U1554" t="s">
        <v>1209</v>
      </c>
    </row>
    <row r="1555" spans="1:21" x14ac:dyDescent="0.25">
      <c r="A1555" t="s">
        <v>3524</v>
      </c>
      <c r="B1555" s="8">
        <v>45902</v>
      </c>
      <c r="C1555" t="s">
        <v>1539</v>
      </c>
      <c r="D1555" t="s">
        <v>390</v>
      </c>
      <c r="E1555" t="s">
        <v>198</v>
      </c>
      <c r="F1555">
        <v>42</v>
      </c>
      <c r="G1555" t="s">
        <v>4</v>
      </c>
      <c r="H1555" t="s">
        <v>3</v>
      </c>
      <c r="I1555" t="s">
        <v>24</v>
      </c>
      <c r="J1555" t="s">
        <v>25</v>
      </c>
      <c r="K1555" t="s">
        <v>22</v>
      </c>
      <c r="L1555">
        <v>3</v>
      </c>
      <c r="M1555" s="12">
        <v>35800</v>
      </c>
      <c r="N1555" s="12">
        <v>28640</v>
      </c>
      <c r="O1555">
        <v>6</v>
      </c>
      <c r="P1555" s="12">
        <v>100956</v>
      </c>
      <c r="Q1555" s="12">
        <v>85920</v>
      </c>
      <c r="R1555" s="12">
        <v>15036</v>
      </c>
      <c r="S1555" t="s">
        <v>1246</v>
      </c>
      <c r="T1555" t="s">
        <v>108</v>
      </c>
      <c r="U1555" t="s">
        <v>1205</v>
      </c>
    </row>
    <row r="1556" spans="1:21" x14ac:dyDescent="0.25">
      <c r="A1556" t="s">
        <v>3525</v>
      </c>
      <c r="B1556" s="8">
        <v>45904</v>
      </c>
      <c r="C1556" t="s">
        <v>3177</v>
      </c>
      <c r="D1556" t="s">
        <v>564</v>
      </c>
      <c r="E1556" t="s">
        <v>198</v>
      </c>
      <c r="F1556">
        <v>22</v>
      </c>
      <c r="G1556" t="s">
        <v>289</v>
      </c>
      <c r="H1556" t="s">
        <v>3</v>
      </c>
      <c r="I1556" t="s">
        <v>45</v>
      </c>
      <c r="J1556" t="s">
        <v>46</v>
      </c>
      <c r="K1556" t="s">
        <v>43</v>
      </c>
      <c r="L1556">
        <v>5</v>
      </c>
      <c r="M1556" s="12">
        <v>11999</v>
      </c>
      <c r="N1556" s="12">
        <v>8999.25</v>
      </c>
      <c r="O1556">
        <v>6</v>
      </c>
      <c r="P1556" s="12">
        <v>56395.299999999996</v>
      </c>
      <c r="Q1556" s="12">
        <v>44996.25</v>
      </c>
      <c r="R1556" s="12">
        <v>11399.049999999996</v>
      </c>
      <c r="S1556" t="s">
        <v>113</v>
      </c>
      <c r="T1556" t="s">
        <v>109</v>
      </c>
      <c r="U1556" t="s">
        <v>1207</v>
      </c>
    </row>
    <row r="1557" spans="1:21" x14ac:dyDescent="0.25">
      <c r="A1557" t="s">
        <v>3526</v>
      </c>
      <c r="B1557" s="8">
        <v>45846</v>
      </c>
      <c r="C1557" t="s">
        <v>3075</v>
      </c>
      <c r="D1557" t="s">
        <v>633</v>
      </c>
      <c r="E1557" t="s">
        <v>218</v>
      </c>
      <c r="F1557">
        <v>26</v>
      </c>
      <c r="G1557" t="s">
        <v>4</v>
      </c>
      <c r="H1557" t="s">
        <v>3</v>
      </c>
      <c r="I1557" t="s">
        <v>47</v>
      </c>
      <c r="J1557" t="s">
        <v>52</v>
      </c>
      <c r="K1557" t="s">
        <v>43</v>
      </c>
      <c r="L1557">
        <v>2</v>
      </c>
      <c r="M1557" s="12">
        <v>42999</v>
      </c>
      <c r="N1557" s="12">
        <v>33539.22</v>
      </c>
      <c r="O1557">
        <v>8</v>
      </c>
      <c r="P1557" s="12">
        <v>79118.16</v>
      </c>
      <c r="Q1557" s="12">
        <v>67078.44</v>
      </c>
      <c r="R1557" s="12">
        <v>12039.720000000001</v>
      </c>
      <c r="S1557" t="s">
        <v>113</v>
      </c>
      <c r="T1557" t="s">
        <v>108</v>
      </c>
      <c r="U1557" t="s">
        <v>1205</v>
      </c>
    </row>
    <row r="1558" spans="1:21" x14ac:dyDescent="0.25">
      <c r="A1558" t="s">
        <v>3527</v>
      </c>
      <c r="B1558" s="8">
        <v>45787</v>
      </c>
      <c r="C1558" t="s">
        <v>1253</v>
      </c>
      <c r="D1558" t="s">
        <v>1055</v>
      </c>
      <c r="E1558" t="s">
        <v>218</v>
      </c>
      <c r="F1558">
        <v>63</v>
      </c>
      <c r="G1558" t="s">
        <v>7</v>
      </c>
      <c r="H1558" t="s">
        <v>8</v>
      </c>
      <c r="I1558" t="s">
        <v>24</v>
      </c>
      <c r="J1558" t="s">
        <v>25</v>
      </c>
      <c r="K1558" t="s">
        <v>22</v>
      </c>
      <c r="L1558">
        <v>1</v>
      </c>
      <c r="M1558" s="12">
        <v>35800</v>
      </c>
      <c r="N1558" s="12">
        <v>28640</v>
      </c>
      <c r="O1558">
        <v>9</v>
      </c>
      <c r="P1558" s="12">
        <v>32578</v>
      </c>
      <c r="Q1558" s="12">
        <v>28640</v>
      </c>
      <c r="R1558" s="12">
        <v>3938</v>
      </c>
      <c r="S1558" t="s">
        <v>113</v>
      </c>
      <c r="T1558" t="s">
        <v>107</v>
      </c>
      <c r="U1558" t="s">
        <v>1207</v>
      </c>
    </row>
    <row r="1559" spans="1:21" x14ac:dyDescent="0.25">
      <c r="A1559" t="s">
        <v>3528</v>
      </c>
      <c r="B1559" s="8">
        <v>45937</v>
      </c>
      <c r="C1559" t="s">
        <v>1795</v>
      </c>
      <c r="D1559" t="s">
        <v>825</v>
      </c>
      <c r="E1559" t="s">
        <v>198</v>
      </c>
      <c r="F1559">
        <v>62</v>
      </c>
      <c r="G1559" t="s">
        <v>5</v>
      </c>
      <c r="H1559" t="s">
        <v>3</v>
      </c>
      <c r="I1559" t="s">
        <v>45</v>
      </c>
      <c r="J1559" t="s">
        <v>46</v>
      </c>
      <c r="K1559" t="s">
        <v>43</v>
      </c>
      <c r="L1559">
        <v>3</v>
      </c>
      <c r="M1559" s="12">
        <v>11999</v>
      </c>
      <c r="N1559" s="12">
        <v>8999.25</v>
      </c>
      <c r="O1559">
        <v>9</v>
      </c>
      <c r="P1559" s="12">
        <v>32757.27</v>
      </c>
      <c r="Q1559" s="12">
        <v>26997.75</v>
      </c>
      <c r="R1559" s="12">
        <v>5759.52</v>
      </c>
      <c r="S1559" t="s">
        <v>113</v>
      </c>
      <c r="T1559" t="s">
        <v>108</v>
      </c>
      <c r="U1559" t="s">
        <v>1211</v>
      </c>
    </row>
    <row r="1560" spans="1:21" x14ac:dyDescent="0.25">
      <c r="A1560" t="s">
        <v>3529</v>
      </c>
      <c r="B1560" s="8">
        <v>45986</v>
      </c>
      <c r="C1560" t="s">
        <v>1419</v>
      </c>
      <c r="D1560" t="s">
        <v>781</v>
      </c>
      <c r="E1560" t="s">
        <v>218</v>
      </c>
      <c r="F1560">
        <v>56</v>
      </c>
      <c r="G1560" t="s">
        <v>290</v>
      </c>
      <c r="H1560" t="s">
        <v>3</v>
      </c>
      <c r="I1560" t="s">
        <v>61</v>
      </c>
      <c r="J1560" t="s">
        <v>146</v>
      </c>
      <c r="K1560" t="s">
        <v>64</v>
      </c>
      <c r="L1560">
        <v>5</v>
      </c>
      <c r="M1560" s="12">
        <v>250</v>
      </c>
      <c r="N1560" s="12">
        <v>155</v>
      </c>
      <c r="O1560">
        <v>3</v>
      </c>
      <c r="P1560" s="12">
        <v>1212.5</v>
      </c>
      <c r="Q1560" s="12">
        <v>775</v>
      </c>
      <c r="R1560" s="12">
        <v>437.5</v>
      </c>
      <c r="S1560" t="s">
        <v>1246</v>
      </c>
      <c r="T1560" t="s">
        <v>107</v>
      </c>
      <c r="U1560" t="s">
        <v>1203</v>
      </c>
    </row>
    <row r="1561" spans="1:21" x14ac:dyDescent="0.25">
      <c r="A1561" t="s">
        <v>3530</v>
      </c>
      <c r="B1561" s="8">
        <v>45699</v>
      </c>
      <c r="C1561" t="s">
        <v>3146</v>
      </c>
      <c r="D1561" t="s">
        <v>905</v>
      </c>
      <c r="E1561" t="s">
        <v>218</v>
      </c>
      <c r="F1561">
        <v>63</v>
      </c>
      <c r="G1561" t="s">
        <v>2</v>
      </c>
      <c r="H1561" t="s">
        <v>3</v>
      </c>
      <c r="I1561" t="s">
        <v>40</v>
      </c>
      <c r="J1561" t="s">
        <v>39</v>
      </c>
      <c r="K1561" t="s">
        <v>22</v>
      </c>
      <c r="L1561">
        <v>1</v>
      </c>
      <c r="M1561" s="12">
        <v>1100</v>
      </c>
      <c r="N1561" s="12">
        <v>715</v>
      </c>
      <c r="O1561">
        <v>6</v>
      </c>
      <c r="P1561" s="12">
        <v>1034</v>
      </c>
      <c r="Q1561" s="12">
        <v>715</v>
      </c>
      <c r="R1561" s="12">
        <v>319</v>
      </c>
      <c r="S1561" t="s">
        <v>1249</v>
      </c>
      <c r="T1561" t="s">
        <v>107</v>
      </c>
      <c r="U1561" t="s">
        <v>1207</v>
      </c>
    </row>
    <row r="1562" spans="1:21" x14ac:dyDescent="0.25">
      <c r="A1562" t="s">
        <v>3531</v>
      </c>
      <c r="B1562" s="8">
        <v>45891</v>
      </c>
      <c r="C1562" t="s">
        <v>1961</v>
      </c>
      <c r="D1562" t="s">
        <v>465</v>
      </c>
      <c r="E1562" t="s">
        <v>218</v>
      </c>
      <c r="F1562">
        <v>32</v>
      </c>
      <c r="G1562" t="s">
        <v>17</v>
      </c>
      <c r="H1562" t="s">
        <v>15</v>
      </c>
      <c r="I1562" t="s">
        <v>38</v>
      </c>
      <c r="J1562" t="s">
        <v>37</v>
      </c>
      <c r="K1562" t="s">
        <v>22</v>
      </c>
      <c r="L1562">
        <v>3</v>
      </c>
      <c r="M1562" s="12">
        <v>1650</v>
      </c>
      <c r="N1562" s="12">
        <v>990</v>
      </c>
      <c r="O1562">
        <v>4</v>
      </c>
      <c r="P1562" s="12">
        <v>4752</v>
      </c>
      <c r="Q1562" s="12">
        <v>2970</v>
      </c>
      <c r="R1562" s="12">
        <v>1782</v>
      </c>
      <c r="S1562" t="s">
        <v>113</v>
      </c>
      <c r="T1562" t="s">
        <v>107</v>
      </c>
      <c r="U1562" t="s">
        <v>1205</v>
      </c>
    </row>
    <row r="1563" spans="1:21" x14ac:dyDescent="0.25">
      <c r="A1563" t="s">
        <v>3533</v>
      </c>
      <c r="B1563" s="8">
        <v>46014</v>
      </c>
      <c r="C1563" t="s">
        <v>2797</v>
      </c>
      <c r="D1563" t="s">
        <v>380</v>
      </c>
      <c r="E1563" t="s">
        <v>218</v>
      </c>
      <c r="F1563">
        <v>58</v>
      </c>
      <c r="G1563" t="s">
        <v>11</v>
      </c>
      <c r="H1563" t="s">
        <v>12</v>
      </c>
      <c r="I1563" t="s">
        <v>49</v>
      </c>
      <c r="J1563" t="s">
        <v>56</v>
      </c>
      <c r="K1563" t="s">
        <v>43</v>
      </c>
      <c r="L1563">
        <v>5</v>
      </c>
      <c r="M1563" s="12">
        <v>31999</v>
      </c>
      <c r="N1563" s="12">
        <v>25599.200000000001</v>
      </c>
      <c r="O1563">
        <v>13</v>
      </c>
      <c r="P1563" s="12">
        <v>139195.65</v>
      </c>
      <c r="Q1563" s="12">
        <v>127996</v>
      </c>
      <c r="R1563" s="12">
        <v>11199.649999999994</v>
      </c>
      <c r="S1563" t="s">
        <v>1246</v>
      </c>
      <c r="T1563" t="s">
        <v>107</v>
      </c>
      <c r="U1563" t="s">
        <v>1207</v>
      </c>
    </row>
    <row r="1564" spans="1:21" x14ac:dyDescent="0.25">
      <c r="A1564" t="s">
        <v>3534</v>
      </c>
      <c r="B1564" s="8">
        <v>45847</v>
      </c>
      <c r="C1564" t="s">
        <v>3228</v>
      </c>
      <c r="D1564" t="s">
        <v>1114</v>
      </c>
      <c r="E1564" t="s">
        <v>218</v>
      </c>
      <c r="F1564">
        <v>60</v>
      </c>
      <c r="G1564" t="s">
        <v>7</v>
      </c>
      <c r="H1564" t="s">
        <v>8</v>
      </c>
      <c r="I1564" t="s">
        <v>42</v>
      </c>
      <c r="J1564" t="s">
        <v>44</v>
      </c>
      <c r="K1564" t="s">
        <v>43</v>
      </c>
      <c r="L1564">
        <v>2</v>
      </c>
      <c r="M1564" s="12">
        <v>8999</v>
      </c>
      <c r="N1564" s="12">
        <v>6479.28</v>
      </c>
      <c r="O1564">
        <v>10</v>
      </c>
      <c r="P1564" s="12">
        <v>16198.2</v>
      </c>
      <c r="Q1564" s="12">
        <v>12958.56</v>
      </c>
      <c r="R1564" s="12">
        <v>3239.6400000000012</v>
      </c>
      <c r="S1564" t="s">
        <v>113</v>
      </c>
      <c r="T1564" t="s">
        <v>107</v>
      </c>
      <c r="U1564" t="s">
        <v>1196</v>
      </c>
    </row>
    <row r="1565" spans="1:21" x14ac:dyDescent="0.25">
      <c r="A1565" t="s">
        <v>3535</v>
      </c>
      <c r="B1565" s="8">
        <v>45890</v>
      </c>
      <c r="C1565" t="s">
        <v>2784</v>
      </c>
      <c r="D1565" t="s">
        <v>645</v>
      </c>
      <c r="E1565" t="s">
        <v>198</v>
      </c>
      <c r="F1565">
        <v>50</v>
      </c>
      <c r="G1565" t="s">
        <v>17</v>
      </c>
      <c r="H1565" t="s">
        <v>15</v>
      </c>
      <c r="I1565" t="s">
        <v>32</v>
      </c>
      <c r="J1565" t="s">
        <v>29</v>
      </c>
      <c r="K1565" t="s">
        <v>22</v>
      </c>
      <c r="L1565">
        <v>2</v>
      </c>
      <c r="M1565" s="12">
        <v>9500</v>
      </c>
      <c r="N1565" s="12">
        <v>6650</v>
      </c>
      <c r="O1565">
        <v>8</v>
      </c>
      <c r="P1565" s="12">
        <v>17480</v>
      </c>
      <c r="Q1565" s="12">
        <v>13300</v>
      </c>
      <c r="R1565" s="12">
        <v>4180</v>
      </c>
      <c r="S1565" t="s">
        <v>113</v>
      </c>
      <c r="T1565" t="s">
        <v>107</v>
      </c>
      <c r="U1565" t="s">
        <v>1203</v>
      </c>
    </row>
    <row r="1566" spans="1:21" x14ac:dyDescent="0.25">
      <c r="A1566" t="s">
        <v>3536</v>
      </c>
      <c r="B1566" s="8">
        <v>45754</v>
      </c>
      <c r="C1566" t="s">
        <v>1973</v>
      </c>
      <c r="D1566" t="s">
        <v>997</v>
      </c>
      <c r="E1566" t="s">
        <v>198</v>
      </c>
      <c r="F1566">
        <v>42</v>
      </c>
      <c r="G1566" t="s">
        <v>11</v>
      </c>
      <c r="H1566" t="s">
        <v>12</v>
      </c>
      <c r="I1566" t="s">
        <v>49</v>
      </c>
      <c r="J1566" t="s">
        <v>56</v>
      </c>
      <c r="K1566" t="s">
        <v>43</v>
      </c>
      <c r="L1566">
        <v>1</v>
      </c>
      <c r="M1566" s="12">
        <v>31999</v>
      </c>
      <c r="N1566" s="12">
        <v>25599.200000000001</v>
      </c>
      <c r="O1566">
        <v>6</v>
      </c>
      <c r="P1566" s="12">
        <v>30079.059999999998</v>
      </c>
      <c r="Q1566" s="12">
        <v>25599.200000000001</v>
      </c>
      <c r="R1566" s="12">
        <v>4479.8599999999969</v>
      </c>
      <c r="S1566" t="s">
        <v>113</v>
      </c>
      <c r="T1566" t="s">
        <v>109</v>
      </c>
      <c r="U1566" t="s">
        <v>1198</v>
      </c>
    </row>
    <row r="1567" spans="1:21" x14ac:dyDescent="0.25">
      <c r="A1567" t="s">
        <v>3537</v>
      </c>
      <c r="B1567" s="8">
        <v>45830</v>
      </c>
      <c r="C1567" t="s">
        <v>2484</v>
      </c>
      <c r="D1567" t="s">
        <v>458</v>
      </c>
      <c r="E1567" t="s">
        <v>198</v>
      </c>
      <c r="F1567">
        <v>38</v>
      </c>
      <c r="G1567" t="s">
        <v>14</v>
      </c>
      <c r="H1567" t="s">
        <v>15</v>
      </c>
      <c r="I1567" t="s">
        <v>63</v>
      </c>
      <c r="J1567" t="s">
        <v>77</v>
      </c>
      <c r="K1567" t="s">
        <v>64</v>
      </c>
      <c r="L1567">
        <v>4</v>
      </c>
      <c r="M1567" s="12">
        <v>650</v>
      </c>
      <c r="N1567" s="12">
        <v>468</v>
      </c>
      <c r="O1567">
        <v>11</v>
      </c>
      <c r="P1567" s="12">
        <v>2314</v>
      </c>
      <c r="Q1567" s="12">
        <v>1872</v>
      </c>
      <c r="R1567" s="12">
        <v>442</v>
      </c>
      <c r="S1567" t="s">
        <v>1246</v>
      </c>
      <c r="T1567" t="s">
        <v>108</v>
      </c>
      <c r="U1567" t="s">
        <v>1201</v>
      </c>
    </row>
    <row r="1568" spans="1:21" x14ac:dyDescent="0.25">
      <c r="A1568" t="s">
        <v>3538</v>
      </c>
      <c r="B1568" s="8">
        <v>45889</v>
      </c>
      <c r="C1568" t="s">
        <v>1609</v>
      </c>
      <c r="D1568" t="s">
        <v>862</v>
      </c>
      <c r="E1568" t="s">
        <v>218</v>
      </c>
      <c r="F1568">
        <v>59</v>
      </c>
      <c r="G1568" t="s">
        <v>4</v>
      </c>
      <c r="H1568" t="s">
        <v>3</v>
      </c>
      <c r="I1568" t="s">
        <v>45</v>
      </c>
      <c r="J1568" t="s">
        <v>46</v>
      </c>
      <c r="K1568" t="s">
        <v>43</v>
      </c>
      <c r="L1568">
        <v>5</v>
      </c>
      <c r="M1568" s="12">
        <v>11999</v>
      </c>
      <c r="N1568" s="12">
        <v>8999.25</v>
      </c>
      <c r="O1568">
        <v>8</v>
      </c>
      <c r="P1568" s="12">
        <v>55195.4</v>
      </c>
      <c r="Q1568" s="12">
        <v>44996.25</v>
      </c>
      <c r="R1568" s="12">
        <v>10199.150000000001</v>
      </c>
      <c r="S1568" t="s">
        <v>1246</v>
      </c>
      <c r="T1568" t="s">
        <v>108</v>
      </c>
      <c r="U1568" t="s">
        <v>1207</v>
      </c>
    </row>
    <row r="1569" spans="1:21" x14ac:dyDescent="0.25">
      <c r="A1569" t="s">
        <v>3539</v>
      </c>
      <c r="B1569" s="8">
        <v>45917</v>
      </c>
      <c r="C1569" t="s">
        <v>1724</v>
      </c>
      <c r="D1569" t="s">
        <v>685</v>
      </c>
      <c r="E1569" t="s">
        <v>198</v>
      </c>
      <c r="F1569">
        <v>35</v>
      </c>
      <c r="G1569" t="s">
        <v>289</v>
      </c>
      <c r="H1569" t="s">
        <v>3</v>
      </c>
      <c r="I1569" t="s">
        <v>51</v>
      </c>
      <c r="J1569" t="s">
        <v>54</v>
      </c>
      <c r="K1569" t="s">
        <v>43</v>
      </c>
      <c r="L1569">
        <v>4</v>
      </c>
      <c r="M1569" s="12">
        <v>27499</v>
      </c>
      <c r="N1569" s="12">
        <v>21724.210000000003</v>
      </c>
      <c r="O1569">
        <v>5</v>
      </c>
      <c r="P1569" s="12">
        <v>104496.2</v>
      </c>
      <c r="Q1569" s="12">
        <v>86896.840000000011</v>
      </c>
      <c r="R1569" s="12">
        <v>17599.359999999986</v>
      </c>
      <c r="S1569" t="s">
        <v>1246</v>
      </c>
      <c r="T1569" t="s">
        <v>109</v>
      </c>
      <c r="U1569" t="s">
        <v>1199</v>
      </c>
    </row>
    <row r="1570" spans="1:21" x14ac:dyDescent="0.25">
      <c r="A1570" t="s">
        <v>3540</v>
      </c>
      <c r="B1570" s="8">
        <v>45915</v>
      </c>
      <c r="C1570" t="s">
        <v>2304</v>
      </c>
      <c r="D1570" t="s">
        <v>599</v>
      </c>
      <c r="E1570" t="s">
        <v>218</v>
      </c>
      <c r="F1570">
        <v>50</v>
      </c>
      <c r="G1570" t="s">
        <v>290</v>
      </c>
      <c r="H1570" t="s">
        <v>3</v>
      </c>
      <c r="I1570" t="s">
        <v>32</v>
      </c>
      <c r="J1570" t="s">
        <v>29</v>
      </c>
      <c r="K1570" t="s">
        <v>22</v>
      </c>
      <c r="L1570">
        <v>2</v>
      </c>
      <c r="M1570" s="12">
        <v>9500</v>
      </c>
      <c r="N1570" s="12">
        <v>6650</v>
      </c>
      <c r="O1570">
        <v>3</v>
      </c>
      <c r="P1570" s="12">
        <v>18430</v>
      </c>
      <c r="Q1570" s="12">
        <v>13300</v>
      </c>
      <c r="R1570" s="12">
        <v>5130</v>
      </c>
      <c r="S1570" t="s">
        <v>113</v>
      </c>
      <c r="T1570" t="s">
        <v>108</v>
      </c>
      <c r="U1570" t="s">
        <v>1205</v>
      </c>
    </row>
    <row r="1571" spans="1:21" x14ac:dyDescent="0.25">
      <c r="A1571" t="s">
        <v>3542</v>
      </c>
      <c r="B1571" s="8">
        <v>45944</v>
      </c>
      <c r="C1571" t="s">
        <v>2428</v>
      </c>
      <c r="D1571" t="s">
        <v>1016</v>
      </c>
      <c r="E1571" t="s">
        <v>218</v>
      </c>
      <c r="F1571">
        <v>26</v>
      </c>
      <c r="G1571" t="s">
        <v>4</v>
      </c>
      <c r="H1571" t="s">
        <v>3</v>
      </c>
      <c r="I1571" t="s">
        <v>61</v>
      </c>
      <c r="J1571" t="s">
        <v>146</v>
      </c>
      <c r="K1571" t="s">
        <v>64</v>
      </c>
      <c r="L1571">
        <v>3</v>
      </c>
      <c r="M1571" s="12">
        <v>250</v>
      </c>
      <c r="N1571" s="12">
        <v>155</v>
      </c>
      <c r="O1571">
        <v>4</v>
      </c>
      <c r="P1571" s="12">
        <v>720</v>
      </c>
      <c r="Q1571" s="12">
        <v>465</v>
      </c>
      <c r="R1571" s="12">
        <v>255</v>
      </c>
      <c r="S1571" t="s">
        <v>1249</v>
      </c>
      <c r="T1571" t="s">
        <v>107</v>
      </c>
      <c r="U1571" t="s">
        <v>1205</v>
      </c>
    </row>
    <row r="1572" spans="1:21" x14ac:dyDescent="0.25">
      <c r="A1572" t="s">
        <v>3543</v>
      </c>
      <c r="B1572" s="8">
        <v>45781</v>
      </c>
      <c r="C1572" t="s">
        <v>2898</v>
      </c>
      <c r="D1572" t="s">
        <v>1009</v>
      </c>
      <c r="E1572" t="s">
        <v>198</v>
      </c>
      <c r="F1572">
        <v>44</v>
      </c>
      <c r="G1572" t="s">
        <v>14</v>
      </c>
      <c r="H1572" t="s">
        <v>15</v>
      </c>
      <c r="I1572" t="s">
        <v>36</v>
      </c>
      <c r="J1572" t="s">
        <v>136</v>
      </c>
      <c r="K1572" t="s">
        <v>22</v>
      </c>
      <c r="L1572">
        <v>4</v>
      </c>
      <c r="M1572" s="12">
        <v>3590</v>
      </c>
      <c r="N1572" s="12">
        <v>2333.5</v>
      </c>
      <c r="O1572">
        <v>6</v>
      </c>
      <c r="P1572" s="12">
        <v>13498.4</v>
      </c>
      <c r="Q1572" s="12">
        <v>9334</v>
      </c>
      <c r="R1572" s="12">
        <v>4164.3999999999996</v>
      </c>
      <c r="S1572" t="s">
        <v>1246</v>
      </c>
      <c r="T1572" t="s">
        <v>108</v>
      </c>
      <c r="U1572" t="s">
        <v>1205</v>
      </c>
    </row>
    <row r="1573" spans="1:21" x14ac:dyDescent="0.25">
      <c r="A1573" t="s">
        <v>3544</v>
      </c>
      <c r="B1573" s="8">
        <v>45971</v>
      </c>
      <c r="C1573" t="s">
        <v>2135</v>
      </c>
      <c r="D1573" t="s">
        <v>434</v>
      </c>
      <c r="E1573" t="s">
        <v>198</v>
      </c>
      <c r="F1573">
        <v>44</v>
      </c>
      <c r="G1573" t="s">
        <v>10</v>
      </c>
      <c r="H1573" t="s">
        <v>8</v>
      </c>
      <c r="I1573" t="s">
        <v>45</v>
      </c>
      <c r="J1573" t="s">
        <v>46</v>
      </c>
      <c r="K1573" t="s">
        <v>43</v>
      </c>
      <c r="L1573">
        <v>3</v>
      </c>
      <c r="M1573" s="12">
        <v>11999</v>
      </c>
      <c r="N1573" s="12">
        <v>8999.25</v>
      </c>
      <c r="O1573">
        <v>12</v>
      </c>
      <c r="P1573" s="12">
        <v>31677.360000000001</v>
      </c>
      <c r="Q1573" s="12">
        <v>26997.75</v>
      </c>
      <c r="R1573" s="12">
        <v>4679.6100000000006</v>
      </c>
      <c r="S1573" t="s">
        <v>1246</v>
      </c>
      <c r="T1573" t="s">
        <v>107</v>
      </c>
      <c r="U1573" t="s">
        <v>1196</v>
      </c>
    </row>
    <row r="1574" spans="1:21" x14ac:dyDescent="0.25">
      <c r="A1574" t="s">
        <v>3545</v>
      </c>
      <c r="B1574" s="8">
        <v>45827</v>
      </c>
      <c r="C1574" t="s">
        <v>2272</v>
      </c>
      <c r="D1574" t="s">
        <v>371</v>
      </c>
      <c r="E1574" t="s">
        <v>218</v>
      </c>
      <c r="F1574">
        <v>50</v>
      </c>
      <c r="G1574" t="s">
        <v>290</v>
      </c>
      <c r="H1574" t="s">
        <v>3</v>
      </c>
      <c r="I1574" t="s">
        <v>24</v>
      </c>
      <c r="J1574" t="s">
        <v>25</v>
      </c>
      <c r="K1574" t="s">
        <v>22</v>
      </c>
      <c r="L1574">
        <v>2</v>
      </c>
      <c r="M1574" s="12">
        <v>35800</v>
      </c>
      <c r="N1574" s="12">
        <v>28640</v>
      </c>
      <c r="O1574">
        <v>6</v>
      </c>
      <c r="P1574" s="12">
        <v>67304</v>
      </c>
      <c r="Q1574" s="12">
        <v>57280</v>
      </c>
      <c r="R1574" s="12">
        <v>10024</v>
      </c>
      <c r="S1574" t="s">
        <v>1246</v>
      </c>
      <c r="T1574" t="s">
        <v>107</v>
      </c>
      <c r="U1574" t="s">
        <v>1201</v>
      </c>
    </row>
    <row r="1575" spans="1:21" x14ac:dyDescent="0.25">
      <c r="A1575" t="s">
        <v>3546</v>
      </c>
      <c r="B1575" s="8">
        <v>45985</v>
      </c>
      <c r="C1575" t="s">
        <v>1941</v>
      </c>
      <c r="D1575" t="s">
        <v>915</v>
      </c>
      <c r="E1575" t="s">
        <v>198</v>
      </c>
      <c r="F1575">
        <v>48</v>
      </c>
      <c r="G1575" t="s">
        <v>2</v>
      </c>
      <c r="H1575" t="s">
        <v>3</v>
      </c>
      <c r="I1575" t="s">
        <v>42</v>
      </c>
      <c r="J1575" t="s">
        <v>44</v>
      </c>
      <c r="K1575" t="s">
        <v>43</v>
      </c>
      <c r="L1575">
        <v>4</v>
      </c>
      <c r="M1575" s="12">
        <v>8999</v>
      </c>
      <c r="N1575" s="12">
        <v>6479.28</v>
      </c>
      <c r="O1575">
        <v>15</v>
      </c>
      <c r="P1575" s="12">
        <v>30596.6</v>
      </c>
      <c r="Q1575" s="12">
        <v>25917.119999999999</v>
      </c>
      <c r="R1575" s="12">
        <v>4679.4799999999996</v>
      </c>
      <c r="S1575" t="s">
        <v>113</v>
      </c>
      <c r="T1575" t="s">
        <v>109</v>
      </c>
      <c r="U1575" t="s">
        <v>1201</v>
      </c>
    </row>
    <row r="1576" spans="1:21" x14ac:dyDescent="0.25">
      <c r="A1576" t="s">
        <v>3548</v>
      </c>
      <c r="B1576" s="8">
        <v>46000</v>
      </c>
      <c r="C1576" t="s">
        <v>3201</v>
      </c>
      <c r="D1576" t="s">
        <v>769</v>
      </c>
      <c r="E1576" t="s">
        <v>218</v>
      </c>
      <c r="F1576">
        <v>49</v>
      </c>
      <c r="G1576" t="s">
        <v>10</v>
      </c>
      <c r="H1576" t="s">
        <v>8</v>
      </c>
      <c r="I1576" t="s">
        <v>24</v>
      </c>
      <c r="J1576" t="s">
        <v>25</v>
      </c>
      <c r="K1576" t="s">
        <v>22</v>
      </c>
      <c r="L1576">
        <v>2</v>
      </c>
      <c r="M1576" s="12">
        <v>35800</v>
      </c>
      <c r="N1576" s="12">
        <v>28640</v>
      </c>
      <c r="O1576">
        <v>17</v>
      </c>
      <c r="P1576" s="12">
        <v>59428</v>
      </c>
      <c r="Q1576" s="12">
        <v>57280</v>
      </c>
      <c r="R1576" s="12">
        <v>2148</v>
      </c>
      <c r="S1576" t="s">
        <v>1249</v>
      </c>
      <c r="T1576" t="s">
        <v>108</v>
      </c>
      <c r="U1576" t="s">
        <v>1209</v>
      </c>
    </row>
    <row r="1577" spans="1:21" x14ac:dyDescent="0.25">
      <c r="A1577" t="s">
        <v>3549</v>
      </c>
      <c r="B1577" s="8">
        <v>46007</v>
      </c>
      <c r="C1577" t="s">
        <v>1601</v>
      </c>
      <c r="D1577" t="s">
        <v>733</v>
      </c>
      <c r="E1577" t="s">
        <v>218</v>
      </c>
      <c r="F1577">
        <v>18</v>
      </c>
      <c r="G1577" t="s">
        <v>290</v>
      </c>
      <c r="H1577" t="s">
        <v>3</v>
      </c>
      <c r="I1577" t="s">
        <v>57</v>
      </c>
      <c r="J1577" t="s">
        <v>67</v>
      </c>
      <c r="K1577" t="s">
        <v>64</v>
      </c>
      <c r="L1577">
        <v>1</v>
      </c>
      <c r="M1577" s="12">
        <v>150</v>
      </c>
      <c r="N1577" s="12">
        <v>97.5</v>
      </c>
      <c r="O1577">
        <v>8</v>
      </c>
      <c r="P1577" s="12">
        <v>138</v>
      </c>
      <c r="Q1577" s="12">
        <v>97.5</v>
      </c>
      <c r="R1577" s="12">
        <v>40.5</v>
      </c>
      <c r="S1577" t="s">
        <v>1249</v>
      </c>
      <c r="T1577" t="s">
        <v>108</v>
      </c>
      <c r="U1577" t="s">
        <v>1203</v>
      </c>
    </row>
    <row r="1578" spans="1:21" x14ac:dyDescent="0.25">
      <c r="A1578" t="s">
        <v>3550</v>
      </c>
      <c r="B1578" s="8">
        <v>45980</v>
      </c>
      <c r="C1578" t="s">
        <v>1245</v>
      </c>
      <c r="D1578" t="s">
        <v>493</v>
      </c>
      <c r="E1578" t="s">
        <v>218</v>
      </c>
      <c r="F1578">
        <v>54</v>
      </c>
      <c r="G1578" t="s">
        <v>290</v>
      </c>
      <c r="H1578" t="s">
        <v>3</v>
      </c>
      <c r="I1578" t="s">
        <v>45</v>
      </c>
      <c r="J1578" t="s">
        <v>46</v>
      </c>
      <c r="K1578" t="s">
        <v>43</v>
      </c>
      <c r="L1578">
        <v>2</v>
      </c>
      <c r="M1578" s="12">
        <v>11999</v>
      </c>
      <c r="N1578" s="12">
        <v>8999.25</v>
      </c>
      <c r="O1578">
        <v>20</v>
      </c>
      <c r="P1578" s="12">
        <v>19198.400000000001</v>
      </c>
      <c r="Q1578" s="12">
        <v>17998.5</v>
      </c>
      <c r="R1578" s="12">
        <v>1199.9000000000015</v>
      </c>
      <c r="S1578" t="s">
        <v>1249</v>
      </c>
      <c r="T1578" t="s">
        <v>109</v>
      </c>
      <c r="U1578" t="s">
        <v>1198</v>
      </c>
    </row>
    <row r="1579" spans="1:21" x14ac:dyDescent="0.25">
      <c r="A1579" t="s">
        <v>3551</v>
      </c>
      <c r="B1579" s="8">
        <v>45767</v>
      </c>
      <c r="C1579" t="s">
        <v>4095</v>
      </c>
      <c r="D1579" t="s">
        <v>1014</v>
      </c>
      <c r="E1579" t="s">
        <v>218</v>
      </c>
      <c r="F1579">
        <v>63</v>
      </c>
      <c r="G1579" t="s">
        <v>290</v>
      </c>
      <c r="H1579" t="s">
        <v>3</v>
      </c>
      <c r="I1579" t="s">
        <v>32</v>
      </c>
      <c r="J1579" t="s">
        <v>29</v>
      </c>
      <c r="K1579" t="s">
        <v>22</v>
      </c>
      <c r="L1579">
        <v>3</v>
      </c>
      <c r="M1579" s="12">
        <v>9500</v>
      </c>
      <c r="N1579" s="12">
        <v>6650</v>
      </c>
      <c r="O1579">
        <v>4</v>
      </c>
      <c r="P1579" s="12">
        <v>27360</v>
      </c>
      <c r="Q1579" s="12">
        <v>19950</v>
      </c>
      <c r="R1579" s="12">
        <v>7410</v>
      </c>
      <c r="S1579" t="s">
        <v>113</v>
      </c>
      <c r="T1579" t="s">
        <v>107</v>
      </c>
      <c r="U1579" t="s">
        <v>1205</v>
      </c>
    </row>
    <row r="1580" spans="1:21" x14ac:dyDescent="0.25">
      <c r="A1580" t="s">
        <v>3552</v>
      </c>
      <c r="B1580" s="8">
        <v>45738</v>
      </c>
      <c r="C1580" t="s">
        <v>1628</v>
      </c>
      <c r="D1580" t="s">
        <v>912</v>
      </c>
      <c r="E1580" t="s">
        <v>198</v>
      </c>
      <c r="F1580">
        <v>40</v>
      </c>
      <c r="G1580" t="s">
        <v>10</v>
      </c>
      <c r="H1580" t="s">
        <v>8</v>
      </c>
      <c r="I1580" t="s">
        <v>49</v>
      </c>
      <c r="J1580" t="s">
        <v>56</v>
      </c>
      <c r="K1580" t="s">
        <v>43</v>
      </c>
      <c r="L1580">
        <v>2</v>
      </c>
      <c r="M1580" s="12">
        <v>31999</v>
      </c>
      <c r="N1580" s="12">
        <v>25599.200000000001</v>
      </c>
      <c r="O1580">
        <v>10</v>
      </c>
      <c r="P1580" s="12">
        <v>57598.200000000004</v>
      </c>
      <c r="Q1580" s="12">
        <v>51198.400000000001</v>
      </c>
      <c r="R1580" s="12">
        <v>6399.8000000000029</v>
      </c>
      <c r="S1580" t="s">
        <v>113</v>
      </c>
      <c r="T1580" t="s">
        <v>107</v>
      </c>
      <c r="U1580" t="s">
        <v>1201</v>
      </c>
    </row>
    <row r="1581" spans="1:21" x14ac:dyDescent="0.25">
      <c r="A1581" t="s">
        <v>3553</v>
      </c>
      <c r="B1581" s="8">
        <v>45932</v>
      </c>
      <c r="C1581" t="s">
        <v>1648</v>
      </c>
      <c r="D1581" t="s">
        <v>491</v>
      </c>
      <c r="E1581" t="s">
        <v>198</v>
      </c>
      <c r="F1581">
        <v>57</v>
      </c>
      <c r="G1581" t="s">
        <v>10</v>
      </c>
      <c r="H1581" t="s">
        <v>8</v>
      </c>
      <c r="I1581" t="s">
        <v>24</v>
      </c>
      <c r="J1581" t="s">
        <v>25</v>
      </c>
      <c r="K1581" t="s">
        <v>22</v>
      </c>
      <c r="L1581">
        <v>3</v>
      </c>
      <c r="M1581" s="12">
        <v>35800</v>
      </c>
      <c r="N1581" s="12">
        <v>28640</v>
      </c>
      <c r="O1581">
        <v>3</v>
      </c>
      <c r="P1581" s="12">
        <v>104178</v>
      </c>
      <c r="Q1581" s="12">
        <v>85920</v>
      </c>
      <c r="R1581" s="12">
        <v>18258</v>
      </c>
      <c r="S1581" t="s">
        <v>113</v>
      </c>
      <c r="T1581" t="s">
        <v>109</v>
      </c>
      <c r="U1581" t="s">
        <v>1199</v>
      </c>
    </row>
    <row r="1582" spans="1:21" x14ac:dyDescent="0.25">
      <c r="A1582" t="s">
        <v>3555</v>
      </c>
      <c r="B1582" s="8">
        <v>45692</v>
      </c>
      <c r="C1582" t="s">
        <v>1425</v>
      </c>
      <c r="D1582" t="s">
        <v>702</v>
      </c>
      <c r="E1582" t="s">
        <v>198</v>
      </c>
      <c r="F1582">
        <v>32</v>
      </c>
      <c r="G1582" t="s">
        <v>16</v>
      </c>
      <c r="H1582" t="s">
        <v>15</v>
      </c>
      <c r="I1582" t="s">
        <v>40</v>
      </c>
      <c r="J1582" t="s">
        <v>39</v>
      </c>
      <c r="K1582" t="s">
        <v>22</v>
      </c>
      <c r="L1582">
        <v>1</v>
      </c>
      <c r="M1582" s="12">
        <v>1100</v>
      </c>
      <c r="N1582" s="12">
        <v>715</v>
      </c>
      <c r="O1582">
        <v>4</v>
      </c>
      <c r="P1582" s="12">
        <v>1056</v>
      </c>
      <c r="Q1582" s="12">
        <v>715</v>
      </c>
      <c r="R1582" s="12">
        <v>341</v>
      </c>
      <c r="S1582" t="s">
        <v>1249</v>
      </c>
      <c r="T1582" t="s">
        <v>108</v>
      </c>
      <c r="U1582" t="s">
        <v>1205</v>
      </c>
    </row>
    <row r="1583" spans="1:21" x14ac:dyDescent="0.25">
      <c r="A1583" t="s">
        <v>3556</v>
      </c>
      <c r="B1583" s="8">
        <v>45695</v>
      </c>
      <c r="C1583" t="s">
        <v>3596</v>
      </c>
      <c r="D1583" t="s">
        <v>1000</v>
      </c>
      <c r="E1583" t="s">
        <v>198</v>
      </c>
      <c r="F1583">
        <v>48</v>
      </c>
      <c r="G1583" t="s">
        <v>290</v>
      </c>
      <c r="H1583" t="s">
        <v>3</v>
      </c>
      <c r="I1583" t="s">
        <v>34</v>
      </c>
      <c r="J1583" t="s">
        <v>137</v>
      </c>
      <c r="K1583" t="s">
        <v>22</v>
      </c>
      <c r="L1583">
        <v>2</v>
      </c>
      <c r="M1583" s="12">
        <v>6900</v>
      </c>
      <c r="N1583" s="12">
        <v>5727</v>
      </c>
      <c r="O1583">
        <v>5</v>
      </c>
      <c r="P1583" s="12">
        <v>13110</v>
      </c>
      <c r="Q1583" s="12">
        <v>11454</v>
      </c>
      <c r="R1583" s="12">
        <v>1656</v>
      </c>
      <c r="S1583" t="s">
        <v>1246</v>
      </c>
      <c r="T1583" t="s">
        <v>111</v>
      </c>
      <c r="U1583" t="s">
        <v>1203</v>
      </c>
    </row>
    <row r="1584" spans="1:21" x14ac:dyDescent="0.25">
      <c r="A1584" t="s">
        <v>3557</v>
      </c>
      <c r="B1584" s="8">
        <v>45733</v>
      </c>
      <c r="C1584" t="s">
        <v>1464</v>
      </c>
      <c r="D1584" t="s">
        <v>897</v>
      </c>
      <c r="E1584" t="s">
        <v>218</v>
      </c>
      <c r="F1584">
        <v>55</v>
      </c>
      <c r="G1584" t="s">
        <v>17</v>
      </c>
      <c r="H1584" t="s">
        <v>15</v>
      </c>
      <c r="I1584" t="s">
        <v>32</v>
      </c>
      <c r="J1584" t="s">
        <v>29</v>
      </c>
      <c r="K1584" t="s">
        <v>22</v>
      </c>
      <c r="L1584">
        <v>5</v>
      </c>
      <c r="M1584" s="12">
        <v>9500</v>
      </c>
      <c r="N1584" s="12">
        <v>6650</v>
      </c>
      <c r="O1584">
        <v>3</v>
      </c>
      <c r="P1584" s="12">
        <v>46075</v>
      </c>
      <c r="Q1584" s="12">
        <v>33250</v>
      </c>
      <c r="R1584" s="12">
        <v>12825</v>
      </c>
      <c r="S1584" t="s">
        <v>113</v>
      </c>
      <c r="T1584" t="s">
        <v>110</v>
      </c>
      <c r="U1584" t="s">
        <v>1196</v>
      </c>
    </row>
    <row r="1585" spans="1:21" x14ac:dyDescent="0.25">
      <c r="A1585" t="s">
        <v>3558</v>
      </c>
      <c r="B1585" s="8">
        <v>45881</v>
      </c>
      <c r="C1585" t="s">
        <v>1621</v>
      </c>
      <c r="D1585" t="s">
        <v>1086</v>
      </c>
      <c r="E1585" t="s">
        <v>218</v>
      </c>
      <c r="F1585">
        <v>24</v>
      </c>
      <c r="G1585" t="s">
        <v>2</v>
      </c>
      <c r="H1585" t="s">
        <v>3</v>
      </c>
      <c r="I1585" t="s">
        <v>45</v>
      </c>
      <c r="J1585" t="s">
        <v>46</v>
      </c>
      <c r="K1585" t="s">
        <v>43</v>
      </c>
      <c r="L1585">
        <v>5</v>
      </c>
      <c r="M1585" s="12">
        <v>11999</v>
      </c>
      <c r="N1585" s="12">
        <v>8999.25</v>
      </c>
      <c r="O1585">
        <v>9</v>
      </c>
      <c r="P1585" s="12">
        <v>54595.450000000004</v>
      </c>
      <c r="Q1585" s="12">
        <v>44996.25</v>
      </c>
      <c r="R1585" s="12">
        <v>9599.2000000000044</v>
      </c>
      <c r="S1585" t="s">
        <v>113</v>
      </c>
      <c r="T1585" t="s">
        <v>107</v>
      </c>
      <c r="U1585" t="s">
        <v>1194</v>
      </c>
    </row>
    <row r="1586" spans="1:21" x14ac:dyDescent="0.25">
      <c r="A1586" t="s">
        <v>3559</v>
      </c>
      <c r="B1586" s="8">
        <v>45660</v>
      </c>
      <c r="C1586" t="s">
        <v>3139</v>
      </c>
      <c r="D1586" t="s">
        <v>387</v>
      </c>
      <c r="E1586" t="s">
        <v>198</v>
      </c>
      <c r="F1586">
        <v>30</v>
      </c>
      <c r="G1586" t="s">
        <v>9</v>
      </c>
      <c r="H1586" t="s">
        <v>8</v>
      </c>
      <c r="I1586" t="s">
        <v>45</v>
      </c>
      <c r="J1586" t="s">
        <v>46</v>
      </c>
      <c r="K1586" t="s">
        <v>43</v>
      </c>
      <c r="L1586">
        <v>5</v>
      </c>
      <c r="M1586" s="12">
        <v>11999</v>
      </c>
      <c r="N1586" s="12">
        <v>8999.25</v>
      </c>
      <c r="O1586">
        <v>5</v>
      </c>
      <c r="P1586" s="12">
        <v>56995.25</v>
      </c>
      <c r="Q1586" s="12">
        <v>44996.25</v>
      </c>
      <c r="R1586" s="12">
        <v>11999</v>
      </c>
      <c r="S1586" t="s">
        <v>1246</v>
      </c>
      <c r="T1586" t="s">
        <v>108</v>
      </c>
      <c r="U1586" t="s">
        <v>1198</v>
      </c>
    </row>
    <row r="1587" spans="1:21" x14ac:dyDescent="0.25">
      <c r="A1587" t="s">
        <v>3560</v>
      </c>
      <c r="B1587" s="8">
        <v>45875</v>
      </c>
      <c r="C1587" t="s">
        <v>3201</v>
      </c>
      <c r="D1587" t="s">
        <v>769</v>
      </c>
      <c r="E1587" t="s">
        <v>218</v>
      </c>
      <c r="F1587">
        <v>49</v>
      </c>
      <c r="G1587" t="s">
        <v>10</v>
      </c>
      <c r="H1587" t="s">
        <v>8</v>
      </c>
      <c r="I1587" t="s">
        <v>59</v>
      </c>
      <c r="J1587" t="s">
        <v>73</v>
      </c>
      <c r="K1587" t="s">
        <v>64</v>
      </c>
      <c r="L1587">
        <v>1</v>
      </c>
      <c r="M1587" s="12">
        <v>120</v>
      </c>
      <c r="N1587" s="12">
        <v>81.599999999999994</v>
      </c>
      <c r="O1587">
        <v>4</v>
      </c>
      <c r="P1587" s="12">
        <v>115.19999999999999</v>
      </c>
      <c r="Q1587" s="12">
        <v>81.599999999999994</v>
      </c>
      <c r="R1587" s="12">
        <v>33.599999999999994</v>
      </c>
      <c r="S1587" t="s">
        <v>113</v>
      </c>
      <c r="T1587" t="s">
        <v>108</v>
      </c>
      <c r="U1587" t="s">
        <v>1203</v>
      </c>
    </row>
    <row r="1588" spans="1:21" x14ac:dyDescent="0.25">
      <c r="A1588" t="s">
        <v>3562</v>
      </c>
      <c r="B1588" s="8">
        <v>45967</v>
      </c>
      <c r="C1588" t="s">
        <v>1908</v>
      </c>
      <c r="D1588" t="s">
        <v>799</v>
      </c>
      <c r="E1588" t="s">
        <v>218</v>
      </c>
      <c r="F1588">
        <v>54</v>
      </c>
      <c r="G1588" t="s">
        <v>7</v>
      </c>
      <c r="H1588" t="s">
        <v>8</v>
      </c>
      <c r="I1588" t="s">
        <v>57</v>
      </c>
      <c r="J1588" t="s">
        <v>67</v>
      </c>
      <c r="K1588" t="s">
        <v>64</v>
      </c>
      <c r="L1588">
        <v>4</v>
      </c>
      <c r="M1588" s="12">
        <v>150</v>
      </c>
      <c r="N1588" s="12">
        <v>97.5</v>
      </c>
      <c r="O1588">
        <v>5</v>
      </c>
      <c r="P1588" s="12">
        <v>570</v>
      </c>
      <c r="Q1588" s="12">
        <v>390</v>
      </c>
      <c r="R1588" s="12">
        <v>180</v>
      </c>
      <c r="S1588" t="s">
        <v>1246</v>
      </c>
      <c r="T1588" t="s">
        <v>108</v>
      </c>
      <c r="U1588" t="s">
        <v>1211</v>
      </c>
    </row>
    <row r="1589" spans="1:21" x14ac:dyDescent="0.25">
      <c r="A1589" t="s">
        <v>3563</v>
      </c>
      <c r="B1589" s="8">
        <v>45983</v>
      </c>
      <c r="C1589" t="s">
        <v>2804</v>
      </c>
      <c r="D1589" t="s">
        <v>1070</v>
      </c>
      <c r="E1589" t="s">
        <v>198</v>
      </c>
      <c r="F1589">
        <v>34</v>
      </c>
      <c r="G1589" t="s">
        <v>5</v>
      </c>
      <c r="H1589" t="s">
        <v>3</v>
      </c>
      <c r="I1589" t="s">
        <v>30</v>
      </c>
      <c r="J1589" t="s">
        <v>41</v>
      </c>
      <c r="K1589" t="s">
        <v>22</v>
      </c>
      <c r="L1589">
        <v>4</v>
      </c>
      <c r="M1589" s="12">
        <v>13749</v>
      </c>
      <c r="N1589" s="12">
        <v>10999.2</v>
      </c>
      <c r="O1589">
        <v>14</v>
      </c>
      <c r="P1589" s="12">
        <v>47296.56</v>
      </c>
      <c r="Q1589" s="12">
        <v>43996.800000000003</v>
      </c>
      <c r="R1589" s="12">
        <v>3299.7599999999948</v>
      </c>
      <c r="S1589" t="s">
        <v>113</v>
      </c>
      <c r="T1589" t="s">
        <v>110</v>
      </c>
      <c r="U1589" t="s">
        <v>1203</v>
      </c>
    </row>
    <row r="1590" spans="1:21" x14ac:dyDescent="0.25">
      <c r="A1590" t="s">
        <v>3564</v>
      </c>
      <c r="B1590" s="8">
        <v>45795</v>
      </c>
      <c r="C1590" t="s">
        <v>1694</v>
      </c>
      <c r="D1590" t="s">
        <v>1069</v>
      </c>
      <c r="E1590" t="s">
        <v>218</v>
      </c>
      <c r="F1590">
        <v>40</v>
      </c>
      <c r="G1590" t="s">
        <v>5</v>
      </c>
      <c r="H1590" t="s">
        <v>3</v>
      </c>
      <c r="I1590" t="s">
        <v>26</v>
      </c>
      <c r="J1590" t="s">
        <v>27</v>
      </c>
      <c r="K1590" t="s">
        <v>22</v>
      </c>
      <c r="L1590">
        <v>2</v>
      </c>
      <c r="M1590" s="12">
        <v>27499</v>
      </c>
      <c r="N1590" s="12">
        <v>23374.149999999998</v>
      </c>
      <c r="O1590">
        <v>9</v>
      </c>
      <c r="P1590" s="12">
        <v>50048.18</v>
      </c>
      <c r="Q1590" s="12">
        <v>46748.299999999996</v>
      </c>
      <c r="R1590" s="12">
        <v>3299.8800000000047</v>
      </c>
      <c r="S1590" t="s">
        <v>1249</v>
      </c>
      <c r="T1590" t="s">
        <v>108</v>
      </c>
      <c r="U1590" t="s">
        <v>1194</v>
      </c>
    </row>
    <row r="1591" spans="1:21" x14ac:dyDescent="0.25">
      <c r="A1591" t="s">
        <v>3565</v>
      </c>
      <c r="B1591" s="8">
        <v>45782</v>
      </c>
      <c r="C1591" t="s">
        <v>2859</v>
      </c>
      <c r="D1591" t="s">
        <v>758</v>
      </c>
      <c r="E1591" t="s">
        <v>218</v>
      </c>
      <c r="F1591">
        <v>36</v>
      </c>
      <c r="G1591" t="s">
        <v>17</v>
      </c>
      <c r="H1591" t="s">
        <v>15</v>
      </c>
      <c r="I1591" t="s">
        <v>59</v>
      </c>
      <c r="J1591" t="s">
        <v>73</v>
      </c>
      <c r="K1591" t="s">
        <v>64</v>
      </c>
      <c r="L1591">
        <v>5</v>
      </c>
      <c r="M1591" s="12">
        <v>120</v>
      </c>
      <c r="N1591" s="12">
        <v>81.599999999999994</v>
      </c>
      <c r="O1591">
        <v>11</v>
      </c>
      <c r="P1591" s="12">
        <v>534</v>
      </c>
      <c r="Q1591" s="12">
        <v>408</v>
      </c>
      <c r="R1591" s="12">
        <v>126</v>
      </c>
      <c r="S1591" t="s">
        <v>113</v>
      </c>
      <c r="T1591" t="s">
        <v>109</v>
      </c>
      <c r="U1591" t="s">
        <v>1196</v>
      </c>
    </row>
    <row r="1592" spans="1:21" x14ac:dyDescent="0.25">
      <c r="A1592" t="s">
        <v>3566</v>
      </c>
      <c r="B1592" s="8">
        <v>45770</v>
      </c>
      <c r="C1592" t="s">
        <v>3224</v>
      </c>
      <c r="D1592" t="s">
        <v>1190</v>
      </c>
      <c r="E1592" t="s">
        <v>218</v>
      </c>
      <c r="F1592">
        <v>64</v>
      </c>
      <c r="G1592" t="s">
        <v>290</v>
      </c>
      <c r="H1592" t="s">
        <v>3</v>
      </c>
      <c r="I1592" t="s">
        <v>40</v>
      </c>
      <c r="J1592" t="s">
        <v>39</v>
      </c>
      <c r="K1592" t="s">
        <v>22</v>
      </c>
      <c r="L1592">
        <v>5</v>
      </c>
      <c r="M1592" s="12">
        <v>1100</v>
      </c>
      <c r="N1592" s="12">
        <v>715</v>
      </c>
      <c r="O1592">
        <v>8</v>
      </c>
      <c r="P1592" s="12">
        <v>5060</v>
      </c>
      <c r="Q1592" s="12">
        <v>3575</v>
      </c>
      <c r="R1592" s="12">
        <v>1485</v>
      </c>
      <c r="S1592" t="s">
        <v>1246</v>
      </c>
      <c r="T1592" t="s">
        <v>109</v>
      </c>
      <c r="U1592" t="s">
        <v>1207</v>
      </c>
    </row>
    <row r="1593" spans="1:21" x14ac:dyDescent="0.25">
      <c r="A1593" t="s">
        <v>3567</v>
      </c>
      <c r="B1593" s="8">
        <v>46000</v>
      </c>
      <c r="C1593" t="s">
        <v>2206</v>
      </c>
      <c r="D1593" t="s">
        <v>846</v>
      </c>
      <c r="E1593" t="s">
        <v>218</v>
      </c>
      <c r="F1593">
        <v>52</v>
      </c>
      <c r="G1593" t="s">
        <v>14</v>
      </c>
      <c r="H1593" t="s">
        <v>15</v>
      </c>
      <c r="I1593" t="s">
        <v>53</v>
      </c>
      <c r="J1593" t="s">
        <v>48</v>
      </c>
      <c r="K1593" t="s">
        <v>43</v>
      </c>
      <c r="L1593">
        <v>1</v>
      </c>
      <c r="M1593" s="12">
        <v>6499</v>
      </c>
      <c r="N1593" s="12">
        <v>4549.2999999999993</v>
      </c>
      <c r="O1593">
        <v>13</v>
      </c>
      <c r="P1593" s="12">
        <v>5654.13</v>
      </c>
      <c r="Q1593" s="12">
        <v>4549.2999999999993</v>
      </c>
      <c r="R1593" s="12">
        <v>1104.8300000000008</v>
      </c>
      <c r="S1593" t="s">
        <v>1246</v>
      </c>
      <c r="T1593" t="s">
        <v>107</v>
      </c>
      <c r="U1593" t="s">
        <v>1205</v>
      </c>
    </row>
    <row r="1594" spans="1:21" x14ac:dyDescent="0.25">
      <c r="A1594" t="s">
        <v>3568</v>
      </c>
      <c r="B1594" s="8">
        <v>45711</v>
      </c>
      <c r="C1594" t="s">
        <v>2597</v>
      </c>
      <c r="D1594" t="s">
        <v>435</v>
      </c>
      <c r="E1594" t="s">
        <v>198</v>
      </c>
      <c r="F1594">
        <v>33</v>
      </c>
      <c r="G1594" t="s">
        <v>290</v>
      </c>
      <c r="H1594" t="s">
        <v>3</v>
      </c>
      <c r="I1594" t="s">
        <v>34</v>
      </c>
      <c r="J1594" t="s">
        <v>137</v>
      </c>
      <c r="K1594" t="s">
        <v>22</v>
      </c>
      <c r="L1594">
        <v>5</v>
      </c>
      <c r="M1594" s="12">
        <v>6900</v>
      </c>
      <c r="N1594" s="12">
        <v>5727</v>
      </c>
      <c r="O1594">
        <v>4</v>
      </c>
      <c r="P1594" s="12">
        <v>33120</v>
      </c>
      <c r="Q1594" s="12">
        <v>28635</v>
      </c>
      <c r="R1594" s="12">
        <v>4485</v>
      </c>
      <c r="S1594" t="s">
        <v>1246</v>
      </c>
      <c r="T1594" t="s">
        <v>107</v>
      </c>
      <c r="U1594" t="s">
        <v>1203</v>
      </c>
    </row>
    <row r="1595" spans="1:21" x14ac:dyDescent="0.25">
      <c r="A1595" t="s">
        <v>3569</v>
      </c>
      <c r="B1595" s="8">
        <v>45772</v>
      </c>
      <c r="C1595" t="s">
        <v>2031</v>
      </c>
      <c r="D1595" t="s">
        <v>363</v>
      </c>
      <c r="E1595" t="s">
        <v>218</v>
      </c>
      <c r="F1595">
        <v>33</v>
      </c>
      <c r="G1595" t="s">
        <v>5</v>
      </c>
      <c r="H1595" t="s">
        <v>3</v>
      </c>
      <c r="I1595" t="s">
        <v>32</v>
      </c>
      <c r="J1595" t="s">
        <v>29</v>
      </c>
      <c r="K1595" t="s">
        <v>22</v>
      </c>
      <c r="L1595">
        <v>1</v>
      </c>
      <c r="M1595" s="12">
        <v>9500</v>
      </c>
      <c r="N1595" s="12">
        <v>6650</v>
      </c>
      <c r="O1595">
        <v>8</v>
      </c>
      <c r="P1595" s="12">
        <v>8740</v>
      </c>
      <c r="Q1595" s="12">
        <v>6650</v>
      </c>
      <c r="R1595" s="12">
        <v>2090</v>
      </c>
      <c r="S1595" t="s">
        <v>1249</v>
      </c>
      <c r="T1595" t="s">
        <v>108</v>
      </c>
      <c r="U1595" t="s">
        <v>1209</v>
      </c>
    </row>
    <row r="1596" spans="1:21" x14ac:dyDescent="0.25">
      <c r="A1596" t="s">
        <v>3570</v>
      </c>
      <c r="B1596" s="8">
        <v>45709</v>
      </c>
      <c r="C1596" t="s">
        <v>1291</v>
      </c>
      <c r="D1596" t="s">
        <v>904</v>
      </c>
      <c r="E1596" t="s">
        <v>198</v>
      </c>
      <c r="F1596">
        <v>22</v>
      </c>
      <c r="G1596" t="s">
        <v>2</v>
      </c>
      <c r="H1596" t="s">
        <v>3</v>
      </c>
      <c r="I1596" t="s">
        <v>28</v>
      </c>
      <c r="J1596" t="s">
        <v>35</v>
      </c>
      <c r="K1596" t="s">
        <v>22</v>
      </c>
      <c r="L1596">
        <v>4</v>
      </c>
      <c r="M1596" s="12">
        <v>16499</v>
      </c>
      <c r="N1596" s="12">
        <v>14519.12</v>
      </c>
      <c r="O1596">
        <v>3</v>
      </c>
      <c r="P1596" s="12">
        <v>64016.119999999995</v>
      </c>
      <c r="Q1596" s="12">
        <v>58076.480000000003</v>
      </c>
      <c r="R1596" s="12">
        <v>5939.6399999999921</v>
      </c>
      <c r="S1596" t="s">
        <v>1246</v>
      </c>
      <c r="T1596" t="s">
        <v>107</v>
      </c>
      <c r="U1596" t="s">
        <v>1201</v>
      </c>
    </row>
    <row r="1597" spans="1:21" x14ac:dyDescent="0.25">
      <c r="A1597" t="s">
        <v>3571</v>
      </c>
      <c r="B1597" s="8">
        <v>45922</v>
      </c>
      <c r="C1597" t="s">
        <v>2216</v>
      </c>
      <c r="D1597" t="s">
        <v>876</v>
      </c>
      <c r="E1597" t="s">
        <v>198</v>
      </c>
      <c r="F1597">
        <v>61</v>
      </c>
      <c r="G1597" t="s">
        <v>2</v>
      </c>
      <c r="H1597" t="s">
        <v>3</v>
      </c>
      <c r="I1597" t="s">
        <v>63</v>
      </c>
      <c r="J1597" t="s">
        <v>77</v>
      </c>
      <c r="K1597" t="s">
        <v>64</v>
      </c>
      <c r="L1597">
        <v>5</v>
      </c>
      <c r="M1597" s="12">
        <v>650</v>
      </c>
      <c r="N1597" s="12">
        <v>468</v>
      </c>
      <c r="O1597">
        <v>5</v>
      </c>
      <c r="P1597" s="12">
        <v>3087.5</v>
      </c>
      <c r="Q1597" s="12">
        <v>2340</v>
      </c>
      <c r="R1597" s="12">
        <v>747.5</v>
      </c>
      <c r="S1597" t="s">
        <v>113</v>
      </c>
      <c r="T1597" t="s">
        <v>107</v>
      </c>
      <c r="U1597" t="s">
        <v>1196</v>
      </c>
    </row>
    <row r="1598" spans="1:21" x14ac:dyDescent="0.25">
      <c r="A1598" t="s">
        <v>3572</v>
      </c>
      <c r="B1598" s="8">
        <v>45837</v>
      </c>
      <c r="C1598" t="s">
        <v>1372</v>
      </c>
      <c r="D1598" t="s">
        <v>1181</v>
      </c>
      <c r="E1598" t="s">
        <v>218</v>
      </c>
      <c r="F1598">
        <v>29</v>
      </c>
      <c r="G1598" t="s">
        <v>4</v>
      </c>
      <c r="H1598" t="s">
        <v>3</v>
      </c>
      <c r="I1598" t="s">
        <v>38</v>
      </c>
      <c r="J1598" t="s">
        <v>37</v>
      </c>
      <c r="K1598" t="s">
        <v>22</v>
      </c>
      <c r="L1598">
        <v>3</v>
      </c>
      <c r="M1598" s="12">
        <v>1650</v>
      </c>
      <c r="N1598" s="12">
        <v>990</v>
      </c>
      <c r="O1598">
        <v>7</v>
      </c>
      <c r="P1598" s="12">
        <v>4603.5</v>
      </c>
      <c r="Q1598" s="12">
        <v>2970</v>
      </c>
      <c r="R1598" s="12">
        <v>1633.5</v>
      </c>
      <c r="S1598" t="s">
        <v>1246</v>
      </c>
      <c r="T1598" t="s">
        <v>108</v>
      </c>
      <c r="U1598" t="s">
        <v>1199</v>
      </c>
    </row>
    <row r="1599" spans="1:21" x14ac:dyDescent="0.25">
      <c r="A1599" t="s">
        <v>3574</v>
      </c>
      <c r="B1599" s="8">
        <v>45988</v>
      </c>
      <c r="C1599" t="s">
        <v>2300</v>
      </c>
      <c r="D1599" t="s">
        <v>940</v>
      </c>
      <c r="E1599" t="s">
        <v>198</v>
      </c>
      <c r="F1599">
        <v>55</v>
      </c>
      <c r="G1599" t="s">
        <v>9</v>
      </c>
      <c r="H1599" t="s">
        <v>8</v>
      </c>
      <c r="I1599" t="s">
        <v>34</v>
      </c>
      <c r="J1599" t="s">
        <v>137</v>
      </c>
      <c r="K1599" t="s">
        <v>22</v>
      </c>
      <c r="L1599">
        <v>5</v>
      </c>
      <c r="M1599" s="12">
        <v>6900</v>
      </c>
      <c r="N1599" s="12">
        <v>5727</v>
      </c>
      <c r="O1599">
        <v>17</v>
      </c>
      <c r="P1599" s="12">
        <v>28635</v>
      </c>
      <c r="Q1599" s="12">
        <v>28635</v>
      </c>
      <c r="R1599" s="12">
        <v>0</v>
      </c>
      <c r="S1599" t="s">
        <v>1246</v>
      </c>
      <c r="T1599" t="s">
        <v>110</v>
      </c>
      <c r="U1599" t="s">
        <v>1209</v>
      </c>
    </row>
    <row r="1600" spans="1:21" x14ac:dyDescent="0.25">
      <c r="A1600" t="s">
        <v>3575</v>
      </c>
      <c r="B1600" s="8">
        <v>45853</v>
      </c>
      <c r="C1600" t="s">
        <v>3687</v>
      </c>
      <c r="D1600" t="s">
        <v>443</v>
      </c>
      <c r="E1600" t="s">
        <v>218</v>
      </c>
      <c r="F1600">
        <v>57</v>
      </c>
      <c r="G1600" t="s">
        <v>9</v>
      </c>
      <c r="H1600" t="s">
        <v>8</v>
      </c>
      <c r="I1600" t="s">
        <v>26</v>
      </c>
      <c r="J1600" t="s">
        <v>27</v>
      </c>
      <c r="K1600" t="s">
        <v>22</v>
      </c>
      <c r="L1600">
        <v>5</v>
      </c>
      <c r="M1600" s="12">
        <v>27499</v>
      </c>
      <c r="N1600" s="12">
        <v>23374.149999999998</v>
      </c>
      <c r="O1600">
        <v>3</v>
      </c>
      <c r="P1600" s="12">
        <v>133370.15</v>
      </c>
      <c r="Q1600" s="12">
        <v>116870.74999999999</v>
      </c>
      <c r="R1600" s="12">
        <v>16499.400000000009</v>
      </c>
      <c r="S1600" t="s">
        <v>113</v>
      </c>
      <c r="T1600" t="s">
        <v>109</v>
      </c>
      <c r="U1600" t="s">
        <v>1196</v>
      </c>
    </row>
    <row r="1601" spans="1:21" x14ac:dyDescent="0.25">
      <c r="A1601" t="s">
        <v>3576</v>
      </c>
      <c r="B1601" s="8">
        <v>45955</v>
      </c>
      <c r="C1601" t="s">
        <v>1966</v>
      </c>
      <c r="D1601" t="s">
        <v>408</v>
      </c>
      <c r="E1601" t="s">
        <v>198</v>
      </c>
      <c r="F1601">
        <v>42</v>
      </c>
      <c r="G1601" t="s">
        <v>16</v>
      </c>
      <c r="H1601" t="s">
        <v>15</v>
      </c>
      <c r="I1601" t="s">
        <v>38</v>
      </c>
      <c r="J1601" t="s">
        <v>37</v>
      </c>
      <c r="K1601" t="s">
        <v>22</v>
      </c>
      <c r="L1601">
        <v>5</v>
      </c>
      <c r="M1601" s="12">
        <v>1650</v>
      </c>
      <c r="N1601" s="12">
        <v>990</v>
      </c>
      <c r="O1601">
        <v>5</v>
      </c>
      <c r="P1601" s="12">
        <v>7837.5</v>
      </c>
      <c r="Q1601" s="12">
        <v>4950</v>
      </c>
      <c r="R1601" s="12">
        <v>2887.5</v>
      </c>
      <c r="S1601" t="s">
        <v>113</v>
      </c>
      <c r="T1601" t="s">
        <v>108</v>
      </c>
      <c r="U1601" t="s">
        <v>1194</v>
      </c>
    </row>
    <row r="1602" spans="1:21" x14ac:dyDescent="0.25">
      <c r="A1602" t="s">
        <v>3577</v>
      </c>
      <c r="B1602" s="8">
        <v>45839</v>
      </c>
      <c r="C1602" t="s">
        <v>2768</v>
      </c>
      <c r="D1602" t="s">
        <v>670</v>
      </c>
      <c r="E1602" t="s">
        <v>218</v>
      </c>
      <c r="F1602">
        <v>45</v>
      </c>
      <c r="G1602" t="s">
        <v>4</v>
      </c>
      <c r="H1602" t="s">
        <v>3</v>
      </c>
      <c r="I1602" t="s">
        <v>42</v>
      </c>
      <c r="J1602" t="s">
        <v>44</v>
      </c>
      <c r="K1602" t="s">
        <v>43</v>
      </c>
      <c r="L1602">
        <v>5</v>
      </c>
      <c r="M1602" s="12">
        <v>8999</v>
      </c>
      <c r="N1602" s="12">
        <v>6479.28</v>
      </c>
      <c r="O1602">
        <v>7</v>
      </c>
      <c r="P1602" s="12">
        <v>41845.35</v>
      </c>
      <c r="Q1602" s="12">
        <v>32396.399999999998</v>
      </c>
      <c r="R1602" s="12">
        <v>9448.9500000000007</v>
      </c>
      <c r="S1602" t="s">
        <v>1246</v>
      </c>
      <c r="T1602" t="s">
        <v>107</v>
      </c>
      <c r="U1602" t="s">
        <v>1199</v>
      </c>
    </row>
    <row r="1603" spans="1:21" x14ac:dyDescent="0.25">
      <c r="A1603" t="s">
        <v>3578</v>
      </c>
      <c r="B1603" s="8">
        <v>45737</v>
      </c>
      <c r="C1603" t="s">
        <v>1452</v>
      </c>
      <c r="D1603" t="s">
        <v>661</v>
      </c>
      <c r="E1603" t="s">
        <v>198</v>
      </c>
      <c r="F1603">
        <v>56</v>
      </c>
      <c r="G1603" t="s">
        <v>5</v>
      </c>
      <c r="H1603" t="s">
        <v>3</v>
      </c>
      <c r="I1603" t="s">
        <v>40</v>
      </c>
      <c r="J1603" t="s">
        <v>39</v>
      </c>
      <c r="K1603" t="s">
        <v>22</v>
      </c>
      <c r="L1603">
        <v>3</v>
      </c>
      <c r="M1603" s="12">
        <v>1100</v>
      </c>
      <c r="N1603" s="12">
        <v>715</v>
      </c>
      <c r="O1603">
        <v>4</v>
      </c>
      <c r="P1603" s="12">
        <v>3168</v>
      </c>
      <c r="Q1603" s="12">
        <v>2145</v>
      </c>
      <c r="R1603" s="12">
        <v>1023</v>
      </c>
      <c r="S1603" t="s">
        <v>113</v>
      </c>
      <c r="T1603" t="s">
        <v>107</v>
      </c>
      <c r="U1603" t="s">
        <v>1211</v>
      </c>
    </row>
    <row r="1604" spans="1:21" x14ac:dyDescent="0.25">
      <c r="A1604" t="s">
        <v>3579</v>
      </c>
      <c r="B1604" s="8">
        <v>45675</v>
      </c>
      <c r="C1604" t="s">
        <v>1722</v>
      </c>
      <c r="D1604" t="s">
        <v>373</v>
      </c>
      <c r="E1604" t="s">
        <v>198</v>
      </c>
      <c r="F1604">
        <v>32</v>
      </c>
      <c r="G1604" t="s">
        <v>9</v>
      </c>
      <c r="H1604" t="s">
        <v>8</v>
      </c>
      <c r="I1604" t="s">
        <v>49</v>
      </c>
      <c r="J1604" t="s">
        <v>56</v>
      </c>
      <c r="K1604" t="s">
        <v>43</v>
      </c>
      <c r="L1604">
        <v>4</v>
      </c>
      <c r="M1604" s="12">
        <v>31999</v>
      </c>
      <c r="N1604" s="12">
        <v>25599.200000000001</v>
      </c>
      <c r="O1604">
        <v>2</v>
      </c>
      <c r="P1604" s="12">
        <v>125436.08</v>
      </c>
      <c r="Q1604" s="12">
        <v>102396.8</v>
      </c>
      <c r="R1604" s="12">
        <v>23039.279999999999</v>
      </c>
      <c r="S1604" t="s">
        <v>1246</v>
      </c>
      <c r="T1604" t="s">
        <v>111</v>
      </c>
      <c r="U1604" t="s">
        <v>1207</v>
      </c>
    </row>
    <row r="1605" spans="1:21" x14ac:dyDescent="0.25">
      <c r="A1605" t="s">
        <v>3581</v>
      </c>
      <c r="B1605" s="8">
        <v>45900</v>
      </c>
      <c r="C1605" t="s">
        <v>2034</v>
      </c>
      <c r="D1605" t="s">
        <v>446</v>
      </c>
      <c r="E1605" t="s">
        <v>218</v>
      </c>
      <c r="F1605">
        <v>32</v>
      </c>
      <c r="G1605" t="s">
        <v>14</v>
      </c>
      <c r="H1605" t="s">
        <v>15</v>
      </c>
      <c r="I1605" t="s">
        <v>38</v>
      </c>
      <c r="J1605" t="s">
        <v>37</v>
      </c>
      <c r="K1605" t="s">
        <v>22</v>
      </c>
      <c r="L1605">
        <v>4</v>
      </c>
      <c r="M1605" s="12">
        <v>1650</v>
      </c>
      <c r="N1605" s="12">
        <v>990</v>
      </c>
      <c r="O1605">
        <v>8</v>
      </c>
      <c r="P1605" s="12">
        <v>6072</v>
      </c>
      <c r="Q1605" s="12">
        <v>3960</v>
      </c>
      <c r="R1605" s="12">
        <v>2112</v>
      </c>
      <c r="S1605" t="s">
        <v>1246</v>
      </c>
      <c r="T1605" t="s">
        <v>107</v>
      </c>
      <c r="U1605" t="s">
        <v>1201</v>
      </c>
    </row>
    <row r="1606" spans="1:21" x14ac:dyDescent="0.25">
      <c r="A1606" t="s">
        <v>3582</v>
      </c>
      <c r="B1606" s="8">
        <v>45995</v>
      </c>
      <c r="C1606" t="s">
        <v>1479</v>
      </c>
      <c r="D1606" t="s">
        <v>1085</v>
      </c>
      <c r="E1606" t="s">
        <v>218</v>
      </c>
      <c r="F1606">
        <v>49</v>
      </c>
      <c r="G1606" t="s">
        <v>14</v>
      </c>
      <c r="H1606" t="s">
        <v>15</v>
      </c>
      <c r="I1606" t="s">
        <v>51</v>
      </c>
      <c r="J1606" t="s">
        <v>54</v>
      </c>
      <c r="K1606" t="s">
        <v>43</v>
      </c>
      <c r="L1606">
        <v>5</v>
      </c>
      <c r="M1606" s="12">
        <v>27499</v>
      </c>
      <c r="N1606" s="12">
        <v>21724.210000000003</v>
      </c>
      <c r="O1606">
        <v>18</v>
      </c>
      <c r="P1606" s="12">
        <v>112745.90000000001</v>
      </c>
      <c r="Q1606" s="12">
        <v>108621.05000000002</v>
      </c>
      <c r="R1606" s="12">
        <v>4124.8499999999913</v>
      </c>
      <c r="S1606" t="s">
        <v>113</v>
      </c>
      <c r="T1606" t="s">
        <v>107</v>
      </c>
      <c r="U1606" t="s">
        <v>1194</v>
      </c>
    </row>
    <row r="1607" spans="1:21" x14ac:dyDescent="0.25">
      <c r="A1607" t="s">
        <v>3583</v>
      </c>
      <c r="B1607" s="8">
        <v>45664</v>
      </c>
      <c r="C1607" t="s">
        <v>1705</v>
      </c>
      <c r="D1607" t="s">
        <v>517</v>
      </c>
      <c r="E1607" t="s">
        <v>218</v>
      </c>
      <c r="F1607">
        <v>43</v>
      </c>
      <c r="G1607" t="s">
        <v>16</v>
      </c>
      <c r="H1607" t="s">
        <v>15</v>
      </c>
      <c r="I1607" t="s">
        <v>30</v>
      </c>
      <c r="J1607" t="s">
        <v>41</v>
      </c>
      <c r="K1607" t="s">
        <v>22</v>
      </c>
      <c r="L1607">
        <v>4</v>
      </c>
      <c r="M1607" s="12">
        <v>13749</v>
      </c>
      <c r="N1607" s="12">
        <v>10999.2</v>
      </c>
      <c r="O1607">
        <v>6</v>
      </c>
      <c r="P1607" s="12">
        <v>51696.24</v>
      </c>
      <c r="Q1607" s="12">
        <v>43996.800000000003</v>
      </c>
      <c r="R1607" s="12">
        <v>7699.4399999999951</v>
      </c>
      <c r="S1607" t="s">
        <v>113</v>
      </c>
      <c r="T1607" t="s">
        <v>109</v>
      </c>
      <c r="U1607" t="s">
        <v>1205</v>
      </c>
    </row>
    <row r="1608" spans="1:21" x14ac:dyDescent="0.25">
      <c r="A1608" t="s">
        <v>3584</v>
      </c>
      <c r="B1608" s="8">
        <v>45931</v>
      </c>
      <c r="C1608" t="s">
        <v>2600</v>
      </c>
      <c r="D1608" t="s">
        <v>452</v>
      </c>
      <c r="E1608" t="s">
        <v>198</v>
      </c>
      <c r="F1608">
        <v>32</v>
      </c>
      <c r="G1608" t="s">
        <v>7</v>
      </c>
      <c r="H1608" t="s">
        <v>8</v>
      </c>
      <c r="I1608" t="s">
        <v>26</v>
      </c>
      <c r="J1608" t="s">
        <v>27</v>
      </c>
      <c r="K1608" t="s">
        <v>22</v>
      </c>
      <c r="L1608">
        <v>1</v>
      </c>
      <c r="M1608" s="12">
        <v>27499</v>
      </c>
      <c r="N1608" s="12">
        <v>23374.149999999998</v>
      </c>
      <c r="O1608">
        <v>4</v>
      </c>
      <c r="P1608" s="12">
        <v>26399.039999999997</v>
      </c>
      <c r="Q1608" s="12">
        <v>23374.149999999998</v>
      </c>
      <c r="R1608" s="12">
        <v>3024.8899999999994</v>
      </c>
      <c r="S1608" t="s">
        <v>113</v>
      </c>
      <c r="T1608" t="s">
        <v>108</v>
      </c>
      <c r="U1608" t="s">
        <v>1211</v>
      </c>
    </row>
    <row r="1609" spans="1:21" x14ac:dyDescent="0.25">
      <c r="A1609" t="s">
        <v>3585</v>
      </c>
      <c r="B1609" s="8">
        <v>45989</v>
      </c>
      <c r="C1609" t="s">
        <v>1768</v>
      </c>
      <c r="D1609" t="s">
        <v>388</v>
      </c>
      <c r="E1609" t="s">
        <v>198</v>
      </c>
      <c r="F1609">
        <v>23</v>
      </c>
      <c r="G1609" t="s">
        <v>10</v>
      </c>
      <c r="H1609" t="s">
        <v>8</v>
      </c>
      <c r="I1609" t="s">
        <v>42</v>
      </c>
      <c r="J1609" t="s">
        <v>44</v>
      </c>
      <c r="K1609" t="s">
        <v>43</v>
      </c>
      <c r="L1609">
        <v>5</v>
      </c>
      <c r="M1609" s="12">
        <v>8999</v>
      </c>
      <c r="N1609" s="12">
        <v>6479.28</v>
      </c>
      <c r="O1609">
        <v>14</v>
      </c>
      <c r="P1609" s="12">
        <v>38695.699999999997</v>
      </c>
      <c r="Q1609" s="12">
        <v>32396.399999999998</v>
      </c>
      <c r="R1609" s="12">
        <v>6299.2999999999993</v>
      </c>
      <c r="S1609" t="s">
        <v>1249</v>
      </c>
      <c r="T1609" t="s">
        <v>107</v>
      </c>
      <c r="U1609" t="s">
        <v>1198</v>
      </c>
    </row>
    <row r="1610" spans="1:21" x14ac:dyDescent="0.25">
      <c r="A1610" t="s">
        <v>3586</v>
      </c>
      <c r="B1610" s="8">
        <v>45764</v>
      </c>
      <c r="C1610" t="s">
        <v>2902</v>
      </c>
      <c r="D1610" t="s">
        <v>377</v>
      </c>
      <c r="E1610" t="s">
        <v>218</v>
      </c>
      <c r="F1610">
        <v>27</v>
      </c>
      <c r="G1610" t="s">
        <v>14</v>
      </c>
      <c r="H1610" t="s">
        <v>15</v>
      </c>
      <c r="I1610" t="s">
        <v>47</v>
      </c>
      <c r="J1610" t="s">
        <v>52</v>
      </c>
      <c r="K1610" t="s">
        <v>43</v>
      </c>
      <c r="L1610">
        <v>4</v>
      </c>
      <c r="M1610" s="12">
        <v>42999</v>
      </c>
      <c r="N1610" s="12">
        <v>33539.22</v>
      </c>
      <c r="O1610">
        <v>5</v>
      </c>
      <c r="P1610" s="12">
        <v>163396.19999999998</v>
      </c>
      <c r="Q1610" s="12">
        <v>134156.88</v>
      </c>
      <c r="R1610" s="12">
        <v>29239.319999999978</v>
      </c>
      <c r="S1610" t="s">
        <v>113</v>
      </c>
      <c r="T1610" t="s">
        <v>111</v>
      </c>
      <c r="U1610" t="s">
        <v>1201</v>
      </c>
    </row>
    <row r="1611" spans="1:21" x14ac:dyDescent="0.25">
      <c r="A1611" t="s">
        <v>3587</v>
      </c>
      <c r="B1611" s="8">
        <v>45728</v>
      </c>
      <c r="C1611" t="s">
        <v>1515</v>
      </c>
      <c r="D1611" t="s">
        <v>422</v>
      </c>
      <c r="E1611" t="s">
        <v>218</v>
      </c>
      <c r="F1611">
        <v>48</v>
      </c>
      <c r="G1611" t="s">
        <v>9</v>
      </c>
      <c r="H1611" t="s">
        <v>8</v>
      </c>
      <c r="I1611" t="s">
        <v>45</v>
      </c>
      <c r="J1611" t="s">
        <v>46</v>
      </c>
      <c r="K1611" t="s">
        <v>43</v>
      </c>
      <c r="L1611">
        <v>2</v>
      </c>
      <c r="M1611" s="12">
        <v>11999</v>
      </c>
      <c r="N1611" s="12">
        <v>8999.25</v>
      </c>
      <c r="O1611">
        <v>7</v>
      </c>
      <c r="P1611" s="12">
        <v>22318.14</v>
      </c>
      <c r="Q1611" s="12">
        <v>17998.5</v>
      </c>
      <c r="R1611" s="12">
        <v>4319.6399999999994</v>
      </c>
      <c r="S1611" t="s">
        <v>113</v>
      </c>
      <c r="T1611" t="s">
        <v>107</v>
      </c>
      <c r="U1611" t="s">
        <v>1198</v>
      </c>
    </row>
    <row r="1612" spans="1:21" x14ac:dyDescent="0.25">
      <c r="A1612" t="s">
        <v>3588</v>
      </c>
      <c r="B1612" s="8">
        <v>45848</v>
      </c>
      <c r="C1612" t="s">
        <v>4197</v>
      </c>
      <c r="D1612" t="s">
        <v>1007</v>
      </c>
      <c r="E1612" t="s">
        <v>198</v>
      </c>
      <c r="F1612">
        <v>20</v>
      </c>
      <c r="G1612" t="s">
        <v>10</v>
      </c>
      <c r="H1612" t="s">
        <v>8</v>
      </c>
      <c r="I1612" t="s">
        <v>36</v>
      </c>
      <c r="J1612" t="s">
        <v>136</v>
      </c>
      <c r="K1612" t="s">
        <v>22</v>
      </c>
      <c r="L1612">
        <v>2</v>
      </c>
      <c r="M1612" s="12">
        <v>3590</v>
      </c>
      <c r="N1612" s="12">
        <v>2333.5</v>
      </c>
      <c r="O1612">
        <v>7</v>
      </c>
      <c r="P1612" s="12">
        <v>6677.4</v>
      </c>
      <c r="Q1612" s="12">
        <v>4667</v>
      </c>
      <c r="R1612" s="12">
        <v>2010.3999999999996</v>
      </c>
      <c r="S1612" t="s">
        <v>1249</v>
      </c>
      <c r="T1612" t="s">
        <v>109</v>
      </c>
      <c r="U1612" t="s">
        <v>1196</v>
      </c>
    </row>
    <row r="1613" spans="1:21" x14ac:dyDescent="0.25">
      <c r="A1613" t="s">
        <v>3589</v>
      </c>
      <c r="B1613" s="8">
        <v>45969</v>
      </c>
      <c r="C1613" t="s">
        <v>1727</v>
      </c>
      <c r="D1613" t="s">
        <v>485</v>
      </c>
      <c r="E1613" t="s">
        <v>198</v>
      </c>
      <c r="F1613">
        <v>41</v>
      </c>
      <c r="G1613" t="s">
        <v>9</v>
      </c>
      <c r="H1613" t="s">
        <v>8</v>
      </c>
      <c r="I1613" t="s">
        <v>51</v>
      </c>
      <c r="J1613" t="s">
        <v>54</v>
      </c>
      <c r="K1613" t="s">
        <v>43</v>
      </c>
      <c r="L1613">
        <v>3</v>
      </c>
      <c r="M1613" s="12">
        <v>27499</v>
      </c>
      <c r="N1613" s="12">
        <v>21724.210000000003</v>
      </c>
      <c r="O1613">
        <v>19</v>
      </c>
      <c r="P1613" s="12">
        <v>66822.570000000007</v>
      </c>
      <c r="Q1613" s="12">
        <v>65172.630000000005</v>
      </c>
      <c r="R1613" s="12">
        <v>1649.9400000000023</v>
      </c>
      <c r="S1613" t="s">
        <v>1246</v>
      </c>
      <c r="T1613" t="s">
        <v>107</v>
      </c>
      <c r="U1613" t="s">
        <v>1205</v>
      </c>
    </row>
    <row r="1614" spans="1:21" x14ac:dyDescent="0.25">
      <c r="A1614" t="s">
        <v>3590</v>
      </c>
      <c r="B1614" s="8">
        <v>45867</v>
      </c>
      <c r="C1614" t="s">
        <v>1903</v>
      </c>
      <c r="D1614" t="s">
        <v>1167</v>
      </c>
      <c r="E1614" t="s">
        <v>198</v>
      </c>
      <c r="F1614">
        <v>21</v>
      </c>
      <c r="G1614" t="s">
        <v>17</v>
      </c>
      <c r="H1614" t="s">
        <v>15</v>
      </c>
      <c r="I1614" t="s">
        <v>21</v>
      </c>
      <c r="J1614" t="s">
        <v>23</v>
      </c>
      <c r="K1614" t="s">
        <v>22</v>
      </c>
      <c r="L1614">
        <v>1</v>
      </c>
      <c r="M1614" s="12">
        <v>54999</v>
      </c>
      <c r="N1614" s="12">
        <v>45099.18</v>
      </c>
      <c r="O1614">
        <v>5</v>
      </c>
      <c r="P1614" s="12">
        <v>52249.049999999996</v>
      </c>
      <c r="Q1614" s="12">
        <v>45099.18</v>
      </c>
      <c r="R1614" s="12">
        <v>7149.8699999999953</v>
      </c>
      <c r="S1614" t="s">
        <v>1249</v>
      </c>
      <c r="T1614" t="s">
        <v>109</v>
      </c>
      <c r="U1614" t="s">
        <v>1205</v>
      </c>
    </row>
    <row r="1615" spans="1:21" x14ac:dyDescent="0.25">
      <c r="A1615" t="s">
        <v>3591</v>
      </c>
      <c r="B1615" s="8">
        <v>45910</v>
      </c>
      <c r="C1615" t="s">
        <v>3685</v>
      </c>
      <c r="D1615" t="s">
        <v>692</v>
      </c>
      <c r="E1615" t="s">
        <v>218</v>
      </c>
      <c r="F1615">
        <v>53</v>
      </c>
      <c r="G1615" t="s">
        <v>2</v>
      </c>
      <c r="H1615" t="s">
        <v>3</v>
      </c>
      <c r="I1615" t="s">
        <v>49</v>
      </c>
      <c r="J1615" t="s">
        <v>56</v>
      </c>
      <c r="K1615" t="s">
        <v>43</v>
      </c>
      <c r="L1615">
        <v>4</v>
      </c>
      <c r="M1615" s="12">
        <v>31999</v>
      </c>
      <c r="N1615" s="12">
        <v>25599.200000000001</v>
      </c>
      <c r="O1615">
        <v>5</v>
      </c>
      <c r="P1615" s="12">
        <v>121596.2</v>
      </c>
      <c r="Q1615" s="12">
        <v>102396.8</v>
      </c>
      <c r="R1615" s="12">
        <v>19199.399999999994</v>
      </c>
      <c r="S1615" t="s">
        <v>1246</v>
      </c>
      <c r="T1615" t="s">
        <v>108</v>
      </c>
      <c r="U1615" t="s">
        <v>1199</v>
      </c>
    </row>
    <row r="1616" spans="1:21" x14ac:dyDescent="0.25">
      <c r="A1616" t="s">
        <v>3592</v>
      </c>
      <c r="B1616" s="8">
        <v>45965</v>
      </c>
      <c r="C1616" t="s">
        <v>1850</v>
      </c>
      <c r="D1616" t="s">
        <v>918</v>
      </c>
      <c r="E1616" t="s">
        <v>218</v>
      </c>
      <c r="F1616">
        <v>44</v>
      </c>
      <c r="G1616" t="s">
        <v>9</v>
      </c>
      <c r="H1616" t="s">
        <v>8</v>
      </c>
      <c r="I1616" t="s">
        <v>59</v>
      </c>
      <c r="J1616" t="s">
        <v>73</v>
      </c>
      <c r="K1616" t="s">
        <v>64</v>
      </c>
      <c r="L1616">
        <v>4</v>
      </c>
      <c r="M1616" s="12">
        <v>120</v>
      </c>
      <c r="N1616" s="12">
        <v>81.599999999999994</v>
      </c>
      <c r="O1616">
        <v>8</v>
      </c>
      <c r="P1616" s="12">
        <v>441.6</v>
      </c>
      <c r="Q1616" s="12">
        <v>326.39999999999998</v>
      </c>
      <c r="R1616" s="12">
        <v>115.20000000000005</v>
      </c>
      <c r="S1616" t="s">
        <v>1246</v>
      </c>
      <c r="T1616" t="s">
        <v>107</v>
      </c>
      <c r="U1616" t="s">
        <v>1207</v>
      </c>
    </row>
    <row r="1617" spans="1:21" x14ac:dyDescent="0.25">
      <c r="A1617" t="s">
        <v>3593</v>
      </c>
      <c r="B1617" s="8">
        <v>45940</v>
      </c>
      <c r="C1617" t="s">
        <v>1753</v>
      </c>
      <c r="D1617" t="s">
        <v>962</v>
      </c>
      <c r="E1617" t="s">
        <v>218</v>
      </c>
      <c r="F1617">
        <v>50</v>
      </c>
      <c r="G1617" t="s">
        <v>11</v>
      </c>
      <c r="H1617" t="s">
        <v>12</v>
      </c>
      <c r="I1617" t="s">
        <v>36</v>
      </c>
      <c r="J1617" t="s">
        <v>136</v>
      </c>
      <c r="K1617" t="s">
        <v>22</v>
      </c>
      <c r="L1617">
        <v>5</v>
      </c>
      <c r="M1617" s="12">
        <v>3590</v>
      </c>
      <c r="N1617" s="12">
        <v>2333.5</v>
      </c>
      <c r="O1617">
        <v>3</v>
      </c>
      <c r="P1617" s="12">
        <v>17411.5</v>
      </c>
      <c r="Q1617" s="12">
        <v>11667.5</v>
      </c>
      <c r="R1617" s="12">
        <v>5744</v>
      </c>
      <c r="S1617" t="s">
        <v>1246</v>
      </c>
      <c r="T1617" t="s">
        <v>107</v>
      </c>
      <c r="U1617" t="s">
        <v>1194</v>
      </c>
    </row>
    <row r="1618" spans="1:21" x14ac:dyDescent="0.25">
      <c r="A1618" t="s">
        <v>3594</v>
      </c>
      <c r="B1618" s="8">
        <v>45968</v>
      </c>
      <c r="C1618" t="s">
        <v>1776</v>
      </c>
      <c r="D1618" t="s">
        <v>550</v>
      </c>
      <c r="E1618" t="s">
        <v>198</v>
      </c>
      <c r="F1618">
        <v>40</v>
      </c>
      <c r="G1618" t="s">
        <v>7</v>
      </c>
      <c r="H1618" t="s">
        <v>8</v>
      </c>
      <c r="I1618" t="s">
        <v>24</v>
      </c>
      <c r="J1618" t="s">
        <v>25</v>
      </c>
      <c r="K1618" t="s">
        <v>22</v>
      </c>
      <c r="L1618">
        <v>2</v>
      </c>
      <c r="M1618" s="12">
        <v>35800</v>
      </c>
      <c r="N1618" s="12">
        <v>28640</v>
      </c>
      <c r="O1618">
        <v>14</v>
      </c>
      <c r="P1618" s="12">
        <v>61576</v>
      </c>
      <c r="Q1618" s="12">
        <v>57280</v>
      </c>
      <c r="R1618" s="12">
        <v>4296</v>
      </c>
      <c r="S1618" t="s">
        <v>1246</v>
      </c>
      <c r="T1618" t="s">
        <v>107</v>
      </c>
      <c r="U1618" t="s">
        <v>1203</v>
      </c>
    </row>
    <row r="1619" spans="1:21" x14ac:dyDescent="0.25">
      <c r="A1619" t="s">
        <v>3595</v>
      </c>
      <c r="B1619" s="8">
        <v>46006</v>
      </c>
      <c r="C1619" t="s">
        <v>1848</v>
      </c>
      <c r="D1619" t="s">
        <v>589</v>
      </c>
      <c r="E1619" t="s">
        <v>198</v>
      </c>
      <c r="F1619">
        <v>51</v>
      </c>
      <c r="G1619" t="s">
        <v>290</v>
      </c>
      <c r="H1619" t="s">
        <v>3</v>
      </c>
      <c r="I1619" t="s">
        <v>40</v>
      </c>
      <c r="J1619" t="s">
        <v>39</v>
      </c>
      <c r="K1619" t="s">
        <v>22</v>
      </c>
      <c r="L1619">
        <v>4</v>
      </c>
      <c r="M1619" s="12">
        <v>1100</v>
      </c>
      <c r="N1619" s="12">
        <v>715</v>
      </c>
      <c r="O1619">
        <v>11</v>
      </c>
      <c r="P1619" s="12">
        <v>3916</v>
      </c>
      <c r="Q1619" s="12">
        <v>2860</v>
      </c>
      <c r="R1619" s="12">
        <v>1056</v>
      </c>
      <c r="S1619" t="s">
        <v>1246</v>
      </c>
      <c r="T1619" t="s">
        <v>107</v>
      </c>
      <c r="U1619" t="s">
        <v>1194</v>
      </c>
    </row>
    <row r="1620" spans="1:21" x14ac:dyDescent="0.25">
      <c r="A1620" t="s">
        <v>3597</v>
      </c>
      <c r="B1620" s="8">
        <v>45675</v>
      </c>
      <c r="C1620" t="s">
        <v>2113</v>
      </c>
      <c r="D1620" t="s">
        <v>790</v>
      </c>
      <c r="E1620" t="s">
        <v>198</v>
      </c>
      <c r="F1620">
        <v>58</v>
      </c>
      <c r="G1620" t="s">
        <v>2</v>
      </c>
      <c r="H1620" t="s">
        <v>3</v>
      </c>
      <c r="I1620" t="s">
        <v>49</v>
      </c>
      <c r="J1620" t="s">
        <v>56</v>
      </c>
      <c r="K1620" t="s">
        <v>43</v>
      </c>
      <c r="L1620">
        <v>2</v>
      </c>
      <c r="M1620" s="12">
        <v>31999</v>
      </c>
      <c r="N1620" s="12">
        <v>25599.200000000001</v>
      </c>
      <c r="O1620">
        <v>4</v>
      </c>
      <c r="P1620" s="12">
        <v>61438.079999999994</v>
      </c>
      <c r="Q1620" s="12">
        <v>51198.400000000001</v>
      </c>
      <c r="R1620" s="12">
        <v>10239.679999999993</v>
      </c>
      <c r="S1620" t="s">
        <v>113</v>
      </c>
      <c r="T1620" t="s">
        <v>107</v>
      </c>
      <c r="U1620" t="s">
        <v>1211</v>
      </c>
    </row>
    <row r="1621" spans="1:21" x14ac:dyDescent="0.25">
      <c r="A1621" t="s">
        <v>3598</v>
      </c>
      <c r="B1621" s="8">
        <v>45699</v>
      </c>
      <c r="C1621" t="s">
        <v>1661</v>
      </c>
      <c r="D1621" t="s">
        <v>1149</v>
      </c>
      <c r="E1621" t="s">
        <v>198</v>
      </c>
      <c r="F1621">
        <v>28</v>
      </c>
      <c r="G1621" t="s">
        <v>2</v>
      </c>
      <c r="H1621" t="s">
        <v>3</v>
      </c>
      <c r="I1621" t="s">
        <v>53</v>
      </c>
      <c r="J1621" t="s">
        <v>48</v>
      </c>
      <c r="K1621" t="s">
        <v>43</v>
      </c>
      <c r="L1621">
        <v>3</v>
      </c>
      <c r="M1621" s="12">
        <v>6499</v>
      </c>
      <c r="N1621" s="12">
        <v>4549.2999999999993</v>
      </c>
      <c r="O1621">
        <v>8</v>
      </c>
      <c r="P1621" s="12">
        <v>17937.240000000002</v>
      </c>
      <c r="Q1621" s="12">
        <v>13647.899999999998</v>
      </c>
      <c r="R1621" s="12">
        <v>4289.3400000000038</v>
      </c>
      <c r="S1621" t="s">
        <v>1246</v>
      </c>
      <c r="T1621" t="s">
        <v>108</v>
      </c>
      <c r="U1621" t="s">
        <v>1194</v>
      </c>
    </row>
    <row r="1622" spans="1:21" x14ac:dyDescent="0.25">
      <c r="A1622" t="s">
        <v>3599</v>
      </c>
      <c r="B1622" s="8">
        <v>45879</v>
      </c>
      <c r="C1622" t="s">
        <v>2268</v>
      </c>
      <c r="D1622" t="s">
        <v>892</v>
      </c>
      <c r="E1622" t="s">
        <v>218</v>
      </c>
      <c r="F1622">
        <v>35</v>
      </c>
      <c r="G1622" t="s">
        <v>9</v>
      </c>
      <c r="H1622" t="s">
        <v>8</v>
      </c>
      <c r="I1622" t="s">
        <v>38</v>
      </c>
      <c r="J1622" t="s">
        <v>37</v>
      </c>
      <c r="K1622" t="s">
        <v>22</v>
      </c>
      <c r="L1622">
        <v>2</v>
      </c>
      <c r="M1622" s="12">
        <v>1650</v>
      </c>
      <c r="N1622" s="12">
        <v>990</v>
      </c>
      <c r="O1622">
        <v>6</v>
      </c>
      <c r="P1622" s="12">
        <v>3102</v>
      </c>
      <c r="Q1622" s="12">
        <v>1980</v>
      </c>
      <c r="R1622" s="12">
        <v>1122</v>
      </c>
      <c r="S1622" t="s">
        <v>1246</v>
      </c>
      <c r="T1622" t="s">
        <v>108</v>
      </c>
      <c r="U1622" t="s">
        <v>1209</v>
      </c>
    </row>
    <row r="1623" spans="1:21" x14ac:dyDescent="0.25">
      <c r="A1623" t="s">
        <v>3600</v>
      </c>
      <c r="B1623" s="8">
        <v>45680</v>
      </c>
      <c r="C1623" t="s">
        <v>1287</v>
      </c>
      <c r="D1623" t="s">
        <v>394</v>
      </c>
      <c r="E1623" t="s">
        <v>218</v>
      </c>
      <c r="F1623">
        <v>59</v>
      </c>
      <c r="G1623" t="s">
        <v>10</v>
      </c>
      <c r="H1623" t="s">
        <v>8</v>
      </c>
      <c r="I1623" t="s">
        <v>55</v>
      </c>
      <c r="J1623" t="s">
        <v>65</v>
      </c>
      <c r="K1623" t="s">
        <v>64</v>
      </c>
      <c r="L1623">
        <v>4</v>
      </c>
      <c r="M1623" s="12">
        <v>80</v>
      </c>
      <c r="N1623" s="12">
        <v>56</v>
      </c>
      <c r="O1623">
        <v>8</v>
      </c>
      <c r="P1623" s="12">
        <v>294.40000000000003</v>
      </c>
      <c r="Q1623" s="12">
        <v>224</v>
      </c>
      <c r="R1623" s="12">
        <v>70.400000000000034</v>
      </c>
      <c r="S1623" t="s">
        <v>113</v>
      </c>
      <c r="T1623" t="s">
        <v>107</v>
      </c>
      <c r="U1623" t="s">
        <v>1201</v>
      </c>
    </row>
    <row r="1624" spans="1:21" x14ac:dyDescent="0.25">
      <c r="A1624" t="s">
        <v>3601</v>
      </c>
      <c r="B1624" s="8">
        <v>45956</v>
      </c>
      <c r="C1624" t="s">
        <v>2279</v>
      </c>
      <c r="D1624" t="s">
        <v>1150</v>
      </c>
      <c r="E1624" t="s">
        <v>218</v>
      </c>
      <c r="F1624">
        <v>26</v>
      </c>
      <c r="G1624" t="s">
        <v>11</v>
      </c>
      <c r="H1624" t="s">
        <v>12</v>
      </c>
      <c r="I1624" t="s">
        <v>61</v>
      </c>
      <c r="J1624" t="s">
        <v>146</v>
      </c>
      <c r="K1624" t="s">
        <v>64</v>
      </c>
      <c r="L1624">
        <v>1</v>
      </c>
      <c r="M1624" s="12">
        <v>250</v>
      </c>
      <c r="N1624" s="12">
        <v>155</v>
      </c>
      <c r="O1624">
        <v>4</v>
      </c>
      <c r="P1624" s="12">
        <v>240</v>
      </c>
      <c r="Q1624" s="12">
        <v>155</v>
      </c>
      <c r="R1624" s="12">
        <v>85</v>
      </c>
      <c r="S1624" t="s">
        <v>1246</v>
      </c>
      <c r="T1624" t="s">
        <v>109</v>
      </c>
      <c r="U1624" t="s">
        <v>1207</v>
      </c>
    </row>
    <row r="1625" spans="1:21" x14ac:dyDescent="0.25">
      <c r="A1625" t="s">
        <v>3602</v>
      </c>
      <c r="B1625" s="8">
        <v>45745</v>
      </c>
      <c r="C1625" t="s">
        <v>2467</v>
      </c>
      <c r="D1625" t="s">
        <v>654</v>
      </c>
      <c r="E1625" t="s">
        <v>198</v>
      </c>
      <c r="F1625">
        <v>30</v>
      </c>
      <c r="G1625" t="s">
        <v>5</v>
      </c>
      <c r="H1625" t="s">
        <v>3</v>
      </c>
      <c r="I1625" t="s">
        <v>21</v>
      </c>
      <c r="J1625" t="s">
        <v>23</v>
      </c>
      <c r="K1625" t="s">
        <v>22</v>
      </c>
      <c r="L1625">
        <v>4</v>
      </c>
      <c r="M1625" s="12">
        <v>54999</v>
      </c>
      <c r="N1625" s="12">
        <v>45099.18</v>
      </c>
      <c r="O1625">
        <v>5</v>
      </c>
      <c r="P1625" s="12">
        <v>208996.19999999998</v>
      </c>
      <c r="Q1625" s="12">
        <v>180396.72</v>
      </c>
      <c r="R1625" s="12">
        <v>28599.479999999981</v>
      </c>
      <c r="S1625" t="s">
        <v>1246</v>
      </c>
      <c r="T1625" t="s">
        <v>109</v>
      </c>
      <c r="U1625" t="s">
        <v>1196</v>
      </c>
    </row>
    <row r="1626" spans="1:21" x14ac:dyDescent="0.25">
      <c r="A1626" t="s">
        <v>3603</v>
      </c>
      <c r="B1626" s="8">
        <v>45896</v>
      </c>
      <c r="C1626" t="s">
        <v>1366</v>
      </c>
      <c r="D1626" t="s">
        <v>381</v>
      </c>
      <c r="E1626" t="s">
        <v>218</v>
      </c>
      <c r="F1626">
        <v>55</v>
      </c>
      <c r="G1626" t="s">
        <v>2</v>
      </c>
      <c r="H1626" t="s">
        <v>3</v>
      </c>
      <c r="I1626" t="s">
        <v>32</v>
      </c>
      <c r="J1626" t="s">
        <v>29</v>
      </c>
      <c r="K1626" t="s">
        <v>22</v>
      </c>
      <c r="L1626">
        <v>1</v>
      </c>
      <c r="M1626" s="12">
        <v>9500</v>
      </c>
      <c r="N1626" s="12">
        <v>6650</v>
      </c>
      <c r="O1626">
        <v>8</v>
      </c>
      <c r="P1626" s="12">
        <v>8740</v>
      </c>
      <c r="Q1626" s="12">
        <v>6650</v>
      </c>
      <c r="R1626" s="12">
        <v>2090</v>
      </c>
      <c r="S1626" t="s">
        <v>113</v>
      </c>
      <c r="T1626" t="s">
        <v>107</v>
      </c>
      <c r="U1626" t="s">
        <v>1205</v>
      </c>
    </row>
    <row r="1627" spans="1:21" x14ac:dyDescent="0.25">
      <c r="A1627" t="s">
        <v>3604</v>
      </c>
      <c r="B1627" s="8">
        <v>45833</v>
      </c>
      <c r="C1627" t="s">
        <v>1642</v>
      </c>
      <c r="D1627" t="s">
        <v>1129</v>
      </c>
      <c r="E1627" t="s">
        <v>198</v>
      </c>
      <c r="F1627">
        <v>47</v>
      </c>
      <c r="G1627" t="s">
        <v>11</v>
      </c>
      <c r="H1627" t="s">
        <v>12</v>
      </c>
      <c r="I1627" t="s">
        <v>63</v>
      </c>
      <c r="J1627" t="s">
        <v>77</v>
      </c>
      <c r="K1627" t="s">
        <v>64</v>
      </c>
      <c r="L1627">
        <v>1</v>
      </c>
      <c r="M1627" s="12">
        <v>650</v>
      </c>
      <c r="N1627" s="12">
        <v>468</v>
      </c>
      <c r="O1627">
        <v>11</v>
      </c>
      <c r="P1627" s="12">
        <v>578.5</v>
      </c>
      <c r="Q1627" s="12">
        <v>468</v>
      </c>
      <c r="R1627" s="12">
        <v>110.5</v>
      </c>
      <c r="S1627" t="s">
        <v>1249</v>
      </c>
      <c r="T1627" t="s">
        <v>111</v>
      </c>
      <c r="U1627" t="s">
        <v>1203</v>
      </c>
    </row>
    <row r="1628" spans="1:21" x14ac:dyDescent="0.25">
      <c r="A1628" t="s">
        <v>3605</v>
      </c>
      <c r="B1628" s="8">
        <v>45672</v>
      </c>
      <c r="C1628" t="s">
        <v>2509</v>
      </c>
      <c r="D1628" t="s">
        <v>832</v>
      </c>
      <c r="E1628" t="s">
        <v>218</v>
      </c>
      <c r="F1628">
        <v>55</v>
      </c>
      <c r="G1628" t="s">
        <v>10</v>
      </c>
      <c r="H1628" t="s">
        <v>8</v>
      </c>
      <c r="I1628" t="s">
        <v>28</v>
      </c>
      <c r="J1628" t="s">
        <v>35</v>
      </c>
      <c r="K1628" t="s">
        <v>22</v>
      </c>
      <c r="L1628">
        <v>1</v>
      </c>
      <c r="M1628" s="12">
        <v>16499</v>
      </c>
      <c r="N1628" s="12">
        <v>14519.12</v>
      </c>
      <c r="O1628">
        <v>6</v>
      </c>
      <c r="P1628" s="12">
        <v>15509.06</v>
      </c>
      <c r="Q1628" s="12">
        <v>14519.12</v>
      </c>
      <c r="R1628" s="12">
        <v>989.93999999999869</v>
      </c>
      <c r="S1628" t="s">
        <v>1246</v>
      </c>
      <c r="T1628" t="s">
        <v>107</v>
      </c>
      <c r="U1628" t="s">
        <v>1203</v>
      </c>
    </row>
    <row r="1629" spans="1:21" x14ac:dyDescent="0.25">
      <c r="A1629" t="s">
        <v>3607</v>
      </c>
      <c r="B1629" s="8">
        <v>45737</v>
      </c>
      <c r="C1629" t="s">
        <v>1862</v>
      </c>
      <c r="D1629" t="s">
        <v>1157</v>
      </c>
      <c r="E1629" t="s">
        <v>218</v>
      </c>
      <c r="F1629">
        <v>47</v>
      </c>
      <c r="G1629" t="s">
        <v>2</v>
      </c>
      <c r="H1629" t="s">
        <v>3</v>
      </c>
      <c r="I1629" t="s">
        <v>47</v>
      </c>
      <c r="J1629" t="s">
        <v>52</v>
      </c>
      <c r="K1629" t="s">
        <v>43</v>
      </c>
      <c r="L1629">
        <v>1</v>
      </c>
      <c r="M1629" s="12">
        <v>42999</v>
      </c>
      <c r="N1629" s="12">
        <v>33539.22</v>
      </c>
      <c r="O1629">
        <v>6</v>
      </c>
      <c r="P1629" s="12">
        <v>40419.06</v>
      </c>
      <c r="Q1629" s="12">
        <v>33539.22</v>
      </c>
      <c r="R1629" s="12">
        <v>6879.8399999999965</v>
      </c>
      <c r="S1629" t="s">
        <v>1246</v>
      </c>
      <c r="T1629" t="s">
        <v>109</v>
      </c>
      <c r="U1629" t="s">
        <v>1194</v>
      </c>
    </row>
    <row r="1630" spans="1:21" x14ac:dyDescent="0.25">
      <c r="A1630" t="s">
        <v>3608</v>
      </c>
      <c r="B1630" s="8">
        <v>45889</v>
      </c>
      <c r="C1630" t="s">
        <v>2729</v>
      </c>
      <c r="D1630" t="s">
        <v>1037</v>
      </c>
      <c r="E1630" t="s">
        <v>218</v>
      </c>
      <c r="F1630">
        <v>62</v>
      </c>
      <c r="G1630" t="s">
        <v>10</v>
      </c>
      <c r="H1630" t="s">
        <v>8</v>
      </c>
      <c r="I1630" t="s">
        <v>40</v>
      </c>
      <c r="J1630" t="s">
        <v>39</v>
      </c>
      <c r="K1630" t="s">
        <v>22</v>
      </c>
      <c r="L1630">
        <v>3</v>
      </c>
      <c r="M1630" s="12">
        <v>1100</v>
      </c>
      <c r="N1630" s="12">
        <v>715</v>
      </c>
      <c r="O1630">
        <v>4</v>
      </c>
      <c r="P1630" s="12">
        <v>3168</v>
      </c>
      <c r="Q1630" s="12">
        <v>2145</v>
      </c>
      <c r="R1630" s="12">
        <v>1023</v>
      </c>
      <c r="S1630" t="s">
        <v>113</v>
      </c>
      <c r="T1630" t="s">
        <v>107</v>
      </c>
      <c r="U1630" t="s">
        <v>1203</v>
      </c>
    </row>
    <row r="1631" spans="1:21" x14ac:dyDescent="0.25">
      <c r="A1631" t="s">
        <v>3609</v>
      </c>
      <c r="B1631" s="8">
        <v>45663</v>
      </c>
      <c r="C1631" t="s">
        <v>1299</v>
      </c>
      <c r="D1631" t="s">
        <v>762</v>
      </c>
      <c r="E1631" t="s">
        <v>218</v>
      </c>
      <c r="F1631">
        <v>39</v>
      </c>
      <c r="G1631" t="s">
        <v>4</v>
      </c>
      <c r="H1631" t="s">
        <v>3</v>
      </c>
      <c r="I1631" t="s">
        <v>28</v>
      </c>
      <c r="J1631" t="s">
        <v>35</v>
      </c>
      <c r="K1631" t="s">
        <v>22</v>
      </c>
      <c r="L1631">
        <v>3</v>
      </c>
      <c r="M1631" s="12">
        <v>16499</v>
      </c>
      <c r="N1631" s="12">
        <v>14519.12</v>
      </c>
      <c r="O1631">
        <v>5</v>
      </c>
      <c r="P1631" s="12">
        <v>47022.149999999994</v>
      </c>
      <c r="Q1631" s="12">
        <v>43557.36</v>
      </c>
      <c r="R1631" s="12">
        <v>3464.7899999999936</v>
      </c>
      <c r="S1631" t="s">
        <v>1246</v>
      </c>
      <c r="T1631" t="s">
        <v>108</v>
      </c>
      <c r="U1631" t="s">
        <v>1207</v>
      </c>
    </row>
    <row r="1632" spans="1:21" x14ac:dyDescent="0.25">
      <c r="A1632" t="s">
        <v>3610</v>
      </c>
      <c r="B1632" s="8">
        <v>45854</v>
      </c>
      <c r="C1632" t="s">
        <v>2926</v>
      </c>
      <c r="D1632" t="s">
        <v>929</v>
      </c>
      <c r="E1632" t="s">
        <v>218</v>
      </c>
      <c r="F1632">
        <v>44</v>
      </c>
      <c r="G1632" t="s">
        <v>16</v>
      </c>
      <c r="H1632" t="s">
        <v>15</v>
      </c>
      <c r="I1632" t="s">
        <v>59</v>
      </c>
      <c r="J1632" t="s">
        <v>73</v>
      </c>
      <c r="K1632" t="s">
        <v>64</v>
      </c>
      <c r="L1632">
        <v>5</v>
      </c>
      <c r="M1632" s="12">
        <v>120</v>
      </c>
      <c r="N1632" s="12">
        <v>81.599999999999994</v>
      </c>
      <c r="O1632">
        <v>4</v>
      </c>
      <c r="P1632" s="12">
        <v>576</v>
      </c>
      <c r="Q1632" s="12">
        <v>408</v>
      </c>
      <c r="R1632" s="12">
        <v>168</v>
      </c>
      <c r="S1632" t="s">
        <v>1246</v>
      </c>
      <c r="T1632" t="s">
        <v>109</v>
      </c>
      <c r="U1632" t="s">
        <v>1211</v>
      </c>
    </row>
    <row r="1633" spans="1:21" x14ac:dyDescent="0.25">
      <c r="A1633" t="s">
        <v>3611</v>
      </c>
      <c r="B1633" s="8">
        <v>45680</v>
      </c>
      <c r="C1633" t="s">
        <v>3312</v>
      </c>
      <c r="D1633" t="s">
        <v>1131</v>
      </c>
      <c r="E1633" t="s">
        <v>218</v>
      </c>
      <c r="F1633">
        <v>52</v>
      </c>
      <c r="G1633" t="s">
        <v>289</v>
      </c>
      <c r="H1633" t="s">
        <v>3</v>
      </c>
      <c r="I1633" t="s">
        <v>30</v>
      </c>
      <c r="J1633" t="s">
        <v>41</v>
      </c>
      <c r="K1633" t="s">
        <v>22</v>
      </c>
      <c r="L1633">
        <v>1</v>
      </c>
      <c r="M1633" s="12">
        <v>13749</v>
      </c>
      <c r="N1633" s="12">
        <v>10999.2</v>
      </c>
      <c r="O1633">
        <v>9</v>
      </c>
      <c r="P1633" s="12">
        <v>12511.59</v>
      </c>
      <c r="Q1633" s="12">
        <v>10999.2</v>
      </c>
      <c r="R1633" s="12">
        <v>1512.3899999999994</v>
      </c>
      <c r="S1633" t="s">
        <v>1246</v>
      </c>
      <c r="T1633" t="s">
        <v>109</v>
      </c>
      <c r="U1633" t="s">
        <v>1199</v>
      </c>
    </row>
    <row r="1634" spans="1:21" x14ac:dyDescent="0.25">
      <c r="A1634" t="s">
        <v>3613</v>
      </c>
      <c r="B1634" s="8">
        <v>45736</v>
      </c>
      <c r="C1634" t="s">
        <v>2317</v>
      </c>
      <c r="D1634" t="s">
        <v>786</v>
      </c>
      <c r="E1634" t="s">
        <v>218</v>
      </c>
      <c r="F1634">
        <v>49</v>
      </c>
      <c r="G1634" t="s">
        <v>9</v>
      </c>
      <c r="H1634" t="s">
        <v>8</v>
      </c>
      <c r="I1634" t="s">
        <v>32</v>
      </c>
      <c r="J1634" t="s">
        <v>29</v>
      </c>
      <c r="K1634" t="s">
        <v>22</v>
      </c>
      <c r="L1634">
        <v>5</v>
      </c>
      <c r="M1634" s="12">
        <v>9500</v>
      </c>
      <c r="N1634" s="12">
        <v>6650</v>
      </c>
      <c r="O1634">
        <v>5</v>
      </c>
      <c r="P1634" s="12">
        <v>45125</v>
      </c>
      <c r="Q1634" s="12">
        <v>33250</v>
      </c>
      <c r="R1634" s="12">
        <v>11875</v>
      </c>
      <c r="S1634" t="s">
        <v>1246</v>
      </c>
      <c r="T1634" t="s">
        <v>111</v>
      </c>
      <c r="U1634" t="s">
        <v>1198</v>
      </c>
    </row>
    <row r="1635" spans="1:21" x14ac:dyDescent="0.25">
      <c r="A1635" t="s">
        <v>3614</v>
      </c>
      <c r="B1635" s="8">
        <v>45880</v>
      </c>
      <c r="C1635" t="s">
        <v>2607</v>
      </c>
      <c r="D1635" t="s">
        <v>1074</v>
      </c>
      <c r="E1635" t="s">
        <v>218</v>
      </c>
      <c r="F1635">
        <v>58</v>
      </c>
      <c r="G1635" t="s">
        <v>9</v>
      </c>
      <c r="H1635" t="s">
        <v>8</v>
      </c>
      <c r="I1635" t="s">
        <v>38</v>
      </c>
      <c r="J1635" t="s">
        <v>37</v>
      </c>
      <c r="K1635" t="s">
        <v>22</v>
      </c>
      <c r="L1635">
        <v>3</v>
      </c>
      <c r="M1635" s="12">
        <v>1650</v>
      </c>
      <c r="N1635" s="12">
        <v>990</v>
      </c>
      <c r="O1635">
        <v>7</v>
      </c>
      <c r="P1635" s="12">
        <v>4603.5</v>
      </c>
      <c r="Q1635" s="12">
        <v>2970</v>
      </c>
      <c r="R1635" s="12">
        <v>1633.5</v>
      </c>
      <c r="S1635" t="s">
        <v>113</v>
      </c>
      <c r="T1635" t="s">
        <v>107</v>
      </c>
      <c r="U1635" t="s">
        <v>1201</v>
      </c>
    </row>
    <row r="1636" spans="1:21" x14ac:dyDescent="0.25">
      <c r="A1636" t="s">
        <v>3615</v>
      </c>
      <c r="B1636" s="8">
        <v>45726</v>
      </c>
      <c r="C1636" t="s">
        <v>4601</v>
      </c>
      <c r="D1636" t="s">
        <v>1147</v>
      </c>
      <c r="E1636" t="s">
        <v>218</v>
      </c>
      <c r="F1636">
        <v>39</v>
      </c>
      <c r="G1636" t="s">
        <v>9</v>
      </c>
      <c r="H1636" t="s">
        <v>8</v>
      </c>
      <c r="I1636" t="s">
        <v>47</v>
      </c>
      <c r="J1636" t="s">
        <v>52</v>
      </c>
      <c r="K1636" t="s">
        <v>43</v>
      </c>
      <c r="L1636">
        <v>5</v>
      </c>
      <c r="M1636" s="12">
        <v>42999</v>
      </c>
      <c r="N1636" s="12">
        <v>33539.22</v>
      </c>
      <c r="O1636">
        <v>9</v>
      </c>
      <c r="P1636" s="12">
        <v>195645.45</v>
      </c>
      <c r="Q1636" s="12">
        <v>167696.1</v>
      </c>
      <c r="R1636" s="12">
        <v>27949.350000000006</v>
      </c>
      <c r="S1636" t="s">
        <v>113</v>
      </c>
      <c r="T1636" t="s">
        <v>108</v>
      </c>
      <c r="U1636" t="s">
        <v>1203</v>
      </c>
    </row>
    <row r="1637" spans="1:21" x14ac:dyDescent="0.25">
      <c r="A1637" t="s">
        <v>3616</v>
      </c>
      <c r="B1637" s="8">
        <v>45831</v>
      </c>
      <c r="C1637" t="s">
        <v>1699</v>
      </c>
      <c r="D1637" t="s">
        <v>608</v>
      </c>
      <c r="E1637" t="s">
        <v>198</v>
      </c>
      <c r="F1637">
        <v>37</v>
      </c>
      <c r="G1637" t="s">
        <v>2</v>
      </c>
      <c r="H1637" t="s">
        <v>3</v>
      </c>
      <c r="I1637" t="s">
        <v>40</v>
      </c>
      <c r="J1637" t="s">
        <v>39</v>
      </c>
      <c r="K1637" t="s">
        <v>22</v>
      </c>
      <c r="L1637">
        <v>2</v>
      </c>
      <c r="M1637" s="12">
        <v>1100</v>
      </c>
      <c r="N1637" s="12">
        <v>715</v>
      </c>
      <c r="O1637">
        <v>8</v>
      </c>
      <c r="P1637" s="12">
        <v>2024</v>
      </c>
      <c r="Q1637" s="12">
        <v>1430</v>
      </c>
      <c r="R1637" s="12">
        <v>594</v>
      </c>
      <c r="S1637" t="s">
        <v>1249</v>
      </c>
      <c r="T1637" t="s">
        <v>109</v>
      </c>
      <c r="U1637" t="s">
        <v>1211</v>
      </c>
    </row>
    <row r="1638" spans="1:21" x14ac:dyDescent="0.25">
      <c r="A1638" t="s">
        <v>3617</v>
      </c>
      <c r="B1638" s="8">
        <v>46001</v>
      </c>
      <c r="C1638" t="s">
        <v>3804</v>
      </c>
      <c r="D1638" t="s">
        <v>807</v>
      </c>
      <c r="E1638" t="s">
        <v>218</v>
      </c>
      <c r="F1638">
        <v>19</v>
      </c>
      <c r="G1638" t="s">
        <v>16</v>
      </c>
      <c r="H1638" t="s">
        <v>15</v>
      </c>
      <c r="I1638" t="s">
        <v>59</v>
      </c>
      <c r="J1638" t="s">
        <v>73</v>
      </c>
      <c r="K1638" t="s">
        <v>64</v>
      </c>
      <c r="L1638">
        <v>4</v>
      </c>
      <c r="M1638" s="12">
        <v>120</v>
      </c>
      <c r="N1638" s="12">
        <v>81.599999999999994</v>
      </c>
      <c r="O1638">
        <v>6</v>
      </c>
      <c r="P1638" s="12">
        <v>451.2</v>
      </c>
      <c r="Q1638" s="12">
        <v>326.39999999999998</v>
      </c>
      <c r="R1638" s="12">
        <v>124.80000000000001</v>
      </c>
      <c r="S1638" t="s">
        <v>113</v>
      </c>
      <c r="T1638" t="s">
        <v>107</v>
      </c>
      <c r="U1638" t="s">
        <v>1203</v>
      </c>
    </row>
    <row r="1639" spans="1:21" x14ac:dyDescent="0.25">
      <c r="A1639" t="s">
        <v>3618</v>
      </c>
      <c r="B1639" s="8">
        <v>45733</v>
      </c>
      <c r="C1639" t="s">
        <v>1326</v>
      </c>
      <c r="D1639" t="s">
        <v>967</v>
      </c>
      <c r="E1639" t="s">
        <v>198</v>
      </c>
      <c r="F1639">
        <v>53</v>
      </c>
      <c r="G1639" t="s">
        <v>289</v>
      </c>
      <c r="H1639" t="s">
        <v>3</v>
      </c>
      <c r="I1639" t="s">
        <v>30</v>
      </c>
      <c r="J1639" t="s">
        <v>41</v>
      </c>
      <c r="K1639" t="s">
        <v>22</v>
      </c>
      <c r="L1639">
        <v>5</v>
      </c>
      <c r="M1639" s="12">
        <v>13749</v>
      </c>
      <c r="N1639" s="12">
        <v>10999.2</v>
      </c>
      <c r="O1639">
        <v>4</v>
      </c>
      <c r="P1639" s="12">
        <v>65995.199999999997</v>
      </c>
      <c r="Q1639" s="12">
        <v>54996</v>
      </c>
      <c r="R1639" s="12">
        <v>10999.199999999997</v>
      </c>
      <c r="S1639" t="s">
        <v>113</v>
      </c>
      <c r="T1639" t="s">
        <v>109</v>
      </c>
      <c r="U1639" t="s">
        <v>1199</v>
      </c>
    </row>
    <row r="1640" spans="1:21" x14ac:dyDescent="0.25">
      <c r="A1640" t="s">
        <v>3619</v>
      </c>
      <c r="B1640" s="8">
        <v>45939</v>
      </c>
      <c r="C1640" t="s">
        <v>2304</v>
      </c>
      <c r="D1640" t="s">
        <v>599</v>
      </c>
      <c r="E1640" t="s">
        <v>218</v>
      </c>
      <c r="F1640">
        <v>50</v>
      </c>
      <c r="G1640" t="s">
        <v>290</v>
      </c>
      <c r="H1640" t="s">
        <v>3</v>
      </c>
      <c r="I1640" t="s">
        <v>53</v>
      </c>
      <c r="J1640" t="s">
        <v>48</v>
      </c>
      <c r="K1640" t="s">
        <v>43</v>
      </c>
      <c r="L1640">
        <v>5</v>
      </c>
      <c r="M1640" s="12">
        <v>6499</v>
      </c>
      <c r="N1640" s="12">
        <v>4549.2999999999993</v>
      </c>
      <c r="O1640">
        <v>6</v>
      </c>
      <c r="P1640" s="12">
        <v>30545.3</v>
      </c>
      <c r="Q1640" s="12">
        <v>22746.499999999996</v>
      </c>
      <c r="R1640" s="12">
        <v>7798.8000000000029</v>
      </c>
      <c r="S1640" t="s">
        <v>113</v>
      </c>
      <c r="T1640" t="s">
        <v>107</v>
      </c>
      <c r="U1640" t="s">
        <v>1205</v>
      </c>
    </row>
    <row r="1641" spans="1:21" x14ac:dyDescent="0.25">
      <c r="A1641" t="s">
        <v>3620</v>
      </c>
      <c r="B1641" s="8">
        <v>45945</v>
      </c>
      <c r="C1641" t="s">
        <v>5044</v>
      </c>
      <c r="D1641" t="s">
        <v>1104</v>
      </c>
      <c r="E1641" t="s">
        <v>218</v>
      </c>
      <c r="F1641">
        <v>35</v>
      </c>
      <c r="G1641" t="s">
        <v>17</v>
      </c>
      <c r="H1641" t="s">
        <v>15</v>
      </c>
      <c r="I1641" t="s">
        <v>38</v>
      </c>
      <c r="J1641" t="s">
        <v>37</v>
      </c>
      <c r="K1641" t="s">
        <v>22</v>
      </c>
      <c r="L1641">
        <v>5</v>
      </c>
      <c r="M1641" s="12">
        <v>1650</v>
      </c>
      <c r="N1641" s="12">
        <v>990</v>
      </c>
      <c r="O1641">
        <v>7</v>
      </c>
      <c r="P1641" s="12">
        <v>7672.4999999999991</v>
      </c>
      <c r="Q1641" s="12">
        <v>4950</v>
      </c>
      <c r="R1641" s="12">
        <v>2722.4999999999991</v>
      </c>
      <c r="S1641" t="s">
        <v>1246</v>
      </c>
      <c r="T1641" t="s">
        <v>108</v>
      </c>
      <c r="U1641" t="s">
        <v>1201</v>
      </c>
    </row>
    <row r="1642" spans="1:21" x14ac:dyDescent="0.25">
      <c r="A1642" t="s">
        <v>3621</v>
      </c>
      <c r="B1642" s="8">
        <v>45914</v>
      </c>
      <c r="C1642" t="s">
        <v>1778</v>
      </c>
      <c r="D1642" t="s">
        <v>1054</v>
      </c>
      <c r="E1642" t="s">
        <v>198</v>
      </c>
      <c r="F1642">
        <v>34</v>
      </c>
      <c r="G1642" t="s">
        <v>7</v>
      </c>
      <c r="H1642" t="s">
        <v>8</v>
      </c>
      <c r="I1642" t="s">
        <v>55</v>
      </c>
      <c r="J1642" t="s">
        <v>65</v>
      </c>
      <c r="K1642" t="s">
        <v>64</v>
      </c>
      <c r="L1642">
        <v>5</v>
      </c>
      <c r="M1642" s="12">
        <v>80</v>
      </c>
      <c r="N1642" s="12">
        <v>56</v>
      </c>
      <c r="O1642">
        <v>0</v>
      </c>
      <c r="P1642" s="12">
        <v>400</v>
      </c>
      <c r="Q1642" s="12">
        <v>280</v>
      </c>
      <c r="R1642" s="12">
        <v>120</v>
      </c>
      <c r="S1642" t="s">
        <v>113</v>
      </c>
      <c r="T1642" t="s">
        <v>109</v>
      </c>
      <c r="U1642" t="s">
        <v>1198</v>
      </c>
    </row>
    <row r="1643" spans="1:21" x14ac:dyDescent="0.25">
      <c r="A1643" t="s">
        <v>3622</v>
      </c>
      <c r="B1643" s="8">
        <v>45824</v>
      </c>
      <c r="C1643" t="s">
        <v>1281</v>
      </c>
      <c r="D1643" t="s">
        <v>771</v>
      </c>
      <c r="E1643" t="s">
        <v>218</v>
      </c>
      <c r="F1643">
        <v>62</v>
      </c>
      <c r="G1643" t="s">
        <v>16</v>
      </c>
      <c r="H1643" t="s">
        <v>15</v>
      </c>
      <c r="I1643" t="s">
        <v>47</v>
      </c>
      <c r="J1643" t="s">
        <v>52</v>
      </c>
      <c r="K1643" t="s">
        <v>43</v>
      </c>
      <c r="L1643">
        <v>1</v>
      </c>
      <c r="M1643" s="12">
        <v>42999</v>
      </c>
      <c r="N1643" s="12">
        <v>33539.22</v>
      </c>
      <c r="O1643">
        <v>2</v>
      </c>
      <c r="P1643" s="12">
        <v>42139.02</v>
      </c>
      <c r="Q1643" s="12">
        <v>33539.22</v>
      </c>
      <c r="R1643" s="12">
        <v>8599.7999999999956</v>
      </c>
      <c r="S1643" t="s">
        <v>113</v>
      </c>
      <c r="T1643" t="s">
        <v>109</v>
      </c>
      <c r="U1643" t="s">
        <v>1209</v>
      </c>
    </row>
    <row r="1644" spans="1:21" x14ac:dyDescent="0.25">
      <c r="A1644" t="s">
        <v>3623</v>
      </c>
      <c r="B1644" s="8">
        <v>45903</v>
      </c>
      <c r="C1644" t="s">
        <v>2110</v>
      </c>
      <c r="D1644" t="s">
        <v>534</v>
      </c>
      <c r="E1644" t="s">
        <v>198</v>
      </c>
      <c r="F1644">
        <v>61</v>
      </c>
      <c r="G1644" t="s">
        <v>2</v>
      </c>
      <c r="H1644" t="s">
        <v>3</v>
      </c>
      <c r="I1644" t="s">
        <v>21</v>
      </c>
      <c r="J1644" t="s">
        <v>23</v>
      </c>
      <c r="K1644" t="s">
        <v>22</v>
      </c>
      <c r="L1644">
        <v>4</v>
      </c>
      <c r="M1644" s="12">
        <v>54999</v>
      </c>
      <c r="N1644" s="12">
        <v>45099.18</v>
      </c>
      <c r="O1644">
        <v>8</v>
      </c>
      <c r="P1644" s="12">
        <v>202396.32</v>
      </c>
      <c r="Q1644" s="12">
        <v>180396.72</v>
      </c>
      <c r="R1644" s="12">
        <v>21999.600000000006</v>
      </c>
      <c r="S1644" t="s">
        <v>113</v>
      </c>
      <c r="T1644" t="s">
        <v>109</v>
      </c>
      <c r="U1644" t="s">
        <v>1203</v>
      </c>
    </row>
    <row r="1645" spans="1:21" x14ac:dyDescent="0.25">
      <c r="A1645" t="s">
        <v>3624</v>
      </c>
      <c r="B1645" s="8">
        <v>45688</v>
      </c>
      <c r="C1645" t="s">
        <v>1312</v>
      </c>
      <c r="D1645" t="s">
        <v>959</v>
      </c>
      <c r="E1645" t="s">
        <v>218</v>
      </c>
      <c r="F1645">
        <v>47</v>
      </c>
      <c r="G1645" t="s">
        <v>289</v>
      </c>
      <c r="H1645" t="s">
        <v>3</v>
      </c>
      <c r="I1645" t="s">
        <v>57</v>
      </c>
      <c r="J1645" t="s">
        <v>67</v>
      </c>
      <c r="K1645" t="s">
        <v>64</v>
      </c>
      <c r="L1645">
        <v>5</v>
      </c>
      <c r="M1645" s="12">
        <v>150</v>
      </c>
      <c r="N1645" s="12">
        <v>97.5</v>
      </c>
      <c r="O1645">
        <v>8</v>
      </c>
      <c r="P1645" s="12">
        <v>690</v>
      </c>
      <c r="Q1645" s="12">
        <v>487.5</v>
      </c>
      <c r="R1645" s="12">
        <v>202.5</v>
      </c>
      <c r="S1645" t="s">
        <v>1246</v>
      </c>
      <c r="T1645" t="s">
        <v>107</v>
      </c>
      <c r="U1645" t="s">
        <v>1201</v>
      </c>
    </row>
    <row r="1646" spans="1:21" x14ac:dyDescent="0.25">
      <c r="A1646" t="s">
        <v>3625</v>
      </c>
      <c r="B1646" s="8">
        <v>45796</v>
      </c>
      <c r="C1646" t="s">
        <v>2304</v>
      </c>
      <c r="D1646" t="s">
        <v>599</v>
      </c>
      <c r="E1646" t="s">
        <v>218</v>
      </c>
      <c r="F1646">
        <v>50</v>
      </c>
      <c r="G1646" t="s">
        <v>290</v>
      </c>
      <c r="H1646" t="s">
        <v>3</v>
      </c>
      <c r="I1646" t="s">
        <v>36</v>
      </c>
      <c r="J1646" t="s">
        <v>136</v>
      </c>
      <c r="K1646" t="s">
        <v>22</v>
      </c>
      <c r="L1646">
        <v>2</v>
      </c>
      <c r="M1646" s="12">
        <v>3590</v>
      </c>
      <c r="N1646" s="12">
        <v>2333.5</v>
      </c>
      <c r="O1646">
        <v>5</v>
      </c>
      <c r="P1646" s="12">
        <v>6821</v>
      </c>
      <c r="Q1646" s="12">
        <v>4667</v>
      </c>
      <c r="R1646" s="12">
        <v>2154</v>
      </c>
      <c r="S1646" t="s">
        <v>1246</v>
      </c>
      <c r="T1646" t="s">
        <v>108</v>
      </c>
      <c r="U1646" t="s">
        <v>1198</v>
      </c>
    </row>
    <row r="1647" spans="1:21" x14ac:dyDescent="0.25">
      <c r="A1647" t="s">
        <v>3626</v>
      </c>
      <c r="B1647" s="8">
        <v>45745</v>
      </c>
      <c r="C1647" t="s">
        <v>3331</v>
      </c>
      <c r="D1647" t="s">
        <v>440</v>
      </c>
      <c r="E1647" t="s">
        <v>218</v>
      </c>
      <c r="F1647">
        <v>27</v>
      </c>
      <c r="G1647" t="s">
        <v>289</v>
      </c>
      <c r="H1647" t="s">
        <v>3</v>
      </c>
      <c r="I1647" t="s">
        <v>59</v>
      </c>
      <c r="J1647" t="s">
        <v>73</v>
      </c>
      <c r="K1647" t="s">
        <v>64</v>
      </c>
      <c r="L1647">
        <v>1</v>
      </c>
      <c r="M1647" s="12">
        <v>120</v>
      </c>
      <c r="N1647" s="12">
        <v>81.599999999999994</v>
      </c>
      <c r="O1647">
        <v>3</v>
      </c>
      <c r="P1647" s="12">
        <v>116.39999999999999</v>
      </c>
      <c r="Q1647" s="12">
        <v>81.599999999999994</v>
      </c>
      <c r="R1647" s="12">
        <v>34.799999999999997</v>
      </c>
      <c r="S1647" t="s">
        <v>1246</v>
      </c>
      <c r="T1647" t="s">
        <v>107</v>
      </c>
      <c r="U1647" t="s">
        <v>1205</v>
      </c>
    </row>
    <row r="1648" spans="1:21" x14ac:dyDescent="0.25">
      <c r="A1648" t="s">
        <v>3627</v>
      </c>
      <c r="B1648" s="8">
        <v>45983</v>
      </c>
      <c r="C1648" t="s">
        <v>5101</v>
      </c>
      <c r="D1648" t="s">
        <v>944</v>
      </c>
      <c r="E1648" t="s">
        <v>218</v>
      </c>
      <c r="F1648">
        <v>50</v>
      </c>
      <c r="G1648" t="s">
        <v>289</v>
      </c>
      <c r="H1648" t="s">
        <v>3</v>
      </c>
      <c r="I1648" t="s">
        <v>32</v>
      </c>
      <c r="J1648" t="s">
        <v>29</v>
      </c>
      <c r="K1648" t="s">
        <v>22</v>
      </c>
      <c r="L1648">
        <v>2</v>
      </c>
      <c r="M1648" s="12">
        <v>9500</v>
      </c>
      <c r="N1648" s="12">
        <v>6650</v>
      </c>
      <c r="O1648">
        <v>11</v>
      </c>
      <c r="P1648" s="12">
        <v>16910</v>
      </c>
      <c r="Q1648" s="12">
        <v>13300</v>
      </c>
      <c r="R1648" s="12">
        <v>3610</v>
      </c>
      <c r="S1648" t="s">
        <v>1246</v>
      </c>
      <c r="T1648" t="s">
        <v>107</v>
      </c>
      <c r="U1648" t="s">
        <v>1205</v>
      </c>
    </row>
    <row r="1649" spans="1:21" x14ac:dyDescent="0.25">
      <c r="A1649" t="s">
        <v>3628</v>
      </c>
      <c r="B1649" s="8">
        <v>45863</v>
      </c>
      <c r="C1649" t="s">
        <v>2394</v>
      </c>
      <c r="D1649" t="s">
        <v>660</v>
      </c>
      <c r="E1649" t="s">
        <v>198</v>
      </c>
      <c r="F1649">
        <v>62</v>
      </c>
      <c r="G1649" t="s">
        <v>5</v>
      </c>
      <c r="H1649" t="s">
        <v>3</v>
      </c>
      <c r="I1649" t="s">
        <v>42</v>
      </c>
      <c r="J1649" t="s">
        <v>44</v>
      </c>
      <c r="K1649" t="s">
        <v>43</v>
      </c>
      <c r="L1649">
        <v>1</v>
      </c>
      <c r="M1649" s="12">
        <v>8999</v>
      </c>
      <c r="N1649" s="12">
        <v>6479.28</v>
      </c>
      <c r="O1649">
        <v>6</v>
      </c>
      <c r="P1649" s="12">
        <v>8459.06</v>
      </c>
      <c r="Q1649" s="12">
        <v>6479.28</v>
      </c>
      <c r="R1649" s="12">
        <v>1979.7799999999997</v>
      </c>
      <c r="S1649" t="s">
        <v>1249</v>
      </c>
      <c r="T1649" t="s">
        <v>107</v>
      </c>
      <c r="U1649" t="s">
        <v>1209</v>
      </c>
    </row>
    <row r="1650" spans="1:21" x14ac:dyDescent="0.25">
      <c r="A1650" t="s">
        <v>3629</v>
      </c>
      <c r="B1650" s="8">
        <v>45676</v>
      </c>
      <c r="C1650" t="s">
        <v>5102</v>
      </c>
      <c r="D1650" t="s">
        <v>976</v>
      </c>
      <c r="E1650" t="s">
        <v>198</v>
      </c>
      <c r="F1650">
        <v>43</v>
      </c>
      <c r="G1650" t="s">
        <v>17</v>
      </c>
      <c r="H1650" t="s">
        <v>15</v>
      </c>
      <c r="I1650" t="s">
        <v>49</v>
      </c>
      <c r="J1650" t="s">
        <v>56</v>
      </c>
      <c r="K1650" t="s">
        <v>43</v>
      </c>
      <c r="L1650">
        <v>2</v>
      </c>
      <c r="M1650" s="12">
        <v>31999</v>
      </c>
      <c r="N1650" s="12">
        <v>25599.200000000001</v>
      </c>
      <c r="O1650">
        <v>5</v>
      </c>
      <c r="P1650" s="12">
        <v>60798.1</v>
      </c>
      <c r="Q1650" s="12">
        <v>51198.400000000001</v>
      </c>
      <c r="R1650" s="12">
        <v>9599.6999999999971</v>
      </c>
      <c r="S1650" t="s">
        <v>113</v>
      </c>
      <c r="T1650" t="s">
        <v>107</v>
      </c>
      <c r="U1650" t="s">
        <v>1201</v>
      </c>
    </row>
    <row r="1651" spans="1:21" x14ac:dyDescent="0.25">
      <c r="A1651" t="s">
        <v>3630</v>
      </c>
      <c r="B1651" s="8">
        <v>45658</v>
      </c>
      <c r="C1651" t="s">
        <v>1762</v>
      </c>
      <c r="D1651" t="s">
        <v>501</v>
      </c>
      <c r="E1651" t="s">
        <v>218</v>
      </c>
      <c r="F1651">
        <v>62</v>
      </c>
      <c r="G1651" t="s">
        <v>5</v>
      </c>
      <c r="H1651" t="s">
        <v>3</v>
      </c>
      <c r="I1651" t="s">
        <v>61</v>
      </c>
      <c r="J1651" t="s">
        <v>146</v>
      </c>
      <c r="K1651" t="s">
        <v>64</v>
      </c>
      <c r="L1651">
        <v>1</v>
      </c>
      <c r="M1651" s="12">
        <v>250</v>
      </c>
      <c r="N1651" s="12">
        <v>155</v>
      </c>
      <c r="O1651">
        <v>14</v>
      </c>
      <c r="P1651" s="12">
        <v>215</v>
      </c>
      <c r="Q1651" s="12">
        <v>155</v>
      </c>
      <c r="R1651" s="12">
        <v>60</v>
      </c>
      <c r="S1651" t="s">
        <v>1246</v>
      </c>
      <c r="T1651" t="s">
        <v>108</v>
      </c>
      <c r="U1651" t="s">
        <v>1194</v>
      </c>
    </row>
    <row r="1652" spans="1:21" x14ac:dyDescent="0.25">
      <c r="A1652" t="s">
        <v>3631</v>
      </c>
      <c r="B1652" s="8">
        <v>45863</v>
      </c>
      <c r="C1652" t="s">
        <v>2768</v>
      </c>
      <c r="D1652" t="s">
        <v>670</v>
      </c>
      <c r="E1652" t="s">
        <v>218</v>
      </c>
      <c r="F1652">
        <v>45</v>
      </c>
      <c r="G1652" t="s">
        <v>4</v>
      </c>
      <c r="H1652" t="s">
        <v>3</v>
      </c>
      <c r="I1652" t="s">
        <v>57</v>
      </c>
      <c r="J1652" t="s">
        <v>67</v>
      </c>
      <c r="K1652" t="s">
        <v>64</v>
      </c>
      <c r="L1652">
        <v>5</v>
      </c>
      <c r="M1652" s="12">
        <v>150</v>
      </c>
      <c r="N1652" s="12">
        <v>97.5</v>
      </c>
      <c r="O1652">
        <v>4</v>
      </c>
      <c r="P1652" s="12">
        <v>720</v>
      </c>
      <c r="Q1652" s="12">
        <v>487.5</v>
      </c>
      <c r="R1652" s="12">
        <v>232.5</v>
      </c>
      <c r="S1652" t="s">
        <v>1246</v>
      </c>
      <c r="T1652" t="s">
        <v>108</v>
      </c>
      <c r="U1652" t="s">
        <v>1209</v>
      </c>
    </row>
    <row r="1653" spans="1:21" x14ac:dyDescent="0.25">
      <c r="A1653" t="s">
        <v>3633</v>
      </c>
      <c r="B1653" s="8">
        <v>45708</v>
      </c>
      <c r="C1653" t="s">
        <v>2145</v>
      </c>
      <c r="D1653" t="s">
        <v>761</v>
      </c>
      <c r="E1653" t="s">
        <v>198</v>
      </c>
      <c r="F1653">
        <v>34</v>
      </c>
      <c r="G1653" t="s">
        <v>289</v>
      </c>
      <c r="H1653" t="s">
        <v>3</v>
      </c>
      <c r="I1653" t="s">
        <v>30</v>
      </c>
      <c r="J1653" t="s">
        <v>41</v>
      </c>
      <c r="K1653" t="s">
        <v>22</v>
      </c>
      <c r="L1653">
        <v>3</v>
      </c>
      <c r="M1653" s="12">
        <v>13749</v>
      </c>
      <c r="N1653" s="12">
        <v>10999.2</v>
      </c>
      <c r="O1653">
        <v>4</v>
      </c>
      <c r="P1653" s="12">
        <v>39597.119999999995</v>
      </c>
      <c r="Q1653" s="12">
        <v>32997.600000000006</v>
      </c>
      <c r="R1653" s="12">
        <v>6599.5199999999895</v>
      </c>
      <c r="S1653" t="s">
        <v>113</v>
      </c>
      <c r="T1653" t="s">
        <v>108</v>
      </c>
      <c r="U1653" t="s">
        <v>1199</v>
      </c>
    </row>
    <row r="1654" spans="1:21" x14ac:dyDescent="0.25">
      <c r="A1654" t="s">
        <v>3635</v>
      </c>
      <c r="B1654" s="8">
        <v>45847</v>
      </c>
      <c r="C1654" t="s">
        <v>3211</v>
      </c>
      <c r="D1654" t="s">
        <v>1032</v>
      </c>
      <c r="E1654" t="s">
        <v>198</v>
      </c>
      <c r="F1654">
        <v>51</v>
      </c>
      <c r="G1654" t="s">
        <v>10</v>
      </c>
      <c r="H1654" t="s">
        <v>8</v>
      </c>
      <c r="I1654" t="s">
        <v>34</v>
      </c>
      <c r="J1654" t="s">
        <v>137</v>
      </c>
      <c r="K1654" t="s">
        <v>22</v>
      </c>
      <c r="L1654">
        <v>4</v>
      </c>
      <c r="M1654" s="12">
        <v>6900</v>
      </c>
      <c r="N1654" s="12">
        <v>5727</v>
      </c>
      <c r="O1654">
        <v>5</v>
      </c>
      <c r="P1654" s="12">
        <v>26220</v>
      </c>
      <c r="Q1654" s="12">
        <v>22908</v>
      </c>
      <c r="R1654" s="12">
        <v>3312</v>
      </c>
      <c r="S1654" t="s">
        <v>113</v>
      </c>
      <c r="T1654" t="s">
        <v>108</v>
      </c>
      <c r="U1654" t="s">
        <v>1194</v>
      </c>
    </row>
    <row r="1655" spans="1:21" x14ac:dyDescent="0.25">
      <c r="A1655" t="s">
        <v>3636</v>
      </c>
      <c r="B1655" s="8">
        <v>45714</v>
      </c>
      <c r="C1655" t="s">
        <v>2100</v>
      </c>
      <c r="D1655" t="s">
        <v>1017</v>
      </c>
      <c r="E1655" t="s">
        <v>198</v>
      </c>
      <c r="F1655">
        <v>65</v>
      </c>
      <c r="G1655" t="s">
        <v>289</v>
      </c>
      <c r="H1655" t="s">
        <v>3</v>
      </c>
      <c r="I1655" t="s">
        <v>49</v>
      </c>
      <c r="J1655" t="s">
        <v>56</v>
      </c>
      <c r="K1655" t="s">
        <v>43</v>
      </c>
      <c r="L1655">
        <v>1</v>
      </c>
      <c r="M1655" s="12">
        <v>31999</v>
      </c>
      <c r="N1655" s="12">
        <v>25599.200000000001</v>
      </c>
      <c r="O1655">
        <v>5</v>
      </c>
      <c r="P1655" s="12">
        <v>30399.05</v>
      </c>
      <c r="Q1655" s="12">
        <v>25599.200000000001</v>
      </c>
      <c r="R1655" s="12">
        <v>4799.8499999999985</v>
      </c>
      <c r="S1655" t="s">
        <v>1246</v>
      </c>
      <c r="T1655" t="s">
        <v>107</v>
      </c>
      <c r="U1655" t="s">
        <v>1198</v>
      </c>
    </row>
    <row r="1656" spans="1:21" x14ac:dyDescent="0.25">
      <c r="A1656" t="s">
        <v>3637</v>
      </c>
      <c r="B1656" s="8">
        <v>45793</v>
      </c>
      <c r="C1656" t="s">
        <v>2969</v>
      </c>
      <c r="D1656" t="s">
        <v>539</v>
      </c>
      <c r="E1656" t="s">
        <v>218</v>
      </c>
      <c r="F1656">
        <v>27</v>
      </c>
      <c r="G1656" t="s">
        <v>11</v>
      </c>
      <c r="H1656" t="s">
        <v>12</v>
      </c>
      <c r="I1656" t="s">
        <v>59</v>
      </c>
      <c r="J1656" t="s">
        <v>73</v>
      </c>
      <c r="K1656" t="s">
        <v>64</v>
      </c>
      <c r="L1656">
        <v>1</v>
      </c>
      <c r="M1656" s="12">
        <v>120</v>
      </c>
      <c r="N1656" s="12">
        <v>81.599999999999994</v>
      </c>
      <c r="O1656">
        <v>12</v>
      </c>
      <c r="P1656" s="12">
        <v>105.6</v>
      </c>
      <c r="Q1656" s="12">
        <v>81.599999999999994</v>
      </c>
      <c r="R1656" s="12">
        <v>24</v>
      </c>
      <c r="S1656" t="s">
        <v>1246</v>
      </c>
      <c r="T1656" t="s">
        <v>108</v>
      </c>
      <c r="U1656" t="s">
        <v>1196</v>
      </c>
    </row>
    <row r="1657" spans="1:21" x14ac:dyDescent="0.25">
      <c r="A1657" t="s">
        <v>3638</v>
      </c>
      <c r="B1657" s="8">
        <v>45886</v>
      </c>
      <c r="C1657" t="s">
        <v>3442</v>
      </c>
      <c r="D1657" t="s">
        <v>1155</v>
      </c>
      <c r="E1657" t="s">
        <v>218</v>
      </c>
      <c r="F1657">
        <v>53</v>
      </c>
      <c r="G1657" t="s">
        <v>290</v>
      </c>
      <c r="H1657" t="s">
        <v>3</v>
      </c>
      <c r="I1657" t="s">
        <v>32</v>
      </c>
      <c r="J1657" t="s">
        <v>29</v>
      </c>
      <c r="K1657" t="s">
        <v>22</v>
      </c>
      <c r="L1657">
        <v>1</v>
      </c>
      <c r="M1657" s="12">
        <v>9500</v>
      </c>
      <c r="N1657" s="12">
        <v>6650</v>
      </c>
      <c r="O1657">
        <v>8</v>
      </c>
      <c r="P1657" s="12">
        <v>8740</v>
      </c>
      <c r="Q1657" s="12">
        <v>6650</v>
      </c>
      <c r="R1657" s="12">
        <v>2090</v>
      </c>
      <c r="S1657" t="s">
        <v>113</v>
      </c>
      <c r="T1657" t="s">
        <v>107</v>
      </c>
      <c r="U1657" t="s">
        <v>1211</v>
      </c>
    </row>
    <row r="1658" spans="1:21" x14ac:dyDescent="0.25">
      <c r="A1658" t="s">
        <v>3639</v>
      </c>
      <c r="B1658" s="8">
        <v>45835</v>
      </c>
      <c r="C1658" t="s">
        <v>3866</v>
      </c>
      <c r="D1658" t="s">
        <v>928</v>
      </c>
      <c r="E1658" t="s">
        <v>218</v>
      </c>
      <c r="F1658">
        <v>49</v>
      </c>
      <c r="G1658" t="s">
        <v>9</v>
      </c>
      <c r="H1658" t="s">
        <v>8</v>
      </c>
      <c r="I1658" t="s">
        <v>55</v>
      </c>
      <c r="J1658" t="s">
        <v>65</v>
      </c>
      <c r="K1658" t="s">
        <v>64</v>
      </c>
      <c r="L1658">
        <v>5</v>
      </c>
      <c r="M1658" s="12">
        <v>80</v>
      </c>
      <c r="N1658" s="12">
        <v>56</v>
      </c>
      <c r="O1658">
        <v>14</v>
      </c>
      <c r="P1658" s="12">
        <v>344</v>
      </c>
      <c r="Q1658" s="12">
        <v>280</v>
      </c>
      <c r="R1658" s="12">
        <v>64</v>
      </c>
      <c r="S1658" t="s">
        <v>1246</v>
      </c>
      <c r="T1658" t="s">
        <v>107</v>
      </c>
      <c r="U1658" t="s">
        <v>1203</v>
      </c>
    </row>
    <row r="1659" spans="1:21" x14ac:dyDescent="0.25">
      <c r="A1659" t="s">
        <v>3641</v>
      </c>
      <c r="B1659" s="8">
        <v>46022</v>
      </c>
      <c r="C1659" t="s">
        <v>1297</v>
      </c>
      <c r="D1659" t="s">
        <v>746</v>
      </c>
      <c r="E1659" t="s">
        <v>198</v>
      </c>
      <c r="F1659">
        <v>45</v>
      </c>
      <c r="G1659" t="s">
        <v>2</v>
      </c>
      <c r="H1659" t="s">
        <v>3</v>
      </c>
      <c r="I1659" t="s">
        <v>34</v>
      </c>
      <c r="J1659" t="s">
        <v>137</v>
      </c>
      <c r="K1659" t="s">
        <v>22</v>
      </c>
      <c r="L1659">
        <v>2</v>
      </c>
      <c r="M1659" s="12">
        <v>6900</v>
      </c>
      <c r="N1659" s="12">
        <v>5727</v>
      </c>
      <c r="O1659">
        <v>14</v>
      </c>
      <c r="P1659" s="12">
        <v>11868</v>
      </c>
      <c r="Q1659" s="12">
        <v>11454</v>
      </c>
      <c r="R1659" s="12">
        <v>414</v>
      </c>
      <c r="S1659" t="s">
        <v>1246</v>
      </c>
      <c r="T1659" t="s">
        <v>107</v>
      </c>
      <c r="U1659" t="s">
        <v>1194</v>
      </c>
    </row>
    <row r="1660" spans="1:21" x14ac:dyDescent="0.25">
      <c r="A1660" t="s">
        <v>3642</v>
      </c>
      <c r="B1660" s="8">
        <v>45683</v>
      </c>
      <c r="C1660" t="s">
        <v>3561</v>
      </c>
      <c r="D1660" t="s">
        <v>721</v>
      </c>
      <c r="E1660" t="s">
        <v>198</v>
      </c>
      <c r="F1660">
        <v>43</v>
      </c>
      <c r="G1660" t="s">
        <v>7</v>
      </c>
      <c r="H1660" t="s">
        <v>8</v>
      </c>
      <c r="I1660" t="s">
        <v>40</v>
      </c>
      <c r="J1660" t="s">
        <v>39</v>
      </c>
      <c r="K1660" t="s">
        <v>22</v>
      </c>
      <c r="L1660">
        <v>4</v>
      </c>
      <c r="M1660" s="12">
        <v>1100</v>
      </c>
      <c r="N1660" s="12">
        <v>715</v>
      </c>
      <c r="O1660">
        <v>9</v>
      </c>
      <c r="P1660" s="12">
        <v>4004</v>
      </c>
      <c r="Q1660" s="12">
        <v>2860</v>
      </c>
      <c r="R1660" s="12">
        <v>1144</v>
      </c>
      <c r="S1660" t="s">
        <v>113</v>
      </c>
      <c r="T1660" t="s">
        <v>107</v>
      </c>
      <c r="U1660" t="s">
        <v>1203</v>
      </c>
    </row>
    <row r="1661" spans="1:21" x14ac:dyDescent="0.25">
      <c r="A1661" t="s">
        <v>3644</v>
      </c>
      <c r="B1661" s="8">
        <v>45947</v>
      </c>
      <c r="C1661" t="s">
        <v>4257</v>
      </c>
      <c r="D1661" t="s">
        <v>682</v>
      </c>
      <c r="E1661" t="s">
        <v>198</v>
      </c>
      <c r="F1661">
        <v>29</v>
      </c>
      <c r="G1661" t="s">
        <v>289</v>
      </c>
      <c r="H1661" t="s">
        <v>3</v>
      </c>
      <c r="I1661" t="s">
        <v>47</v>
      </c>
      <c r="J1661" t="s">
        <v>52</v>
      </c>
      <c r="K1661" t="s">
        <v>43</v>
      </c>
      <c r="L1661">
        <v>5</v>
      </c>
      <c r="M1661" s="12">
        <v>42999</v>
      </c>
      <c r="N1661" s="12">
        <v>33539.22</v>
      </c>
      <c r="O1661">
        <v>6</v>
      </c>
      <c r="P1661" s="12">
        <v>202095.3</v>
      </c>
      <c r="Q1661" s="12">
        <v>167696.1</v>
      </c>
      <c r="R1661" s="12">
        <v>34399.199999999983</v>
      </c>
      <c r="S1661" t="s">
        <v>1246</v>
      </c>
      <c r="T1661" t="s">
        <v>108</v>
      </c>
      <c r="U1661" t="s">
        <v>1201</v>
      </c>
    </row>
    <row r="1662" spans="1:21" x14ac:dyDescent="0.25">
      <c r="A1662" t="s">
        <v>3645</v>
      </c>
      <c r="B1662" s="8">
        <v>45972</v>
      </c>
      <c r="C1662" t="s">
        <v>3561</v>
      </c>
      <c r="D1662" t="s">
        <v>721</v>
      </c>
      <c r="E1662" t="s">
        <v>198</v>
      </c>
      <c r="F1662">
        <v>43</v>
      </c>
      <c r="G1662" t="s">
        <v>7</v>
      </c>
      <c r="H1662" t="s">
        <v>8</v>
      </c>
      <c r="I1662" t="s">
        <v>24</v>
      </c>
      <c r="J1662" t="s">
        <v>25</v>
      </c>
      <c r="K1662" t="s">
        <v>22</v>
      </c>
      <c r="L1662">
        <v>2</v>
      </c>
      <c r="M1662" s="12">
        <v>35800</v>
      </c>
      <c r="N1662" s="12">
        <v>28640</v>
      </c>
      <c r="O1662">
        <v>14</v>
      </c>
      <c r="P1662" s="12">
        <v>61576</v>
      </c>
      <c r="Q1662" s="12">
        <v>57280</v>
      </c>
      <c r="R1662" s="12">
        <v>4296</v>
      </c>
      <c r="S1662" t="s">
        <v>1249</v>
      </c>
      <c r="T1662" t="s">
        <v>109</v>
      </c>
      <c r="U1662" t="s">
        <v>1196</v>
      </c>
    </row>
    <row r="1663" spans="1:21" x14ac:dyDescent="0.25">
      <c r="A1663" t="s">
        <v>3646</v>
      </c>
      <c r="B1663" s="8">
        <v>45756</v>
      </c>
      <c r="C1663" t="s">
        <v>1778</v>
      </c>
      <c r="D1663" t="s">
        <v>1054</v>
      </c>
      <c r="E1663" t="s">
        <v>198</v>
      </c>
      <c r="F1663">
        <v>34</v>
      </c>
      <c r="G1663" t="s">
        <v>7</v>
      </c>
      <c r="H1663" t="s">
        <v>8</v>
      </c>
      <c r="I1663" t="s">
        <v>32</v>
      </c>
      <c r="J1663" t="s">
        <v>29</v>
      </c>
      <c r="K1663" t="s">
        <v>22</v>
      </c>
      <c r="L1663">
        <v>2</v>
      </c>
      <c r="M1663" s="12">
        <v>9500</v>
      </c>
      <c r="N1663" s="12">
        <v>6650</v>
      </c>
      <c r="O1663">
        <v>3</v>
      </c>
      <c r="P1663" s="12">
        <v>18430</v>
      </c>
      <c r="Q1663" s="12">
        <v>13300</v>
      </c>
      <c r="R1663" s="12">
        <v>5130</v>
      </c>
      <c r="S1663" t="s">
        <v>1246</v>
      </c>
      <c r="T1663" t="s">
        <v>107</v>
      </c>
      <c r="U1663" t="s">
        <v>1198</v>
      </c>
    </row>
    <row r="1664" spans="1:21" x14ac:dyDescent="0.25">
      <c r="A1664" t="s">
        <v>3647</v>
      </c>
      <c r="B1664" s="8">
        <v>45726</v>
      </c>
      <c r="C1664" t="s">
        <v>2780</v>
      </c>
      <c r="D1664" t="s">
        <v>779</v>
      </c>
      <c r="E1664" t="s">
        <v>218</v>
      </c>
      <c r="F1664">
        <v>38</v>
      </c>
      <c r="G1664" t="s">
        <v>9</v>
      </c>
      <c r="H1664" t="s">
        <v>8</v>
      </c>
      <c r="I1664" t="s">
        <v>38</v>
      </c>
      <c r="J1664" t="s">
        <v>37</v>
      </c>
      <c r="K1664" t="s">
        <v>22</v>
      </c>
      <c r="L1664">
        <v>2</v>
      </c>
      <c r="M1664" s="12">
        <v>1650</v>
      </c>
      <c r="N1664" s="12">
        <v>990</v>
      </c>
      <c r="O1664">
        <v>5</v>
      </c>
      <c r="P1664" s="12">
        <v>3135</v>
      </c>
      <c r="Q1664" s="12">
        <v>1980</v>
      </c>
      <c r="R1664" s="12">
        <v>1155</v>
      </c>
      <c r="S1664" t="s">
        <v>1246</v>
      </c>
      <c r="T1664" t="s">
        <v>109</v>
      </c>
      <c r="U1664" t="s">
        <v>1207</v>
      </c>
    </row>
    <row r="1665" spans="1:21" x14ac:dyDescent="0.25">
      <c r="A1665" t="s">
        <v>3648</v>
      </c>
      <c r="B1665" s="8">
        <v>45960</v>
      </c>
      <c r="C1665" t="s">
        <v>2630</v>
      </c>
      <c r="D1665" t="s">
        <v>437</v>
      </c>
      <c r="E1665" t="s">
        <v>198</v>
      </c>
      <c r="F1665">
        <v>36</v>
      </c>
      <c r="G1665" t="s">
        <v>16</v>
      </c>
      <c r="H1665" t="s">
        <v>15</v>
      </c>
      <c r="I1665" t="s">
        <v>47</v>
      </c>
      <c r="J1665" t="s">
        <v>52</v>
      </c>
      <c r="K1665" t="s">
        <v>43</v>
      </c>
      <c r="L1665">
        <v>4</v>
      </c>
      <c r="M1665" s="12">
        <v>42999</v>
      </c>
      <c r="N1665" s="12">
        <v>33539.22</v>
      </c>
      <c r="O1665">
        <v>5</v>
      </c>
      <c r="P1665" s="12">
        <v>163396.19999999998</v>
      </c>
      <c r="Q1665" s="12">
        <v>134156.88</v>
      </c>
      <c r="R1665" s="12">
        <v>29239.319999999978</v>
      </c>
      <c r="S1665" t="s">
        <v>1246</v>
      </c>
      <c r="T1665" t="s">
        <v>107</v>
      </c>
      <c r="U1665" t="s">
        <v>1205</v>
      </c>
    </row>
    <row r="1666" spans="1:21" x14ac:dyDescent="0.25">
      <c r="A1666" t="s">
        <v>3649</v>
      </c>
      <c r="B1666" s="8">
        <v>45686</v>
      </c>
      <c r="C1666" t="s">
        <v>2486</v>
      </c>
      <c r="D1666" t="s">
        <v>970</v>
      </c>
      <c r="E1666" t="s">
        <v>198</v>
      </c>
      <c r="F1666">
        <v>43</v>
      </c>
      <c r="G1666" t="s">
        <v>290</v>
      </c>
      <c r="H1666" t="s">
        <v>3</v>
      </c>
      <c r="I1666" t="s">
        <v>32</v>
      </c>
      <c r="J1666" t="s">
        <v>29</v>
      </c>
      <c r="K1666" t="s">
        <v>22</v>
      </c>
      <c r="L1666">
        <v>1</v>
      </c>
      <c r="M1666" s="12">
        <v>9500</v>
      </c>
      <c r="N1666" s="12">
        <v>6650</v>
      </c>
      <c r="O1666">
        <v>5</v>
      </c>
      <c r="P1666" s="12">
        <v>9025</v>
      </c>
      <c r="Q1666" s="12">
        <v>6650</v>
      </c>
      <c r="R1666" s="12">
        <v>2375</v>
      </c>
      <c r="S1666" t="s">
        <v>1246</v>
      </c>
      <c r="T1666" t="s">
        <v>107</v>
      </c>
      <c r="U1666" t="s">
        <v>1209</v>
      </c>
    </row>
    <row r="1667" spans="1:21" x14ac:dyDescent="0.25">
      <c r="A1667" t="s">
        <v>3650</v>
      </c>
      <c r="B1667" s="8">
        <v>45683</v>
      </c>
      <c r="C1667" t="s">
        <v>2559</v>
      </c>
      <c r="D1667" t="s">
        <v>748</v>
      </c>
      <c r="E1667" t="s">
        <v>218</v>
      </c>
      <c r="F1667">
        <v>34</v>
      </c>
      <c r="G1667" t="s">
        <v>10</v>
      </c>
      <c r="H1667" t="s">
        <v>8</v>
      </c>
      <c r="I1667" t="s">
        <v>49</v>
      </c>
      <c r="J1667" t="s">
        <v>56</v>
      </c>
      <c r="K1667" t="s">
        <v>43</v>
      </c>
      <c r="L1667">
        <v>4</v>
      </c>
      <c r="M1667" s="12">
        <v>31999</v>
      </c>
      <c r="N1667" s="12">
        <v>25599.200000000001</v>
      </c>
      <c r="O1667">
        <v>4</v>
      </c>
      <c r="P1667" s="12">
        <v>122876.15999999999</v>
      </c>
      <c r="Q1667" s="12">
        <v>102396.8</v>
      </c>
      <c r="R1667" s="12">
        <v>20479.359999999986</v>
      </c>
      <c r="S1667" t="s">
        <v>113</v>
      </c>
      <c r="T1667" t="s">
        <v>107</v>
      </c>
      <c r="U1667" t="s">
        <v>1205</v>
      </c>
    </row>
    <row r="1668" spans="1:21" x14ac:dyDescent="0.25">
      <c r="A1668" t="s">
        <v>3651</v>
      </c>
      <c r="B1668" s="8">
        <v>45692</v>
      </c>
      <c r="C1668" t="s">
        <v>2188</v>
      </c>
      <c r="D1668" t="s">
        <v>961</v>
      </c>
      <c r="E1668" t="s">
        <v>198</v>
      </c>
      <c r="F1668">
        <v>60</v>
      </c>
      <c r="G1668" t="s">
        <v>2</v>
      </c>
      <c r="H1668" t="s">
        <v>3</v>
      </c>
      <c r="I1668" t="s">
        <v>45</v>
      </c>
      <c r="J1668" t="s">
        <v>46</v>
      </c>
      <c r="K1668" t="s">
        <v>43</v>
      </c>
      <c r="L1668">
        <v>2</v>
      </c>
      <c r="M1668" s="12">
        <v>11999</v>
      </c>
      <c r="N1668" s="12">
        <v>8999.25</v>
      </c>
      <c r="O1668">
        <v>10</v>
      </c>
      <c r="P1668" s="12">
        <v>21598.2</v>
      </c>
      <c r="Q1668" s="12">
        <v>17998.5</v>
      </c>
      <c r="R1668" s="12">
        <v>3599.7000000000007</v>
      </c>
      <c r="S1668" t="s">
        <v>1246</v>
      </c>
      <c r="T1668" t="s">
        <v>107</v>
      </c>
      <c r="U1668" t="s">
        <v>1199</v>
      </c>
    </row>
    <row r="1669" spans="1:21" x14ac:dyDescent="0.25">
      <c r="A1669" t="s">
        <v>3652</v>
      </c>
      <c r="B1669" s="8">
        <v>45984</v>
      </c>
      <c r="C1669" t="s">
        <v>1927</v>
      </c>
      <c r="D1669" t="s">
        <v>1041</v>
      </c>
      <c r="E1669" t="s">
        <v>198</v>
      </c>
      <c r="F1669">
        <v>26</v>
      </c>
      <c r="G1669" t="s">
        <v>7</v>
      </c>
      <c r="H1669" t="s">
        <v>8</v>
      </c>
      <c r="I1669" t="s">
        <v>47</v>
      </c>
      <c r="J1669" t="s">
        <v>52</v>
      </c>
      <c r="K1669" t="s">
        <v>43</v>
      </c>
      <c r="L1669">
        <v>2</v>
      </c>
      <c r="M1669" s="12">
        <v>42999</v>
      </c>
      <c r="N1669" s="12">
        <v>33539.22</v>
      </c>
      <c r="O1669">
        <v>19</v>
      </c>
      <c r="P1669" s="12">
        <v>69658.38</v>
      </c>
      <c r="Q1669" s="12">
        <v>67078.44</v>
      </c>
      <c r="R1669" s="12">
        <v>2579.9400000000023</v>
      </c>
      <c r="S1669" t="s">
        <v>1246</v>
      </c>
      <c r="T1669" t="s">
        <v>110</v>
      </c>
      <c r="U1669" t="s">
        <v>1209</v>
      </c>
    </row>
    <row r="1670" spans="1:21" x14ac:dyDescent="0.25">
      <c r="A1670" t="s">
        <v>3653</v>
      </c>
      <c r="B1670" s="8">
        <v>45834</v>
      </c>
      <c r="C1670" t="s">
        <v>1310</v>
      </c>
      <c r="D1670" t="s">
        <v>1154</v>
      </c>
      <c r="E1670" t="s">
        <v>198</v>
      </c>
      <c r="F1670">
        <v>57</v>
      </c>
      <c r="G1670" t="s">
        <v>289</v>
      </c>
      <c r="H1670" t="s">
        <v>3</v>
      </c>
      <c r="I1670" t="s">
        <v>63</v>
      </c>
      <c r="J1670" t="s">
        <v>77</v>
      </c>
      <c r="K1670" t="s">
        <v>64</v>
      </c>
      <c r="L1670">
        <v>3</v>
      </c>
      <c r="M1670" s="12">
        <v>650</v>
      </c>
      <c r="N1670" s="12">
        <v>468</v>
      </c>
      <c r="O1670">
        <v>14</v>
      </c>
      <c r="P1670" s="12">
        <v>1677</v>
      </c>
      <c r="Q1670" s="12">
        <v>1404</v>
      </c>
      <c r="R1670" s="12">
        <v>273</v>
      </c>
      <c r="S1670" t="s">
        <v>1249</v>
      </c>
      <c r="T1670" t="s">
        <v>107</v>
      </c>
      <c r="U1670" t="s">
        <v>1207</v>
      </c>
    </row>
    <row r="1671" spans="1:21" x14ac:dyDescent="0.25">
      <c r="A1671" t="s">
        <v>3654</v>
      </c>
      <c r="B1671" s="8">
        <v>45833</v>
      </c>
      <c r="C1671" t="s">
        <v>1385</v>
      </c>
      <c r="D1671" t="s">
        <v>401</v>
      </c>
      <c r="E1671" t="s">
        <v>218</v>
      </c>
      <c r="F1671">
        <v>39</v>
      </c>
      <c r="G1671" t="s">
        <v>4</v>
      </c>
      <c r="H1671" t="s">
        <v>3</v>
      </c>
      <c r="I1671" t="s">
        <v>28</v>
      </c>
      <c r="J1671" t="s">
        <v>35</v>
      </c>
      <c r="K1671" t="s">
        <v>22</v>
      </c>
      <c r="L1671">
        <v>2</v>
      </c>
      <c r="M1671" s="12">
        <v>16499</v>
      </c>
      <c r="N1671" s="12">
        <v>14519.12</v>
      </c>
      <c r="O1671">
        <v>9</v>
      </c>
      <c r="P1671" s="12">
        <v>30028.18</v>
      </c>
      <c r="Q1671" s="12">
        <v>29038.240000000002</v>
      </c>
      <c r="R1671" s="12">
        <v>989.93999999999869</v>
      </c>
      <c r="S1671" t="s">
        <v>1246</v>
      </c>
      <c r="T1671" t="s">
        <v>107</v>
      </c>
      <c r="U1671" t="s">
        <v>1199</v>
      </c>
    </row>
    <row r="1672" spans="1:21" x14ac:dyDescent="0.25">
      <c r="A1672" t="s">
        <v>3655</v>
      </c>
      <c r="B1672" s="8">
        <v>45696</v>
      </c>
      <c r="C1672" t="s">
        <v>3701</v>
      </c>
      <c r="D1672" t="s">
        <v>372</v>
      </c>
      <c r="E1672" t="s">
        <v>218</v>
      </c>
      <c r="F1672">
        <v>28</v>
      </c>
      <c r="G1672" t="s">
        <v>289</v>
      </c>
      <c r="H1672" t="s">
        <v>3</v>
      </c>
      <c r="I1672" t="s">
        <v>21</v>
      </c>
      <c r="J1672" t="s">
        <v>23</v>
      </c>
      <c r="K1672" t="s">
        <v>22</v>
      </c>
      <c r="L1672">
        <v>4</v>
      </c>
      <c r="M1672" s="12">
        <v>54999</v>
      </c>
      <c r="N1672" s="12">
        <v>45099.18</v>
      </c>
      <c r="O1672">
        <v>8</v>
      </c>
      <c r="P1672" s="12">
        <v>202396.32</v>
      </c>
      <c r="Q1672" s="12">
        <v>180396.72</v>
      </c>
      <c r="R1672" s="12">
        <v>21999.600000000006</v>
      </c>
      <c r="S1672" t="s">
        <v>113</v>
      </c>
      <c r="T1672" t="s">
        <v>107</v>
      </c>
      <c r="U1672" t="s">
        <v>1205</v>
      </c>
    </row>
    <row r="1673" spans="1:21" x14ac:dyDescent="0.25">
      <c r="A1673" t="s">
        <v>3656</v>
      </c>
      <c r="B1673" s="8">
        <v>45878</v>
      </c>
      <c r="C1673" t="s">
        <v>2154</v>
      </c>
      <c r="D1673" t="s">
        <v>828</v>
      </c>
      <c r="E1673" t="s">
        <v>218</v>
      </c>
      <c r="F1673">
        <v>63</v>
      </c>
      <c r="G1673" t="s">
        <v>11</v>
      </c>
      <c r="H1673" t="s">
        <v>12</v>
      </c>
      <c r="I1673" t="s">
        <v>32</v>
      </c>
      <c r="J1673" t="s">
        <v>29</v>
      </c>
      <c r="K1673" t="s">
        <v>22</v>
      </c>
      <c r="L1673">
        <v>3</v>
      </c>
      <c r="M1673" s="12">
        <v>9500</v>
      </c>
      <c r="N1673" s="12">
        <v>6650</v>
      </c>
      <c r="O1673">
        <v>8</v>
      </c>
      <c r="P1673" s="12">
        <v>26220</v>
      </c>
      <c r="Q1673" s="12">
        <v>19950</v>
      </c>
      <c r="R1673" s="12">
        <v>6270</v>
      </c>
      <c r="S1673" t="s">
        <v>113</v>
      </c>
      <c r="T1673" t="s">
        <v>108</v>
      </c>
      <c r="U1673" t="s">
        <v>1196</v>
      </c>
    </row>
    <row r="1674" spans="1:21" x14ac:dyDescent="0.25">
      <c r="A1674" t="s">
        <v>3657</v>
      </c>
      <c r="B1674" s="8">
        <v>45933</v>
      </c>
      <c r="C1674" t="s">
        <v>3423</v>
      </c>
      <c r="D1674" t="s">
        <v>866</v>
      </c>
      <c r="E1674" t="s">
        <v>218</v>
      </c>
      <c r="F1674">
        <v>56</v>
      </c>
      <c r="G1674" t="s">
        <v>5</v>
      </c>
      <c r="H1674" t="s">
        <v>3</v>
      </c>
      <c r="I1674" t="s">
        <v>34</v>
      </c>
      <c r="J1674" t="s">
        <v>137</v>
      </c>
      <c r="K1674" t="s">
        <v>22</v>
      </c>
      <c r="L1674">
        <v>3</v>
      </c>
      <c r="M1674" s="12">
        <v>6900</v>
      </c>
      <c r="N1674" s="12">
        <v>5727</v>
      </c>
      <c r="O1674">
        <v>3</v>
      </c>
      <c r="P1674" s="12">
        <v>20079</v>
      </c>
      <c r="Q1674" s="12">
        <v>17181</v>
      </c>
      <c r="R1674" s="12">
        <v>2898</v>
      </c>
      <c r="S1674" t="s">
        <v>1246</v>
      </c>
      <c r="T1674" t="s">
        <v>107</v>
      </c>
      <c r="U1674" t="s">
        <v>1194</v>
      </c>
    </row>
    <row r="1675" spans="1:21" x14ac:dyDescent="0.25">
      <c r="A1675" t="s">
        <v>3658</v>
      </c>
      <c r="B1675" s="8">
        <v>45797</v>
      </c>
      <c r="C1675" t="s">
        <v>1472</v>
      </c>
      <c r="D1675" t="s">
        <v>778</v>
      </c>
      <c r="E1675" t="s">
        <v>218</v>
      </c>
      <c r="F1675">
        <v>62</v>
      </c>
      <c r="G1675" t="s">
        <v>16</v>
      </c>
      <c r="H1675" t="s">
        <v>15</v>
      </c>
      <c r="I1675" t="s">
        <v>34</v>
      </c>
      <c r="J1675" t="s">
        <v>137</v>
      </c>
      <c r="K1675" t="s">
        <v>22</v>
      </c>
      <c r="L1675">
        <v>5</v>
      </c>
      <c r="M1675" s="12">
        <v>6900</v>
      </c>
      <c r="N1675" s="12">
        <v>5727</v>
      </c>
      <c r="O1675">
        <v>9</v>
      </c>
      <c r="P1675" s="12">
        <v>31395</v>
      </c>
      <c r="Q1675" s="12">
        <v>28635</v>
      </c>
      <c r="R1675" s="12">
        <v>2760</v>
      </c>
      <c r="S1675" t="s">
        <v>1246</v>
      </c>
      <c r="T1675" t="s">
        <v>109</v>
      </c>
      <c r="U1675" t="s">
        <v>1196</v>
      </c>
    </row>
    <row r="1676" spans="1:21" x14ac:dyDescent="0.25">
      <c r="A1676" t="s">
        <v>3659</v>
      </c>
      <c r="B1676" s="8">
        <v>45938</v>
      </c>
      <c r="C1676" t="s">
        <v>1747</v>
      </c>
      <c r="D1676" t="s">
        <v>827</v>
      </c>
      <c r="E1676" t="s">
        <v>198</v>
      </c>
      <c r="F1676">
        <v>24</v>
      </c>
      <c r="G1676" t="s">
        <v>289</v>
      </c>
      <c r="H1676" t="s">
        <v>3</v>
      </c>
      <c r="I1676" t="s">
        <v>30</v>
      </c>
      <c r="J1676" t="s">
        <v>41</v>
      </c>
      <c r="K1676" t="s">
        <v>22</v>
      </c>
      <c r="L1676">
        <v>5</v>
      </c>
      <c r="M1676" s="12">
        <v>13749</v>
      </c>
      <c r="N1676" s="12">
        <v>10999.2</v>
      </c>
      <c r="O1676">
        <v>5</v>
      </c>
      <c r="P1676" s="12">
        <v>65307.75</v>
      </c>
      <c r="Q1676" s="12">
        <v>54996</v>
      </c>
      <c r="R1676" s="12">
        <v>10311.75</v>
      </c>
      <c r="S1676" t="s">
        <v>1246</v>
      </c>
      <c r="T1676" t="s">
        <v>107</v>
      </c>
      <c r="U1676" t="s">
        <v>1205</v>
      </c>
    </row>
    <row r="1677" spans="1:21" x14ac:dyDescent="0.25">
      <c r="A1677" t="s">
        <v>3661</v>
      </c>
      <c r="B1677" s="8">
        <v>45841</v>
      </c>
      <c r="C1677" t="s">
        <v>2715</v>
      </c>
      <c r="D1677" t="s">
        <v>841</v>
      </c>
      <c r="E1677" t="s">
        <v>218</v>
      </c>
      <c r="F1677">
        <v>61</v>
      </c>
      <c r="G1677" t="s">
        <v>10</v>
      </c>
      <c r="H1677" t="s">
        <v>8</v>
      </c>
      <c r="I1677" t="s">
        <v>24</v>
      </c>
      <c r="J1677" t="s">
        <v>25</v>
      </c>
      <c r="K1677" t="s">
        <v>22</v>
      </c>
      <c r="L1677">
        <v>1</v>
      </c>
      <c r="M1677" s="12">
        <v>35800</v>
      </c>
      <c r="N1677" s="12">
        <v>28640</v>
      </c>
      <c r="O1677">
        <v>8</v>
      </c>
      <c r="P1677" s="12">
        <v>32936</v>
      </c>
      <c r="Q1677" s="12">
        <v>28640</v>
      </c>
      <c r="R1677" s="12">
        <v>4296</v>
      </c>
      <c r="S1677" t="s">
        <v>113</v>
      </c>
      <c r="T1677" t="s">
        <v>107</v>
      </c>
      <c r="U1677" t="s">
        <v>1207</v>
      </c>
    </row>
    <row r="1678" spans="1:21" x14ac:dyDescent="0.25">
      <c r="A1678" t="s">
        <v>3662</v>
      </c>
      <c r="B1678" s="8">
        <v>45782</v>
      </c>
      <c r="C1678" t="s">
        <v>2509</v>
      </c>
      <c r="D1678" t="s">
        <v>832</v>
      </c>
      <c r="E1678" t="s">
        <v>218</v>
      </c>
      <c r="F1678">
        <v>55</v>
      </c>
      <c r="G1678" t="s">
        <v>10</v>
      </c>
      <c r="H1678" t="s">
        <v>8</v>
      </c>
      <c r="I1678" t="s">
        <v>26</v>
      </c>
      <c r="J1678" t="s">
        <v>27</v>
      </c>
      <c r="K1678" t="s">
        <v>22</v>
      </c>
      <c r="L1678">
        <v>2</v>
      </c>
      <c r="M1678" s="12">
        <v>27499</v>
      </c>
      <c r="N1678" s="12">
        <v>23374.149999999998</v>
      </c>
      <c r="O1678">
        <v>10</v>
      </c>
      <c r="P1678" s="12">
        <v>49498.200000000004</v>
      </c>
      <c r="Q1678" s="12">
        <v>46748.299999999996</v>
      </c>
      <c r="R1678" s="12">
        <v>2749.9000000000087</v>
      </c>
      <c r="S1678" t="s">
        <v>113</v>
      </c>
      <c r="T1678" t="s">
        <v>109</v>
      </c>
      <c r="U1678" t="s">
        <v>1201</v>
      </c>
    </row>
    <row r="1679" spans="1:21" x14ac:dyDescent="0.25">
      <c r="A1679" t="s">
        <v>3663</v>
      </c>
      <c r="B1679" s="8">
        <v>45769</v>
      </c>
      <c r="C1679" t="s">
        <v>4531</v>
      </c>
      <c r="D1679" t="s">
        <v>698</v>
      </c>
      <c r="E1679" t="s">
        <v>198</v>
      </c>
      <c r="F1679">
        <v>30</v>
      </c>
      <c r="G1679" t="s">
        <v>5</v>
      </c>
      <c r="H1679" t="s">
        <v>3</v>
      </c>
      <c r="I1679" t="s">
        <v>59</v>
      </c>
      <c r="J1679" t="s">
        <v>73</v>
      </c>
      <c r="K1679" t="s">
        <v>64</v>
      </c>
      <c r="L1679">
        <v>1</v>
      </c>
      <c r="M1679" s="12">
        <v>120</v>
      </c>
      <c r="N1679" s="12">
        <v>81.599999999999994</v>
      </c>
      <c r="O1679">
        <v>0</v>
      </c>
      <c r="P1679" s="12">
        <v>120</v>
      </c>
      <c r="Q1679" s="12">
        <v>81.599999999999994</v>
      </c>
      <c r="R1679" s="12">
        <v>38.400000000000006</v>
      </c>
      <c r="S1679" t="s">
        <v>1246</v>
      </c>
      <c r="T1679" t="s">
        <v>107</v>
      </c>
      <c r="U1679" t="s">
        <v>1209</v>
      </c>
    </row>
    <row r="1680" spans="1:21" x14ac:dyDescent="0.25">
      <c r="A1680" t="s">
        <v>3664</v>
      </c>
      <c r="B1680" s="8">
        <v>45930</v>
      </c>
      <c r="C1680" t="s">
        <v>2780</v>
      </c>
      <c r="D1680" t="s">
        <v>779</v>
      </c>
      <c r="E1680" t="s">
        <v>218</v>
      </c>
      <c r="F1680">
        <v>38</v>
      </c>
      <c r="G1680" t="s">
        <v>9</v>
      </c>
      <c r="H1680" t="s">
        <v>8</v>
      </c>
      <c r="I1680" t="s">
        <v>49</v>
      </c>
      <c r="J1680" t="s">
        <v>56</v>
      </c>
      <c r="K1680" t="s">
        <v>43</v>
      </c>
      <c r="L1680">
        <v>4</v>
      </c>
      <c r="M1680" s="12">
        <v>31999</v>
      </c>
      <c r="N1680" s="12">
        <v>25599.200000000001</v>
      </c>
      <c r="O1680">
        <v>6</v>
      </c>
      <c r="P1680" s="12">
        <v>120316.23999999999</v>
      </c>
      <c r="Q1680" s="12">
        <v>102396.8</v>
      </c>
      <c r="R1680" s="12">
        <v>17919.439999999988</v>
      </c>
      <c r="S1680" t="s">
        <v>1246</v>
      </c>
      <c r="T1680" t="s">
        <v>110</v>
      </c>
      <c r="U1680" t="s">
        <v>1203</v>
      </c>
    </row>
    <row r="1681" spans="1:21" x14ac:dyDescent="0.25">
      <c r="A1681" t="s">
        <v>3665</v>
      </c>
      <c r="B1681" s="8">
        <v>45823</v>
      </c>
      <c r="C1681" t="s">
        <v>1682</v>
      </c>
      <c r="D1681" t="s">
        <v>410</v>
      </c>
      <c r="E1681" t="s">
        <v>198</v>
      </c>
      <c r="F1681">
        <v>43</v>
      </c>
      <c r="G1681" t="s">
        <v>10</v>
      </c>
      <c r="H1681" t="s">
        <v>8</v>
      </c>
      <c r="I1681" t="s">
        <v>55</v>
      </c>
      <c r="J1681" t="s">
        <v>65</v>
      </c>
      <c r="K1681" t="s">
        <v>64</v>
      </c>
      <c r="L1681">
        <v>4</v>
      </c>
      <c r="M1681" s="12">
        <v>80</v>
      </c>
      <c r="N1681" s="12">
        <v>56</v>
      </c>
      <c r="O1681">
        <v>9</v>
      </c>
      <c r="P1681" s="12">
        <v>291.2</v>
      </c>
      <c r="Q1681" s="12">
        <v>224</v>
      </c>
      <c r="R1681" s="12">
        <v>67.199999999999989</v>
      </c>
      <c r="S1681" t="s">
        <v>1249</v>
      </c>
      <c r="T1681" t="s">
        <v>108</v>
      </c>
      <c r="U1681" t="s">
        <v>1199</v>
      </c>
    </row>
    <row r="1682" spans="1:21" x14ac:dyDescent="0.25">
      <c r="A1682" t="s">
        <v>3666</v>
      </c>
      <c r="B1682" s="8">
        <v>45899</v>
      </c>
      <c r="C1682" t="s">
        <v>2551</v>
      </c>
      <c r="D1682" t="s">
        <v>541</v>
      </c>
      <c r="E1682" t="s">
        <v>198</v>
      </c>
      <c r="F1682">
        <v>22</v>
      </c>
      <c r="G1682" t="s">
        <v>14</v>
      </c>
      <c r="H1682" t="s">
        <v>15</v>
      </c>
      <c r="I1682" t="s">
        <v>59</v>
      </c>
      <c r="J1682" t="s">
        <v>73</v>
      </c>
      <c r="K1682" t="s">
        <v>64</v>
      </c>
      <c r="L1682">
        <v>2</v>
      </c>
      <c r="M1682" s="12">
        <v>120</v>
      </c>
      <c r="N1682" s="12">
        <v>81.599999999999994</v>
      </c>
      <c r="O1682">
        <v>1</v>
      </c>
      <c r="P1682" s="12">
        <v>237.6</v>
      </c>
      <c r="Q1682" s="12">
        <v>163.19999999999999</v>
      </c>
      <c r="R1682" s="12">
        <v>74.400000000000006</v>
      </c>
      <c r="S1682" t="s">
        <v>113</v>
      </c>
      <c r="T1682" t="s">
        <v>107</v>
      </c>
      <c r="U1682" t="s">
        <v>1203</v>
      </c>
    </row>
    <row r="1683" spans="1:21" x14ac:dyDescent="0.25">
      <c r="A1683" t="s">
        <v>3667</v>
      </c>
      <c r="B1683" s="8">
        <v>45895</v>
      </c>
      <c r="C1683" t="s">
        <v>1433</v>
      </c>
      <c r="D1683" t="s">
        <v>464</v>
      </c>
      <c r="E1683" t="s">
        <v>218</v>
      </c>
      <c r="F1683">
        <v>46</v>
      </c>
      <c r="G1683" t="s">
        <v>9</v>
      </c>
      <c r="H1683" t="s">
        <v>8</v>
      </c>
      <c r="I1683" t="s">
        <v>42</v>
      </c>
      <c r="J1683" t="s">
        <v>44</v>
      </c>
      <c r="K1683" t="s">
        <v>43</v>
      </c>
      <c r="L1683">
        <v>2</v>
      </c>
      <c r="M1683" s="12">
        <v>8999</v>
      </c>
      <c r="N1683" s="12">
        <v>6479.28</v>
      </c>
      <c r="O1683">
        <v>6</v>
      </c>
      <c r="P1683" s="12">
        <v>16918.12</v>
      </c>
      <c r="Q1683" s="12">
        <v>12958.56</v>
      </c>
      <c r="R1683" s="12">
        <v>3959.5599999999995</v>
      </c>
      <c r="S1683" t="s">
        <v>1246</v>
      </c>
      <c r="T1683" t="s">
        <v>110</v>
      </c>
      <c r="U1683" t="s">
        <v>1198</v>
      </c>
    </row>
    <row r="1684" spans="1:21" x14ac:dyDescent="0.25">
      <c r="A1684" t="s">
        <v>3668</v>
      </c>
      <c r="B1684" s="8">
        <v>46011</v>
      </c>
      <c r="C1684" t="s">
        <v>1846</v>
      </c>
      <c r="D1684" t="s">
        <v>518</v>
      </c>
      <c r="E1684" t="s">
        <v>218</v>
      </c>
      <c r="F1684">
        <v>62</v>
      </c>
      <c r="G1684" t="s">
        <v>290</v>
      </c>
      <c r="H1684" t="s">
        <v>3</v>
      </c>
      <c r="I1684" t="s">
        <v>53</v>
      </c>
      <c r="J1684" t="s">
        <v>48</v>
      </c>
      <c r="K1684" t="s">
        <v>43</v>
      </c>
      <c r="L1684">
        <v>2</v>
      </c>
      <c r="M1684" s="12">
        <v>6499</v>
      </c>
      <c r="N1684" s="12">
        <v>4549.2999999999993</v>
      </c>
      <c r="O1684">
        <v>19</v>
      </c>
      <c r="P1684" s="12">
        <v>10528.380000000001</v>
      </c>
      <c r="Q1684" s="12">
        <v>9098.5999999999985</v>
      </c>
      <c r="R1684" s="12">
        <v>1429.7800000000025</v>
      </c>
      <c r="S1684" t="s">
        <v>1246</v>
      </c>
      <c r="T1684" t="s">
        <v>107</v>
      </c>
      <c r="U1684" t="s">
        <v>1205</v>
      </c>
    </row>
    <row r="1685" spans="1:21" x14ac:dyDescent="0.25">
      <c r="A1685" t="s">
        <v>3669</v>
      </c>
      <c r="B1685" s="8">
        <v>46014</v>
      </c>
      <c r="C1685" t="s">
        <v>1335</v>
      </c>
      <c r="D1685" t="s">
        <v>521</v>
      </c>
      <c r="E1685" t="s">
        <v>218</v>
      </c>
      <c r="F1685">
        <v>59</v>
      </c>
      <c r="G1685" t="s">
        <v>9</v>
      </c>
      <c r="H1685" t="s">
        <v>8</v>
      </c>
      <c r="I1685" t="s">
        <v>26</v>
      </c>
      <c r="J1685" t="s">
        <v>27</v>
      </c>
      <c r="K1685" t="s">
        <v>22</v>
      </c>
      <c r="L1685">
        <v>5</v>
      </c>
      <c r="M1685" s="12">
        <v>27499</v>
      </c>
      <c r="N1685" s="12">
        <v>23374.149999999998</v>
      </c>
      <c r="O1685">
        <v>14</v>
      </c>
      <c r="P1685" s="12">
        <v>118245.7</v>
      </c>
      <c r="Q1685" s="12">
        <v>116870.74999999999</v>
      </c>
      <c r="R1685" s="12">
        <v>1374.9500000000116</v>
      </c>
      <c r="S1685" t="s">
        <v>1246</v>
      </c>
      <c r="T1685" t="s">
        <v>107</v>
      </c>
      <c r="U1685" t="s">
        <v>1194</v>
      </c>
    </row>
    <row r="1686" spans="1:21" x14ac:dyDescent="0.25">
      <c r="A1686" t="s">
        <v>3670</v>
      </c>
      <c r="B1686" s="8">
        <v>45727</v>
      </c>
      <c r="C1686" t="s">
        <v>1419</v>
      </c>
      <c r="D1686" t="s">
        <v>781</v>
      </c>
      <c r="E1686" t="s">
        <v>218</v>
      </c>
      <c r="F1686">
        <v>56</v>
      </c>
      <c r="G1686" t="s">
        <v>290</v>
      </c>
      <c r="H1686" t="s">
        <v>3</v>
      </c>
      <c r="I1686" t="s">
        <v>61</v>
      </c>
      <c r="J1686" t="s">
        <v>146</v>
      </c>
      <c r="K1686" t="s">
        <v>64</v>
      </c>
      <c r="L1686">
        <v>3</v>
      </c>
      <c r="M1686" s="12">
        <v>250</v>
      </c>
      <c r="N1686" s="12">
        <v>155</v>
      </c>
      <c r="O1686">
        <v>5</v>
      </c>
      <c r="P1686" s="12">
        <v>712.5</v>
      </c>
      <c r="Q1686" s="12">
        <v>465</v>
      </c>
      <c r="R1686" s="12">
        <v>247.5</v>
      </c>
      <c r="S1686" t="s">
        <v>113</v>
      </c>
      <c r="T1686" t="s">
        <v>111</v>
      </c>
      <c r="U1686" t="s">
        <v>1203</v>
      </c>
    </row>
    <row r="1687" spans="1:21" x14ac:dyDescent="0.25">
      <c r="A1687" t="s">
        <v>3671</v>
      </c>
      <c r="B1687" s="8">
        <v>45893</v>
      </c>
      <c r="C1687" t="s">
        <v>1743</v>
      </c>
      <c r="D1687" t="s">
        <v>511</v>
      </c>
      <c r="E1687" t="s">
        <v>218</v>
      </c>
      <c r="F1687">
        <v>46</v>
      </c>
      <c r="G1687" t="s">
        <v>289</v>
      </c>
      <c r="H1687" t="s">
        <v>3</v>
      </c>
      <c r="I1687" t="s">
        <v>24</v>
      </c>
      <c r="J1687" t="s">
        <v>25</v>
      </c>
      <c r="K1687" t="s">
        <v>22</v>
      </c>
      <c r="L1687">
        <v>1</v>
      </c>
      <c r="M1687" s="12">
        <v>35800</v>
      </c>
      <c r="N1687" s="12">
        <v>28640</v>
      </c>
      <c r="O1687">
        <v>8</v>
      </c>
      <c r="P1687" s="12">
        <v>32936</v>
      </c>
      <c r="Q1687" s="12">
        <v>28640</v>
      </c>
      <c r="R1687" s="12">
        <v>4296</v>
      </c>
      <c r="S1687" t="s">
        <v>1246</v>
      </c>
      <c r="T1687" t="s">
        <v>109</v>
      </c>
      <c r="U1687" t="s">
        <v>1201</v>
      </c>
    </row>
    <row r="1688" spans="1:21" x14ac:dyDescent="0.25">
      <c r="A1688" t="s">
        <v>3672</v>
      </c>
      <c r="B1688" s="8">
        <v>45904</v>
      </c>
      <c r="C1688" t="s">
        <v>1271</v>
      </c>
      <c r="D1688" t="s">
        <v>545</v>
      </c>
      <c r="E1688" t="s">
        <v>218</v>
      </c>
      <c r="F1688">
        <v>42</v>
      </c>
      <c r="G1688" t="s">
        <v>4</v>
      </c>
      <c r="H1688" t="s">
        <v>3</v>
      </c>
      <c r="I1688" t="s">
        <v>32</v>
      </c>
      <c r="J1688" t="s">
        <v>29</v>
      </c>
      <c r="K1688" t="s">
        <v>22</v>
      </c>
      <c r="L1688">
        <v>4</v>
      </c>
      <c r="M1688" s="12">
        <v>9500</v>
      </c>
      <c r="N1688" s="12">
        <v>6650</v>
      </c>
      <c r="O1688">
        <v>8</v>
      </c>
      <c r="P1688" s="12">
        <v>34960</v>
      </c>
      <c r="Q1688" s="12">
        <v>26600</v>
      </c>
      <c r="R1688" s="12">
        <v>8360</v>
      </c>
      <c r="S1688" t="s">
        <v>1246</v>
      </c>
      <c r="T1688" t="s">
        <v>107</v>
      </c>
      <c r="U1688" t="s">
        <v>1203</v>
      </c>
    </row>
    <row r="1689" spans="1:21" x14ac:dyDescent="0.25">
      <c r="A1689" t="s">
        <v>3673</v>
      </c>
      <c r="B1689" s="8">
        <v>45803</v>
      </c>
      <c r="C1689" t="s">
        <v>3866</v>
      </c>
      <c r="D1689" t="s">
        <v>928</v>
      </c>
      <c r="E1689" t="s">
        <v>218</v>
      </c>
      <c r="F1689">
        <v>49</v>
      </c>
      <c r="G1689" t="s">
        <v>9</v>
      </c>
      <c r="H1689" t="s">
        <v>8</v>
      </c>
      <c r="I1689" t="s">
        <v>21</v>
      </c>
      <c r="J1689" t="s">
        <v>23</v>
      </c>
      <c r="K1689" t="s">
        <v>22</v>
      </c>
      <c r="L1689">
        <v>2</v>
      </c>
      <c r="M1689" s="12">
        <v>54999</v>
      </c>
      <c r="N1689" s="12">
        <v>45099.18</v>
      </c>
      <c r="O1689">
        <v>7</v>
      </c>
      <c r="P1689" s="12">
        <v>102298.14</v>
      </c>
      <c r="Q1689" s="12">
        <v>90198.36</v>
      </c>
      <c r="R1689" s="12">
        <v>12099.779999999999</v>
      </c>
      <c r="S1689" t="s">
        <v>113</v>
      </c>
      <c r="T1689" t="s">
        <v>108</v>
      </c>
      <c r="U1689" t="s">
        <v>1205</v>
      </c>
    </row>
    <row r="1690" spans="1:21" x14ac:dyDescent="0.25">
      <c r="A1690" t="s">
        <v>3674</v>
      </c>
      <c r="B1690" s="8">
        <v>45769</v>
      </c>
      <c r="C1690" t="s">
        <v>3061</v>
      </c>
      <c r="D1690" t="s">
        <v>709</v>
      </c>
      <c r="E1690" t="s">
        <v>218</v>
      </c>
      <c r="F1690">
        <v>28</v>
      </c>
      <c r="G1690" t="s">
        <v>17</v>
      </c>
      <c r="H1690" t="s">
        <v>15</v>
      </c>
      <c r="I1690" t="s">
        <v>51</v>
      </c>
      <c r="J1690" t="s">
        <v>54</v>
      </c>
      <c r="K1690" t="s">
        <v>43</v>
      </c>
      <c r="L1690">
        <v>5</v>
      </c>
      <c r="M1690" s="12">
        <v>27499</v>
      </c>
      <c r="N1690" s="12">
        <v>21724.210000000003</v>
      </c>
      <c r="O1690">
        <v>10</v>
      </c>
      <c r="P1690" s="12">
        <v>123745.5</v>
      </c>
      <c r="Q1690" s="12">
        <v>108621.05000000002</v>
      </c>
      <c r="R1690" s="12">
        <v>15124.449999999983</v>
      </c>
      <c r="S1690" t="s">
        <v>113</v>
      </c>
      <c r="T1690" t="s">
        <v>107</v>
      </c>
      <c r="U1690" t="s">
        <v>1198</v>
      </c>
    </row>
    <row r="1691" spans="1:21" x14ac:dyDescent="0.25">
      <c r="A1691" t="s">
        <v>3675</v>
      </c>
      <c r="B1691" s="8">
        <v>45785</v>
      </c>
      <c r="C1691" t="s">
        <v>2929</v>
      </c>
      <c r="D1691" t="s">
        <v>711</v>
      </c>
      <c r="E1691" t="s">
        <v>218</v>
      </c>
      <c r="F1691">
        <v>27</v>
      </c>
      <c r="G1691" t="s">
        <v>5</v>
      </c>
      <c r="H1691" t="s">
        <v>3</v>
      </c>
      <c r="I1691" t="s">
        <v>47</v>
      </c>
      <c r="J1691" t="s">
        <v>52</v>
      </c>
      <c r="K1691" t="s">
        <v>43</v>
      </c>
      <c r="L1691">
        <v>5</v>
      </c>
      <c r="M1691" s="12">
        <v>42999</v>
      </c>
      <c r="N1691" s="12">
        <v>33539.22</v>
      </c>
      <c r="O1691">
        <v>4</v>
      </c>
      <c r="P1691" s="12">
        <v>206395.19999999998</v>
      </c>
      <c r="Q1691" s="12">
        <v>167696.1</v>
      </c>
      <c r="R1691" s="12">
        <v>38699.099999999977</v>
      </c>
      <c r="S1691" t="s">
        <v>1246</v>
      </c>
      <c r="T1691" t="s">
        <v>108</v>
      </c>
      <c r="U1691" t="s">
        <v>1196</v>
      </c>
    </row>
    <row r="1692" spans="1:21" x14ac:dyDescent="0.25">
      <c r="A1692" t="s">
        <v>3676</v>
      </c>
      <c r="B1692" s="8">
        <v>45742</v>
      </c>
      <c r="C1692" t="s">
        <v>3025</v>
      </c>
      <c r="D1692" t="s">
        <v>1166</v>
      </c>
      <c r="E1692" t="s">
        <v>198</v>
      </c>
      <c r="F1692">
        <v>55</v>
      </c>
      <c r="G1692" t="s">
        <v>9</v>
      </c>
      <c r="H1692" t="s">
        <v>8</v>
      </c>
      <c r="I1692" t="s">
        <v>32</v>
      </c>
      <c r="J1692" t="s">
        <v>29</v>
      </c>
      <c r="K1692" t="s">
        <v>22</v>
      </c>
      <c r="L1692">
        <v>3</v>
      </c>
      <c r="M1692" s="12">
        <v>9500</v>
      </c>
      <c r="N1692" s="12">
        <v>6650</v>
      </c>
      <c r="O1692">
        <v>6</v>
      </c>
      <c r="P1692" s="12">
        <v>26790</v>
      </c>
      <c r="Q1692" s="12">
        <v>19950</v>
      </c>
      <c r="R1692" s="12">
        <v>6840</v>
      </c>
      <c r="S1692" t="s">
        <v>113</v>
      </c>
      <c r="T1692" t="s">
        <v>108</v>
      </c>
      <c r="U1692" t="s">
        <v>1199</v>
      </c>
    </row>
    <row r="1693" spans="1:21" x14ac:dyDescent="0.25">
      <c r="A1693" t="s">
        <v>3677</v>
      </c>
      <c r="B1693" s="8">
        <v>45950</v>
      </c>
      <c r="C1693" t="s">
        <v>2003</v>
      </c>
      <c r="D1693" t="s">
        <v>1089</v>
      </c>
      <c r="E1693" t="s">
        <v>198</v>
      </c>
      <c r="F1693">
        <v>49</v>
      </c>
      <c r="G1693" t="s">
        <v>4</v>
      </c>
      <c r="H1693" t="s">
        <v>3</v>
      </c>
      <c r="I1693" t="s">
        <v>53</v>
      </c>
      <c r="J1693" t="s">
        <v>48</v>
      </c>
      <c r="K1693" t="s">
        <v>43</v>
      </c>
      <c r="L1693">
        <v>2</v>
      </c>
      <c r="M1693" s="12">
        <v>6499</v>
      </c>
      <c r="N1693" s="12">
        <v>4549.2999999999993</v>
      </c>
      <c r="O1693">
        <v>7</v>
      </c>
      <c r="P1693" s="12">
        <v>12088.14</v>
      </c>
      <c r="Q1693" s="12">
        <v>9098.5999999999985</v>
      </c>
      <c r="R1693" s="12">
        <v>2989.5400000000009</v>
      </c>
      <c r="S1693" t="s">
        <v>1246</v>
      </c>
      <c r="T1693" t="s">
        <v>109</v>
      </c>
      <c r="U1693" t="s">
        <v>1196</v>
      </c>
    </row>
    <row r="1694" spans="1:21" x14ac:dyDescent="0.25">
      <c r="A1694" t="s">
        <v>3678</v>
      </c>
      <c r="B1694" s="8">
        <v>45907</v>
      </c>
      <c r="C1694" t="s">
        <v>1795</v>
      </c>
      <c r="D1694" t="s">
        <v>825</v>
      </c>
      <c r="E1694" t="s">
        <v>198</v>
      </c>
      <c r="F1694">
        <v>62</v>
      </c>
      <c r="G1694" t="s">
        <v>5</v>
      </c>
      <c r="H1694" t="s">
        <v>3</v>
      </c>
      <c r="I1694" t="s">
        <v>40</v>
      </c>
      <c r="J1694" t="s">
        <v>39</v>
      </c>
      <c r="K1694" t="s">
        <v>22</v>
      </c>
      <c r="L1694">
        <v>5</v>
      </c>
      <c r="M1694" s="12">
        <v>1100</v>
      </c>
      <c r="N1694" s="12">
        <v>715</v>
      </c>
      <c r="O1694">
        <v>3</v>
      </c>
      <c r="P1694" s="12">
        <v>5335</v>
      </c>
      <c r="Q1694" s="12">
        <v>3575</v>
      </c>
      <c r="R1694" s="12">
        <v>1760</v>
      </c>
      <c r="S1694" t="s">
        <v>1246</v>
      </c>
      <c r="T1694" t="s">
        <v>108</v>
      </c>
      <c r="U1694" t="s">
        <v>1205</v>
      </c>
    </row>
    <row r="1695" spans="1:21" x14ac:dyDescent="0.25">
      <c r="A1695" t="s">
        <v>3679</v>
      </c>
      <c r="B1695" s="8">
        <v>45810</v>
      </c>
      <c r="C1695" t="s">
        <v>2108</v>
      </c>
      <c r="D1695" t="s">
        <v>362</v>
      </c>
      <c r="E1695" t="s">
        <v>218</v>
      </c>
      <c r="F1695">
        <v>23</v>
      </c>
      <c r="G1695" t="s">
        <v>2</v>
      </c>
      <c r="H1695" t="s">
        <v>3</v>
      </c>
      <c r="I1695" t="s">
        <v>63</v>
      </c>
      <c r="J1695" t="s">
        <v>77</v>
      </c>
      <c r="K1695" t="s">
        <v>64</v>
      </c>
      <c r="L1695">
        <v>3</v>
      </c>
      <c r="M1695" s="12">
        <v>650</v>
      </c>
      <c r="N1695" s="12">
        <v>468</v>
      </c>
      <c r="O1695">
        <v>8</v>
      </c>
      <c r="P1695" s="12">
        <v>1794</v>
      </c>
      <c r="Q1695" s="12">
        <v>1404</v>
      </c>
      <c r="R1695" s="12">
        <v>390</v>
      </c>
      <c r="S1695" t="s">
        <v>1246</v>
      </c>
      <c r="T1695" t="s">
        <v>107</v>
      </c>
      <c r="U1695" t="s">
        <v>1211</v>
      </c>
    </row>
    <row r="1696" spans="1:21" x14ac:dyDescent="0.25">
      <c r="A1696" t="s">
        <v>3680</v>
      </c>
      <c r="B1696" s="8">
        <v>45964</v>
      </c>
      <c r="C1696" t="s">
        <v>2219</v>
      </c>
      <c r="D1696" t="s">
        <v>1160</v>
      </c>
      <c r="E1696" t="s">
        <v>198</v>
      </c>
      <c r="F1696">
        <v>49</v>
      </c>
      <c r="G1696" t="s">
        <v>14</v>
      </c>
      <c r="H1696" t="s">
        <v>15</v>
      </c>
      <c r="I1696" t="s">
        <v>53</v>
      </c>
      <c r="J1696" t="s">
        <v>48</v>
      </c>
      <c r="K1696" t="s">
        <v>43</v>
      </c>
      <c r="L1696">
        <v>3</v>
      </c>
      <c r="M1696" s="12">
        <v>6499</v>
      </c>
      <c r="N1696" s="12">
        <v>4549.2999999999993</v>
      </c>
      <c r="O1696">
        <v>19</v>
      </c>
      <c r="P1696" s="12">
        <v>15792.570000000002</v>
      </c>
      <c r="Q1696" s="12">
        <v>13647.899999999998</v>
      </c>
      <c r="R1696" s="12">
        <v>2144.6700000000037</v>
      </c>
      <c r="S1696" t="s">
        <v>1246</v>
      </c>
      <c r="T1696" t="s">
        <v>110</v>
      </c>
      <c r="U1696" t="s">
        <v>1211</v>
      </c>
    </row>
    <row r="1697" spans="1:21" x14ac:dyDescent="0.25">
      <c r="A1697" t="s">
        <v>3681</v>
      </c>
      <c r="B1697" s="8">
        <v>45677</v>
      </c>
      <c r="C1697" t="s">
        <v>1259</v>
      </c>
      <c r="D1697" t="s">
        <v>1156</v>
      </c>
      <c r="E1697" t="s">
        <v>198</v>
      </c>
      <c r="F1697">
        <v>50</v>
      </c>
      <c r="G1697" t="s">
        <v>14</v>
      </c>
      <c r="H1697" t="s">
        <v>15</v>
      </c>
      <c r="I1697" t="s">
        <v>21</v>
      </c>
      <c r="J1697" t="s">
        <v>23</v>
      </c>
      <c r="K1697" t="s">
        <v>22</v>
      </c>
      <c r="L1697">
        <v>3</v>
      </c>
      <c r="M1697" s="12">
        <v>54999</v>
      </c>
      <c r="N1697" s="12">
        <v>45099.18</v>
      </c>
      <c r="O1697">
        <v>6</v>
      </c>
      <c r="P1697" s="12">
        <v>155097.18</v>
      </c>
      <c r="Q1697" s="12">
        <v>135297.54</v>
      </c>
      <c r="R1697" s="12">
        <v>19799.639999999985</v>
      </c>
      <c r="S1697" t="s">
        <v>1246</v>
      </c>
      <c r="T1697" t="s">
        <v>108</v>
      </c>
      <c r="U1697" t="s">
        <v>1198</v>
      </c>
    </row>
    <row r="1698" spans="1:21" x14ac:dyDescent="0.25">
      <c r="A1698" t="s">
        <v>3682</v>
      </c>
      <c r="B1698" s="8">
        <v>45833</v>
      </c>
      <c r="C1698" t="s">
        <v>1285</v>
      </c>
      <c r="D1698" t="s">
        <v>694</v>
      </c>
      <c r="E1698" t="s">
        <v>218</v>
      </c>
      <c r="F1698">
        <v>28</v>
      </c>
      <c r="G1698" t="s">
        <v>7</v>
      </c>
      <c r="H1698" t="s">
        <v>8</v>
      </c>
      <c r="I1698" t="s">
        <v>21</v>
      </c>
      <c r="J1698" t="s">
        <v>23</v>
      </c>
      <c r="K1698" t="s">
        <v>22</v>
      </c>
      <c r="L1698">
        <v>1</v>
      </c>
      <c r="M1698" s="12">
        <v>54999</v>
      </c>
      <c r="N1698" s="12">
        <v>45099.18</v>
      </c>
      <c r="O1698">
        <v>7</v>
      </c>
      <c r="P1698" s="12">
        <v>51149.07</v>
      </c>
      <c r="Q1698" s="12">
        <v>45099.18</v>
      </c>
      <c r="R1698" s="12">
        <v>6049.8899999999994</v>
      </c>
      <c r="S1698" t="s">
        <v>1246</v>
      </c>
      <c r="T1698" t="s">
        <v>111</v>
      </c>
      <c r="U1698" t="s">
        <v>1196</v>
      </c>
    </row>
    <row r="1699" spans="1:21" x14ac:dyDescent="0.25">
      <c r="A1699" t="s">
        <v>3683</v>
      </c>
      <c r="B1699" s="8">
        <v>45776</v>
      </c>
      <c r="C1699" t="s">
        <v>2878</v>
      </c>
      <c r="D1699" t="s">
        <v>525</v>
      </c>
      <c r="E1699" t="s">
        <v>198</v>
      </c>
      <c r="F1699">
        <v>24</v>
      </c>
      <c r="G1699" t="s">
        <v>16</v>
      </c>
      <c r="H1699" t="s">
        <v>15</v>
      </c>
      <c r="I1699" t="s">
        <v>30</v>
      </c>
      <c r="J1699" t="s">
        <v>41</v>
      </c>
      <c r="K1699" t="s">
        <v>22</v>
      </c>
      <c r="L1699">
        <v>1</v>
      </c>
      <c r="M1699" s="12">
        <v>13749</v>
      </c>
      <c r="N1699" s="12">
        <v>10999.2</v>
      </c>
      <c r="O1699">
        <v>5</v>
      </c>
      <c r="P1699" s="12">
        <v>13061.55</v>
      </c>
      <c r="Q1699" s="12">
        <v>10999.2</v>
      </c>
      <c r="R1699" s="12">
        <v>2062.3499999999985</v>
      </c>
      <c r="S1699" t="s">
        <v>1249</v>
      </c>
      <c r="T1699" t="s">
        <v>108</v>
      </c>
      <c r="U1699" t="s">
        <v>1203</v>
      </c>
    </row>
    <row r="1700" spans="1:21" x14ac:dyDescent="0.25">
      <c r="A1700" t="s">
        <v>3684</v>
      </c>
      <c r="B1700" s="8">
        <v>45659</v>
      </c>
      <c r="C1700" t="s">
        <v>2113</v>
      </c>
      <c r="D1700" t="s">
        <v>790</v>
      </c>
      <c r="E1700" t="s">
        <v>198</v>
      </c>
      <c r="F1700">
        <v>58</v>
      </c>
      <c r="G1700" t="s">
        <v>2</v>
      </c>
      <c r="H1700" t="s">
        <v>3</v>
      </c>
      <c r="I1700" t="s">
        <v>53</v>
      </c>
      <c r="J1700" t="s">
        <v>48</v>
      </c>
      <c r="K1700" t="s">
        <v>43</v>
      </c>
      <c r="L1700">
        <v>3</v>
      </c>
      <c r="M1700" s="12">
        <v>6499</v>
      </c>
      <c r="N1700" s="12">
        <v>4549.2999999999993</v>
      </c>
      <c r="O1700">
        <v>5</v>
      </c>
      <c r="P1700" s="12">
        <v>18522.149999999998</v>
      </c>
      <c r="Q1700" s="12">
        <v>13647.899999999998</v>
      </c>
      <c r="R1700" s="12">
        <v>4874.25</v>
      </c>
      <c r="S1700" t="s">
        <v>1249</v>
      </c>
      <c r="T1700" t="s">
        <v>109</v>
      </c>
      <c r="U1700" t="s">
        <v>1209</v>
      </c>
    </row>
    <row r="1701" spans="1:21" x14ac:dyDescent="0.25">
      <c r="A1701" t="s">
        <v>3686</v>
      </c>
      <c r="B1701" s="8">
        <v>45951</v>
      </c>
      <c r="C1701" t="s">
        <v>2263</v>
      </c>
      <c r="D1701" t="s">
        <v>796</v>
      </c>
      <c r="E1701" t="s">
        <v>218</v>
      </c>
      <c r="F1701">
        <v>60</v>
      </c>
      <c r="G1701" t="s">
        <v>290</v>
      </c>
      <c r="H1701" t="s">
        <v>3</v>
      </c>
      <c r="I1701" t="s">
        <v>21</v>
      </c>
      <c r="J1701" t="s">
        <v>23</v>
      </c>
      <c r="K1701" t="s">
        <v>22</v>
      </c>
      <c r="L1701">
        <v>1</v>
      </c>
      <c r="M1701" s="12">
        <v>54999</v>
      </c>
      <c r="N1701" s="12">
        <v>45099.18</v>
      </c>
      <c r="O1701">
        <v>4</v>
      </c>
      <c r="P1701" s="12">
        <v>52799.040000000001</v>
      </c>
      <c r="Q1701" s="12">
        <v>45099.18</v>
      </c>
      <c r="R1701" s="12">
        <v>7699.8600000000006</v>
      </c>
      <c r="S1701" t="s">
        <v>1246</v>
      </c>
      <c r="T1701" t="s">
        <v>109</v>
      </c>
      <c r="U1701" t="s">
        <v>1209</v>
      </c>
    </row>
    <row r="1702" spans="1:21" x14ac:dyDescent="0.25">
      <c r="A1702" t="s">
        <v>3688</v>
      </c>
      <c r="B1702" s="8">
        <v>45877</v>
      </c>
      <c r="C1702" t="s">
        <v>1731</v>
      </c>
      <c r="D1702" t="s">
        <v>865</v>
      </c>
      <c r="E1702" t="s">
        <v>198</v>
      </c>
      <c r="F1702">
        <v>43</v>
      </c>
      <c r="G1702" t="s">
        <v>10</v>
      </c>
      <c r="H1702" t="s">
        <v>8</v>
      </c>
      <c r="I1702" t="s">
        <v>24</v>
      </c>
      <c r="J1702" t="s">
        <v>25</v>
      </c>
      <c r="K1702" t="s">
        <v>22</v>
      </c>
      <c r="L1702">
        <v>3</v>
      </c>
      <c r="M1702" s="12">
        <v>35800</v>
      </c>
      <c r="N1702" s="12">
        <v>28640</v>
      </c>
      <c r="O1702">
        <v>8</v>
      </c>
      <c r="P1702" s="12">
        <v>98808</v>
      </c>
      <c r="Q1702" s="12">
        <v>85920</v>
      </c>
      <c r="R1702" s="12">
        <v>12888</v>
      </c>
      <c r="S1702" t="s">
        <v>1246</v>
      </c>
      <c r="T1702" t="s">
        <v>108</v>
      </c>
      <c r="U1702" t="s">
        <v>1194</v>
      </c>
    </row>
    <row r="1703" spans="1:21" x14ac:dyDescent="0.25">
      <c r="A1703" t="s">
        <v>3689</v>
      </c>
      <c r="B1703" s="8">
        <v>45811</v>
      </c>
      <c r="C1703" t="s">
        <v>3882</v>
      </c>
      <c r="D1703" t="s">
        <v>568</v>
      </c>
      <c r="E1703" t="s">
        <v>218</v>
      </c>
      <c r="F1703">
        <v>45</v>
      </c>
      <c r="G1703" t="s">
        <v>17</v>
      </c>
      <c r="H1703" t="s">
        <v>15</v>
      </c>
      <c r="I1703" t="s">
        <v>24</v>
      </c>
      <c r="J1703" t="s">
        <v>25</v>
      </c>
      <c r="K1703" t="s">
        <v>22</v>
      </c>
      <c r="L1703">
        <v>3</v>
      </c>
      <c r="M1703" s="12">
        <v>35800</v>
      </c>
      <c r="N1703" s="12">
        <v>28640</v>
      </c>
      <c r="O1703">
        <v>10</v>
      </c>
      <c r="P1703" s="12">
        <v>96660</v>
      </c>
      <c r="Q1703" s="12">
        <v>85920</v>
      </c>
      <c r="R1703" s="12">
        <v>10740</v>
      </c>
      <c r="S1703" t="s">
        <v>1246</v>
      </c>
      <c r="T1703" t="s">
        <v>107</v>
      </c>
      <c r="U1703" t="s">
        <v>1205</v>
      </c>
    </row>
    <row r="1704" spans="1:21" x14ac:dyDescent="0.25">
      <c r="A1704" t="s">
        <v>3691</v>
      </c>
      <c r="B1704" s="8">
        <v>45788</v>
      </c>
      <c r="C1704" t="s">
        <v>2565</v>
      </c>
      <c r="D1704" t="s">
        <v>566</v>
      </c>
      <c r="E1704" t="s">
        <v>218</v>
      </c>
      <c r="F1704">
        <v>19</v>
      </c>
      <c r="G1704" t="s">
        <v>2</v>
      </c>
      <c r="H1704" t="s">
        <v>3</v>
      </c>
      <c r="I1704" t="s">
        <v>53</v>
      </c>
      <c r="J1704" t="s">
        <v>48</v>
      </c>
      <c r="K1704" t="s">
        <v>43</v>
      </c>
      <c r="L1704">
        <v>1</v>
      </c>
      <c r="M1704" s="12">
        <v>6499</v>
      </c>
      <c r="N1704" s="12">
        <v>4549.2999999999993</v>
      </c>
      <c r="O1704">
        <v>5</v>
      </c>
      <c r="P1704" s="12">
        <v>6174.0499999999993</v>
      </c>
      <c r="Q1704" s="12">
        <v>4549.2999999999993</v>
      </c>
      <c r="R1704" s="12">
        <v>1624.75</v>
      </c>
      <c r="S1704" t="s">
        <v>1246</v>
      </c>
      <c r="T1704" t="s">
        <v>107</v>
      </c>
      <c r="U1704" t="s">
        <v>1198</v>
      </c>
    </row>
    <row r="1705" spans="1:21" x14ac:dyDescent="0.25">
      <c r="A1705" t="s">
        <v>3692</v>
      </c>
      <c r="B1705" s="8">
        <v>45702</v>
      </c>
      <c r="C1705" t="s">
        <v>1293</v>
      </c>
      <c r="D1705" t="s">
        <v>1113</v>
      </c>
      <c r="E1705" t="s">
        <v>198</v>
      </c>
      <c r="F1705">
        <v>50</v>
      </c>
      <c r="G1705" t="s">
        <v>14</v>
      </c>
      <c r="H1705" t="s">
        <v>15</v>
      </c>
      <c r="I1705" t="s">
        <v>28</v>
      </c>
      <c r="J1705" t="s">
        <v>35</v>
      </c>
      <c r="K1705" t="s">
        <v>22</v>
      </c>
      <c r="L1705">
        <v>1</v>
      </c>
      <c r="M1705" s="12">
        <v>16499</v>
      </c>
      <c r="N1705" s="12">
        <v>14519.12</v>
      </c>
      <c r="O1705">
        <v>8</v>
      </c>
      <c r="P1705" s="12">
        <v>15179.08</v>
      </c>
      <c r="Q1705" s="12">
        <v>14519.12</v>
      </c>
      <c r="R1705" s="12">
        <v>659.95999999999913</v>
      </c>
      <c r="S1705" t="s">
        <v>1246</v>
      </c>
      <c r="T1705" t="s">
        <v>109</v>
      </c>
      <c r="U1705" t="s">
        <v>1205</v>
      </c>
    </row>
    <row r="1706" spans="1:21" x14ac:dyDescent="0.25">
      <c r="A1706" t="s">
        <v>3693</v>
      </c>
      <c r="B1706" s="8">
        <v>45658</v>
      </c>
      <c r="C1706" t="s">
        <v>2962</v>
      </c>
      <c r="D1706" t="s">
        <v>584</v>
      </c>
      <c r="E1706" t="s">
        <v>218</v>
      </c>
      <c r="F1706">
        <v>46</v>
      </c>
      <c r="G1706" t="s">
        <v>11</v>
      </c>
      <c r="H1706" t="s">
        <v>12</v>
      </c>
      <c r="I1706" t="s">
        <v>49</v>
      </c>
      <c r="J1706" t="s">
        <v>56</v>
      </c>
      <c r="K1706" t="s">
        <v>43</v>
      </c>
      <c r="L1706">
        <v>3</v>
      </c>
      <c r="M1706" s="12">
        <v>31999</v>
      </c>
      <c r="N1706" s="12">
        <v>25599.200000000001</v>
      </c>
      <c r="O1706">
        <v>4</v>
      </c>
      <c r="P1706" s="12">
        <v>92157.119999999995</v>
      </c>
      <c r="Q1706" s="12">
        <v>76797.600000000006</v>
      </c>
      <c r="R1706" s="12">
        <v>15359.51999999999</v>
      </c>
      <c r="S1706" t="s">
        <v>1246</v>
      </c>
      <c r="T1706" t="s">
        <v>108</v>
      </c>
      <c r="U1706" t="s">
        <v>1205</v>
      </c>
    </row>
    <row r="1707" spans="1:21" x14ac:dyDescent="0.25">
      <c r="A1707" t="s">
        <v>3694</v>
      </c>
      <c r="B1707" s="8">
        <v>45913</v>
      </c>
      <c r="C1707" t="s">
        <v>3810</v>
      </c>
      <c r="D1707" t="s">
        <v>516</v>
      </c>
      <c r="E1707" t="s">
        <v>198</v>
      </c>
      <c r="F1707">
        <v>59</v>
      </c>
      <c r="G1707" t="s">
        <v>4</v>
      </c>
      <c r="H1707" t="s">
        <v>3</v>
      </c>
      <c r="I1707" t="s">
        <v>55</v>
      </c>
      <c r="J1707" t="s">
        <v>65</v>
      </c>
      <c r="K1707" t="s">
        <v>64</v>
      </c>
      <c r="L1707">
        <v>1</v>
      </c>
      <c r="M1707" s="12">
        <v>80</v>
      </c>
      <c r="N1707" s="12">
        <v>56</v>
      </c>
      <c r="O1707">
        <v>5</v>
      </c>
      <c r="P1707" s="12">
        <v>76</v>
      </c>
      <c r="Q1707" s="12">
        <v>56</v>
      </c>
      <c r="R1707" s="12">
        <v>20</v>
      </c>
      <c r="S1707" t="s">
        <v>1246</v>
      </c>
      <c r="T1707" t="s">
        <v>107</v>
      </c>
      <c r="U1707" t="s">
        <v>1211</v>
      </c>
    </row>
    <row r="1708" spans="1:21" x14ac:dyDescent="0.25">
      <c r="A1708" t="s">
        <v>3695</v>
      </c>
      <c r="B1708" s="8">
        <v>45924</v>
      </c>
      <c r="C1708" t="s">
        <v>2991</v>
      </c>
      <c r="D1708" t="s">
        <v>784</v>
      </c>
      <c r="E1708" t="s">
        <v>218</v>
      </c>
      <c r="F1708">
        <v>43</v>
      </c>
      <c r="G1708" t="s">
        <v>17</v>
      </c>
      <c r="H1708" t="s">
        <v>15</v>
      </c>
      <c r="I1708" t="s">
        <v>59</v>
      </c>
      <c r="J1708" t="s">
        <v>73</v>
      </c>
      <c r="K1708" t="s">
        <v>64</v>
      </c>
      <c r="L1708">
        <v>4</v>
      </c>
      <c r="M1708" s="12">
        <v>120</v>
      </c>
      <c r="N1708" s="12">
        <v>81.599999999999994</v>
      </c>
      <c r="O1708">
        <v>1</v>
      </c>
      <c r="P1708" s="12">
        <v>475.2</v>
      </c>
      <c r="Q1708" s="12">
        <v>326.39999999999998</v>
      </c>
      <c r="R1708" s="12">
        <v>148.80000000000001</v>
      </c>
      <c r="S1708" t="s">
        <v>113</v>
      </c>
      <c r="T1708" t="s">
        <v>107</v>
      </c>
      <c r="U1708" t="s">
        <v>1201</v>
      </c>
    </row>
    <row r="1709" spans="1:21" x14ac:dyDescent="0.25">
      <c r="A1709" t="s">
        <v>3697</v>
      </c>
      <c r="B1709" s="8">
        <v>45803</v>
      </c>
      <c r="C1709" t="s">
        <v>3103</v>
      </c>
      <c r="D1709" t="s">
        <v>1124</v>
      </c>
      <c r="E1709" t="s">
        <v>218</v>
      </c>
      <c r="F1709">
        <v>56</v>
      </c>
      <c r="G1709" t="s">
        <v>10</v>
      </c>
      <c r="H1709" t="s">
        <v>8</v>
      </c>
      <c r="I1709" t="s">
        <v>45</v>
      </c>
      <c r="J1709" t="s">
        <v>46</v>
      </c>
      <c r="K1709" t="s">
        <v>43</v>
      </c>
      <c r="L1709">
        <v>3</v>
      </c>
      <c r="M1709" s="12">
        <v>11999</v>
      </c>
      <c r="N1709" s="12">
        <v>8999.25</v>
      </c>
      <c r="O1709">
        <v>4</v>
      </c>
      <c r="P1709" s="12">
        <v>34557.119999999995</v>
      </c>
      <c r="Q1709" s="12">
        <v>26997.75</v>
      </c>
      <c r="R1709" s="12">
        <v>7559.3699999999953</v>
      </c>
      <c r="S1709" t="s">
        <v>1246</v>
      </c>
      <c r="T1709" t="s">
        <v>107</v>
      </c>
      <c r="U1709" t="s">
        <v>1207</v>
      </c>
    </row>
    <row r="1710" spans="1:21" x14ac:dyDescent="0.25">
      <c r="A1710" t="s">
        <v>3699</v>
      </c>
      <c r="B1710" s="8">
        <v>45995</v>
      </c>
      <c r="C1710" t="s">
        <v>1396</v>
      </c>
      <c r="D1710" t="s">
        <v>1153</v>
      </c>
      <c r="E1710" t="s">
        <v>218</v>
      </c>
      <c r="F1710">
        <v>49</v>
      </c>
      <c r="G1710" t="s">
        <v>10</v>
      </c>
      <c r="H1710" t="s">
        <v>8</v>
      </c>
      <c r="I1710" t="s">
        <v>34</v>
      </c>
      <c r="J1710" t="s">
        <v>137</v>
      </c>
      <c r="K1710" t="s">
        <v>22</v>
      </c>
      <c r="L1710">
        <v>4</v>
      </c>
      <c r="M1710" s="12">
        <v>6900</v>
      </c>
      <c r="N1710" s="12">
        <v>5727</v>
      </c>
      <c r="O1710">
        <v>13</v>
      </c>
      <c r="P1710" s="12">
        <v>24012</v>
      </c>
      <c r="Q1710" s="12">
        <v>22908</v>
      </c>
      <c r="R1710" s="12">
        <v>1104</v>
      </c>
      <c r="S1710" t="s">
        <v>113</v>
      </c>
      <c r="T1710" t="s">
        <v>107</v>
      </c>
      <c r="U1710" t="s">
        <v>1198</v>
      </c>
    </row>
    <row r="1711" spans="1:21" x14ac:dyDescent="0.25">
      <c r="A1711" t="s">
        <v>3700</v>
      </c>
      <c r="B1711" s="8">
        <v>45815</v>
      </c>
      <c r="C1711" t="s">
        <v>1927</v>
      </c>
      <c r="D1711" t="s">
        <v>1041</v>
      </c>
      <c r="E1711" t="s">
        <v>198</v>
      </c>
      <c r="F1711">
        <v>26</v>
      </c>
      <c r="G1711" t="s">
        <v>7</v>
      </c>
      <c r="H1711" t="s">
        <v>8</v>
      </c>
      <c r="I1711" t="s">
        <v>30</v>
      </c>
      <c r="J1711" t="s">
        <v>41</v>
      </c>
      <c r="K1711" t="s">
        <v>22</v>
      </c>
      <c r="L1711">
        <v>3</v>
      </c>
      <c r="M1711" s="12">
        <v>13749</v>
      </c>
      <c r="N1711" s="12">
        <v>10999.2</v>
      </c>
      <c r="O1711">
        <v>7</v>
      </c>
      <c r="P1711" s="12">
        <v>38359.71</v>
      </c>
      <c r="Q1711" s="12">
        <v>32997.600000000006</v>
      </c>
      <c r="R1711" s="12">
        <v>5362.1099999999933</v>
      </c>
      <c r="S1711" t="s">
        <v>1246</v>
      </c>
      <c r="T1711" t="s">
        <v>107</v>
      </c>
      <c r="U1711" t="s">
        <v>1209</v>
      </c>
    </row>
    <row r="1712" spans="1:21" x14ac:dyDescent="0.25">
      <c r="A1712" t="s">
        <v>3702</v>
      </c>
      <c r="B1712" s="8">
        <v>45732</v>
      </c>
      <c r="C1712" t="s">
        <v>2735</v>
      </c>
      <c r="D1712" t="s">
        <v>793</v>
      </c>
      <c r="E1712" t="s">
        <v>198</v>
      </c>
      <c r="F1712">
        <v>35</v>
      </c>
      <c r="G1712" t="s">
        <v>9</v>
      </c>
      <c r="H1712" t="s">
        <v>8</v>
      </c>
      <c r="I1712" t="s">
        <v>49</v>
      </c>
      <c r="J1712" t="s">
        <v>56</v>
      </c>
      <c r="K1712" t="s">
        <v>43</v>
      </c>
      <c r="L1712">
        <v>4</v>
      </c>
      <c r="M1712" s="12">
        <v>31999</v>
      </c>
      <c r="N1712" s="12">
        <v>25599.200000000001</v>
      </c>
      <c r="O1712">
        <v>7</v>
      </c>
      <c r="P1712" s="12">
        <v>119036.28</v>
      </c>
      <c r="Q1712" s="12">
        <v>102396.8</v>
      </c>
      <c r="R1712" s="12">
        <v>16639.479999999996</v>
      </c>
      <c r="S1712" t="s">
        <v>1246</v>
      </c>
      <c r="T1712" t="s">
        <v>107</v>
      </c>
      <c r="U1712" t="s">
        <v>1203</v>
      </c>
    </row>
    <row r="1713" spans="1:21" x14ac:dyDescent="0.25">
      <c r="A1713" t="s">
        <v>3703</v>
      </c>
      <c r="B1713" s="8">
        <v>45755</v>
      </c>
      <c r="C1713" t="s">
        <v>1680</v>
      </c>
      <c r="D1713" t="s">
        <v>966</v>
      </c>
      <c r="E1713" t="s">
        <v>198</v>
      </c>
      <c r="F1713">
        <v>18</v>
      </c>
      <c r="G1713" t="s">
        <v>14</v>
      </c>
      <c r="H1713" t="s">
        <v>15</v>
      </c>
      <c r="I1713" t="s">
        <v>34</v>
      </c>
      <c r="J1713" t="s">
        <v>137</v>
      </c>
      <c r="K1713" t="s">
        <v>22</v>
      </c>
      <c r="L1713">
        <v>4</v>
      </c>
      <c r="M1713" s="12">
        <v>6900</v>
      </c>
      <c r="N1713" s="12">
        <v>5727</v>
      </c>
      <c r="O1713">
        <v>3</v>
      </c>
      <c r="P1713" s="12">
        <v>26772</v>
      </c>
      <c r="Q1713" s="12">
        <v>22908</v>
      </c>
      <c r="R1713" s="12">
        <v>3864</v>
      </c>
      <c r="S1713" t="s">
        <v>1246</v>
      </c>
      <c r="T1713" t="s">
        <v>107</v>
      </c>
      <c r="U1713" t="s">
        <v>1198</v>
      </c>
    </row>
    <row r="1714" spans="1:21" x14ac:dyDescent="0.25">
      <c r="A1714" t="s">
        <v>3705</v>
      </c>
      <c r="B1714" s="8">
        <v>45985</v>
      </c>
      <c r="C1714" t="s">
        <v>1337</v>
      </c>
      <c r="D1714" t="s">
        <v>1183</v>
      </c>
      <c r="E1714" t="s">
        <v>198</v>
      </c>
      <c r="F1714">
        <v>37</v>
      </c>
      <c r="G1714" t="s">
        <v>11</v>
      </c>
      <c r="H1714" t="s">
        <v>12</v>
      </c>
      <c r="I1714" t="s">
        <v>34</v>
      </c>
      <c r="J1714" t="s">
        <v>137</v>
      </c>
      <c r="K1714" t="s">
        <v>22</v>
      </c>
      <c r="L1714">
        <v>3</v>
      </c>
      <c r="M1714" s="12">
        <v>6900</v>
      </c>
      <c r="N1714" s="12">
        <v>5727</v>
      </c>
      <c r="O1714">
        <v>10</v>
      </c>
      <c r="P1714" s="12">
        <v>18630</v>
      </c>
      <c r="Q1714" s="12">
        <v>17181</v>
      </c>
      <c r="R1714" s="12">
        <v>1449</v>
      </c>
      <c r="S1714" t="s">
        <v>1246</v>
      </c>
      <c r="T1714" t="s">
        <v>108</v>
      </c>
      <c r="U1714" t="s">
        <v>1211</v>
      </c>
    </row>
    <row r="1715" spans="1:21" x14ac:dyDescent="0.25">
      <c r="A1715" t="s">
        <v>3706</v>
      </c>
      <c r="B1715" s="8">
        <v>45719</v>
      </c>
      <c r="C1715" t="s">
        <v>1582</v>
      </c>
      <c r="D1715" t="s">
        <v>824</v>
      </c>
      <c r="E1715" t="s">
        <v>198</v>
      </c>
      <c r="F1715">
        <v>39</v>
      </c>
      <c r="G1715" t="s">
        <v>2</v>
      </c>
      <c r="H1715" t="s">
        <v>3</v>
      </c>
      <c r="I1715" t="s">
        <v>32</v>
      </c>
      <c r="J1715" t="s">
        <v>29</v>
      </c>
      <c r="K1715" t="s">
        <v>22</v>
      </c>
      <c r="L1715">
        <v>2</v>
      </c>
      <c r="M1715" s="12">
        <v>9500</v>
      </c>
      <c r="N1715" s="12">
        <v>6650</v>
      </c>
      <c r="O1715">
        <v>7</v>
      </c>
      <c r="P1715" s="12">
        <v>17670</v>
      </c>
      <c r="Q1715" s="12">
        <v>13300</v>
      </c>
      <c r="R1715" s="12">
        <v>4370</v>
      </c>
      <c r="S1715" t="s">
        <v>1246</v>
      </c>
      <c r="T1715" t="s">
        <v>107</v>
      </c>
      <c r="U1715" t="s">
        <v>1196</v>
      </c>
    </row>
    <row r="1716" spans="1:21" x14ac:dyDescent="0.25">
      <c r="A1716" t="s">
        <v>3707</v>
      </c>
      <c r="B1716" s="8">
        <v>45737</v>
      </c>
      <c r="C1716" t="s">
        <v>2141</v>
      </c>
      <c r="D1716" t="s">
        <v>861</v>
      </c>
      <c r="E1716" t="s">
        <v>198</v>
      </c>
      <c r="F1716">
        <v>26</v>
      </c>
      <c r="G1716" t="s">
        <v>7</v>
      </c>
      <c r="H1716" t="s">
        <v>8</v>
      </c>
      <c r="I1716" t="s">
        <v>32</v>
      </c>
      <c r="J1716" t="s">
        <v>29</v>
      </c>
      <c r="K1716" t="s">
        <v>22</v>
      </c>
      <c r="L1716">
        <v>4</v>
      </c>
      <c r="M1716" s="12">
        <v>9500</v>
      </c>
      <c r="N1716" s="12">
        <v>6650</v>
      </c>
      <c r="O1716">
        <v>8</v>
      </c>
      <c r="P1716" s="12">
        <v>34960</v>
      </c>
      <c r="Q1716" s="12">
        <v>26600</v>
      </c>
      <c r="R1716" s="12">
        <v>8360</v>
      </c>
      <c r="S1716" t="s">
        <v>113</v>
      </c>
      <c r="T1716" t="s">
        <v>108</v>
      </c>
      <c r="U1716" t="s">
        <v>1194</v>
      </c>
    </row>
    <row r="1717" spans="1:21" x14ac:dyDescent="0.25">
      <c r="A1717" t="s">
        <v>3708</v>
      </c>
      <c r="B1717" s="8">
        <v>45777</v>
      </c>
      <c r="C1717" t="s">
        <v>2692</v>
      </c>
      <c r="D1717" t="s">
        <v>488</v>
      </c>
      <c r="E1717" t="s">
        <v>198</v>
      </c>
      <c r="F1717">
        <v>18</v>
      </c>
      <c r="G1717" t="s">
        <v>7</v>
      </c>
      <c r="H1717" t="s">
        <v>8</v>
      </c>
      <c r="I1717" t="s">
        <v>38</v>
      </c>
      <c r="J1717" t="s">
        <v>37</v>
      </c>
      <c r="K1717" t="s">
        <v>22</v>
      </c>
      <c r="L1717">
        <v>4</v>
      </c>
      <c r="M1717" s="12">
        <v>1650</v>
      </c>
      <c r="N1717" s="12">
        <v>990</v>
      </c>
      <c r="O1717">
        <v>4</v>
      </c>
      <c r="P1717" s="12">
        <v>6336</v>
      </c>
      <c r="Q1717" s="12">
        <v>3960</v>
      </c>
      <c r="R1717" s="12">
        <v>2376</v>
      </c>
      <c r="S1717" t="s">
        <v>113</v>
      </c>
      <c r="T1717" t="s">
        <v>107</v>
      </c>
      <c r="U1717" t="s">
        <v>1205</v>
      </c>
    </row>
    <row r="1718" spans="1:21" x14ac:dyDescent="0.25">
      <c r="A1718" t="s">
        <v>3709</v>
      </c>
      <c r="B1718" s="8">
        <v>45726</v>
      </c>
      <c r="C1718" t="s">
        <v>1684</v>
      </c>
      <c r="D1718" t="s">
        <v>999</v>
      </c>
      <c r="E1718" t="s">
        <v>198</v>
      </c>
      <c r="F1718">
        <v>58</v>
      </c>
      <c r="G1718" t="s">
        <v>9</v>
      </c>
      <c r="H1718" t="s">
        <v>8</v>
      </c>
      <c r="I1718" t="s">
        <v>47</v>
      </c>
      <c r="J1718" t="s">
        <v>52</v>
      </c>
      <c r="K1718" t="s">
        <v>43</v>
      </c>
      <c r="L1718">
        <v>1</v>
      </c>
      <c r="M1718" s="12">
        <v>42999</v>
      </c>
      <c r="N1718" s="12">
        <v>33539.22</v>
      </c>
      <c r="O1718">
        <v>7</v>
      </c>
      <c r="P1718" s="12">
        <v>39989.07</v>
      </c>
      <c r="Q1718" s="12">
        <v>33539.22</v>
      </c>
      <c r="R1718" s="12">
        <v>6449.8499999999985</v>
      </c>
      <c r="S1718" t="s">
        <v>113</v>
      </c>
      <c r="T1718" t="s">
        <v>107</v>
      </c>
      <c r="U1718" t="s">
        <v>1201</v>
      </c>
    </row>
    <row r="1719" spans="1:21" x14ac:dyDescent="0.25">
      <c r="A1719" t="s">
        <v>3711</v>
      </c>
      <c r="B1719" s="8">
        <v>45756</v>
      </c>
      <c r="C1719" t="s">
        <v>1361</v>
      </c>
      <c r="D1719" t="s">
        <v>1141</v>
      </c>
      <c r="E1719" t="s">
        <v>218</v>
      </c>
      <c r="F1719">
        <v>31</v>
      </c>
      <c r="G1719" t="s">
        <v>290</v>
      </c>
      <c r="H1719" t="s">
        <v>3</v>
      </c>
      <c r="I1719" t="s">
        <v>59</v>
      </c>
      <c r="J1719" t="s">
        <v>73</v>
      </c>
      <c r="K1719" t="s">
        <v>64</v>
      </c>
      <c r="L1719">
        <v>4</v>
      </c>
      <c r="M1719" s="12">
        <v>120</v>
      </c>
      <c r="N1719" s="12">
        <v>81.599999999999994</v>
      </c>
      <c r="O1719">
        <v>0</v>
      </c>
      <c r="P1719" s="12">
        <v>480</v>
      </c>
      <c r="Q1719" s="12">
        <v>326.39999999999998</v>
      </c>
      <c r="R1719" s="12">
        <v>153.60000000000002</v>
      </c>
      <c r="S1719" t="s">
        <v>1249</v>
      </c>
      <c r="T1719" t="s">
        <v>109</v>
      </c>
      <c r="U1719" t="s">
        <v>1194</v>
      </c>
    </row>
    <row r="1720" spans="1:21" x14ac:dyDescent="0.25">
      <c r="A1720" t="s">
        <v>3712</v>
      </c>
      <c r="B1720" s="8">
        <v>45695</v>
      </c>
      <c r="C1720" t="s">
        <v>2097</v>
      </c>
      <c r="D1720" t="s">
        <v>424</v>
      </c>
      <c r="E1720" t="s">
        <v>218</v>
      </c>
      <c r="F1720">
        <v>23</v>
      </c>
      <c r="G1720" t="s">
        <v>2</v>
      </c>
      <c r="H1720" t="s">
        <v>3</v>
      </c>
      <c r="I1720" t="s">
        <v>57</v>
      </c>
      <c r="J1720" t="s">
        <v>67</v>
      </c>
      <c r="K1720" t="s">
        <v>64</v>
      </c>
      <c r="L1720">
        <v>2</v>
      </c>
      <c r="M1720" s="12">
        <v>150</v>
      </c>
      <c r="N1720" s="12">
        <v>97.5</v>
      </c>
      <c r="O1720">
        <v>3</v>
      </c>
      <c r="P1720" s="12">
        <v>291</v>
      </c>
      <c r="Q1720" s="12">
        <v>195</v>
      </c>
      <c r="R1720" s="12">
        <v>96</v>
      </c>
      <c r="S1720" t="s">
        <v>1246</v>
      </c>
      <c r="T1720" t="s">
        <v>107</v>
      </c>
      <c r="U1720" t="s">
        <v>1207</v>
      </c>
    </row>
    <row r="1721" spans="1:21" x14ac:dyDescent="0.25">
      <c r="A1721" t="s">
        <v>3713</v>
      </c>
      <c r="B1721" s="8">
        <v>45837</v>
      </c>
      <c r="C1721" t="s">
        <v>3975</v>
      </c>
      <c r="D1721" t="s">
        <v>533</v>
      </c>
      <c r="E1721" t="s">
        <v>218</v>
      </c>
      <c r="F1721">
        <v>24</v>
      </c>
      <c r="G1721" t="s">
        <v>289</v>
      </c>
      <c r="H1721" t="s">
        <v>3</v>
      </c>
      <c r="I1721" t="s">
        <v>63</v>
      </c>
      <c r="J1721" t="s">
        <v>77</v>
      </c>
      <c r="K1721" t="s">
        <v>64</v>
      </c>
      <c r="L1721">
        <v>5</v>
      </c>
      <c r="M1721" s="12">
        <v>650</v>
      </c>
      <c r="N1721" s="12">
        <v>468</v>
      </c>
      <c r="O1721">
        <v>13</v>
      </c>
      <c r="P1721" s="12">
        <v>2827.5</v>
      </c>
      <c r="Q1721" s="12">
        <v>2340</v>
      </c>
      <c r="R1721" s="12">
        <v>487.5</v>
      </c>
      <c r="S1721" t="s">
        <v>1246</v>
      </c>
      <c r="T1721" t="s">
        <v>108</v>
      </c>
      <c r="U1721" t="s">
        <v>1198</v>
      </c>
    </row>
    <row r="1722" spans="1:21" x14ac:dyDescent="0.25">
      <c r="A1722" t="s">
        <v>3714</v>
      </c>
      <c r="B1722" s="8">
        <v>45943</v>
      </c>
      <c r="C1722" t="s">
        <v>2229</v>
      </c>
      <c r="D1722" t="s">
        <v>1125</v>
      </c>
      <c r="E1722" t="s">
        <v>198</v>
      </c>
      <c r="F1722">
        <v>53</v>
      </c>
      <c r="G1722" t="s">
        <v>11</v>
      </c>
      <c r="H1722" t="s">
        <v>12</v>
      </c>
      <c r="I1722" t="s">
        <v>24</v>
      </c>
      <c r="J1722" t="s">
        <v>25</v>
      </c>
      <c r="K1722" t="s">
        <v>22</v>
      </c>
      <c r="L1722">
        <v>1</v>
      </c>
      <c r="M1722" s="12">
        <v>35800</v>
      </c>
      <c r="N1722" s="12">
        <v>28640</v>
      </c>
      <c r="O1722">
        <v>4</v>
      </c>
      <c r="P1722" s="12">
        <v>34368</v>
      </c>
      <c r="Q1722" s="12">
        <v>28640</v>
      </c>
      <c r="R1722" s="12">
        <v>5728</v>
      </c>
      <c r="S1722" t="s">
        <v>1246</v>
      </c>
      <c r="T1722" t="s">
        <v>107</v>
      </c>
      <c r="U1722" t="s">
        <v>1198</v>
      </c>
    </row>
    <row r="1723" spans="1:21" x14ac:dyDescent="0.25">
      <c r="A1723" t="s">
        <v>3715</v>
      </c>
      <c r="B1723" s="8">
        <v>45934</v>
      </c>
      <c r="C1723" t="s">
        <v>1456</v>
      </c>
      <c r="D1723" t="s">
        <v>1024</v>
      </c>
      <c r="E1723" t="s">
        <v>198</v>
      </c>
      <c r="F1723">
        <v>31</v>
      </c>
      <c r="G1723" t="s">
        <v>10</v>
      </c>
      <c r="H1723" t="s">
        <v>8</v>
      </c>
      <c r="I1723" t="s">
        <v>53</v>
      </c>
      <c r="J1723" t="s">
        <v>48</v>
      </c>
      <c r="K1723" t="s">
        <v>43</v>
      </c>
      <c r="L1723">
        <v>1</v>
      </c>
      <c r="M1723" s="12">
        <v>6499</v>
      </c>
      <c r="N1723" s="12">
        <v>4549.2999999999993</v>
      </c>
      <c r="O1723">
        <v>10</v>
      </c>
      <c r="P1723" s="12">
        <v>5849.1</v>
      </c>
      <c r="Q1723" s="12">
        <v>4549.2999999999993</v>
      </c>
      <c r="R1723" s="12">
        <v>1299.8000000000011</v>
      </c>
      <c r="S1723" t="s">
        <v>1246</v>
      </c>
      <c r="T1723" t="s">
        <v>109</v>
      </c>
      <c r="U1723" t="s">
        <v>1205</v>
      </c>
    </row>
    <row r="1724" spans="1:21" x14ac:dyDescent="0.25">
      <c r="A1724" t="s">
        <v>3716</v>
      </c>
      <c r="B1724" s="8">
        <v>45756</v>
      </c>
      <c r="C1724" t="s">
        <v>2943</v>
      </c>
      <c r="D1724" t="s">
        <v>850</v>
      </c>
      <c r="E1724" t="s">
        <v>198</v>
      </c>
      <c r="F1724">
        <v>44</v>
      </c>
      <c r="G1724" t="s">
        <v>5</v>
      </c>
      <c r="H1724" t="s">
        <v>3</v>
      </c>
      <c r="I1724" t="s">
        <v>47</v>
      </c>
      <c r="J1724" t="s">
        <v>52</v>
      </c>
      <c r="K1724" t="s">
        <v>43</v>
      </c>
      <c r="L1724">
        <v>3</v>
      </c>
      <c r="M1724" s="12">
        <v>42999</v>
      </c>
      <c r="N1724" s="12">
        <v>33539.22</v>
      </c>
      <c r="O1724">
        <v>9</v>
      </c>
      <c r="P1724" s="12">
        <v>117387.27</v>
      </c>
      <c r="Q1724" s="12">
        <v>100617.66</v>
      </c>
      <c r="R1724" s="12">
        <v>16769.61</v>
      </c>
      <c r="S1724" t="s">
        <v>1246</v>
      </c>
      <c r="T1724" t="s">
        <v>109</v>
      </c>
      <c r="U1724" t="s">
        <v>1196</v>
      </c>
    </row>
    <row r="1725" spans="1:21" x14ac:dyDescent="0.25">
      <c r="A1725" t="s">
        <v>3717</v>
      </c>
      <c r="B1725" s="8">
        <v>45712</v>
      </c>
      <c r="C1725" t="s">
        <v>1281</v>
      </c>
      <c r="D1725" t="s">
        <v>771</v>
      </c>
      <c r="E1725" t="s">
        <v>218</v>
      </c>
      <c r="F1725">
        <v>62</v>
      </c>
      <c r="G1725" t="s">
        <v>16</v>
      </c>
      <c r="H1725" t="s">
        <v>15</v>
      </c>
      <c r="I1725" t="s">
        <v>32</v>
      </c>
      <c r="J1725" t="s">
        <v>29</v>
      </c>
      <c r="K1725" t="s">
        <v>22</v>
      </c>
      <c r="L1725">
        <v>3</v>
      </c>
      <c r="M1725" s="12">
        <v>9500</v>
      </c>
      <c r="N1725" s="12">
        <v>6650</v>
      </c>
      <c r="O1725">
        <v>8</v>
      </c>
      <c r="P1725" s="12">
        <v>26220</v>
      </c>
      <c r="Q1725" s="12">
        <v>19950</v>
      </c>
      <c r="R1725" s="12">
        <v>6270</v>
      </c>
      <c r="S1725" t="s">
        <v>1246</v>
      </c>
      <c r="T1725" t="s">
        <v>109</v>
      </c>
      <c r="U1725" t="s">
        <v>1194</v>
      </c>
    </row>
    <row r="1726" spans="1:21" x14ac:dyDescent="0.25">
      <c r="A1726" t="s">
        <v>3718</v>
      </c>
      <c r="B1726" s="8">
        <v>46011</v>
      </c>
      <c r="C1726" t="s">
        <v>4095</v>
      </c>
      <c r="D1726" t="s">
        <v>1014</v>
      </c>
      <c r="E1726" t="s">
        <v>218</v>
      </c>
      <c r="F1726">
        <v>63</v>
      </c>
      <c r="G1726" t="s">
        <v>290</v>
      </c>
      <c r="H1726" t="s">
        <v>3</v>
      </c>
      <c r="I1726" t="s">
        <v>34</v>
      </c>
      <c r="J1726" t="s">
        <v>137</v>
      </c>
      <c r="K1726" t="s">
        <v>22</v>
      </c>
      <c r="L1726">
        <v>4</v>
      </c>
      <c r="M1726" s="12">
        <v>6900</v>
      </c>
      <c r="N1726" s="12">
        <v>5727</v>
      </c>
      <c r="O1726">
        <v>15</v>
      </c>
      <c r="P1726" s="12">
        <v>23460</v>
      </c>
      <c r="Q1726" s="12">
        <v>22908</v>
      </c>
      <c r="R1726" s="12">
        <v>552</v>
      </c>
      <c r="S1726" t="s">
        <v>113</v>
      </c>
      <c r="T1726" t="s">
        <v>107</v>
      </c>
      <c r="U1726" t="s">
        <v>1205</v>
      </c>
    </row>
    <row r="1727" spans="1:21" x14ac:dyDescent="0.25">
      <c r="A1727" t="s">
        <v>3719</v>
      </c>
      <c r="B1727" s="8">
        <v>45792</v>
      </c>
      <c r="C1727" t="s">
        <v>1530</v>
      </c>
      <c r="D1727" t="s">
        <v>456</v>
      </c>
      <c r="E1727" t="s">
        <v>218</v>
      </c>
      <c r="F1727">
        <v>31</v>
      </c>
      <c r="G1727" t="s">
        <v>10</v>
      </c>
      <c r="H1727" t="s">
        <v>8</v>
      </c>
      <c r="I1727" t="s">
        <v>34</v>
      </c>
      <c r="J1727" t="s">
        <v>137</v>
      </c>
      <c r="K1727" t="s">
        <v>22</v>
      </c>
      <c r="L1727">
        <v>5</v>
      </c>
      <c r="M1727" s="12">
        <v>6900</v>
      </c>
      <c r="N1727" s="12">
        <v>5727</v>
      </c>
      <c r="O1727">
        <v>5</v>
      </c>
      <c r="P1727" s="12">
        <v>32775</v>
      </c>
      <c r="Q1727" s="12">
        <v>28635</v>
      </c>
      <c r="R1727" s="12">
        <v>4140</v>
      </c>
      <c r="S1727" t="s">
        <v>1246</v>
      </c>
      <c r="T1727" t="s">
        <v>108</v>
      </c>
      <c r="U1727" t="s">
        <v>1207</v>
      </c>
    </row>
    <row r="1728" spans="1:21" x14ac:dyDescent="0.25">
      <c r="A1728" t="s">
        <v>3720</v>
      </c>
      <c r="B1728" s="8">
        <v>45989</v>
      </c>
      <c r="C1728" t="s">
        <v>1671</v>
      </c>
      <c r="D1728" t="s">
        <v>977</v>
      </c>
      <c r="E1728" t="s">
        <v>198</v>
      </c>
      <c r="F1728">
        <v>61</v>
      </c>
      <c r="G1728" t="s">
        <v>7</v>
      </c>
      <c r="H1728" t="s">
        <v>8</v>
      </c>
      <c r="I1728" t="s">
        <v>42</v>
      </c>
      <c r="J1728" t="s">
        <v>44</v>
      </c>
      <c r="K1728" t="s">
        <v>43</v>
      </c>
      <c r="L1728">
        <v>5</v>
      </c>
      <c r="M1728" s="12">
        <v>8999</v>
      </c>
      <c r="N1728" s="12">
        <v>6479.28</v>
      </c>
      <c r="O1728">
        <v>19</v>
      </c>
      <c r="P1728" s="12">
        <v>36445.950000000004</v>
      </c>
      <c r="Q1728" s="12">
        <v>32396.399999999998</v>
      </c>
      <c r="R1728" s="12">
        <v>4049.5500000000065</v>
      </c>
      <c r="S1728" t="s">
        <v>1246</v>
      </c>
      <c r="T1728" t="s">
        <v>109</v>
      </c>
      <c r="U1728" t="s">
        <v>1198</v>
      </c>
    </row>
    <row r="1729" spans="1:21" x14ac:dyDescent="0.25">
      <c r="A1729" t="s">
        <v>3721</v>
      </c>
      <c r="B1729" s="8">
        <v>45731</v>
      </c>
      <c r="C1729" t="s">
        <v>1555</v>
      </c>
      <c r="D1729" t="s">
        <v>968</v>
      </c>
      <c r="E1729" t="s">
        <v>218</v>
      </c>
      <c r="F1729">
        <v>63</v>
      </c>
      <c r="G1729" t="s">
        <v>16</v>
      </c>
      <c r="H1729" t="s">
        <v>15</v>
      </c>
      <c r="I1729" t="s">
        <v>51</v>
      </c>
      <c r="J1729" t="s">
        <v>54</v>
      </c>
      <c r="K1729" t="s">
        <v>43</v>
      </c>
      <c r="L1729">
        <v>4</v>
      </c>
      <c r="M1729" s="12">
        <v>27499</v>
      </c>
      <c r="N1729" s="12">
        <v>21724.210000000003</v>
      </c>
      <c r="O1729">
        <v>7</v>
      </c>
      <c r="P1729" s="12">
        <v>102296.28</v>
      </c>
      <c r="Q1729" s="12">
        <v>86896.840000000011</v>
      </c>
      <c r="R1729" s="12">
        <v>15399.439999999988</v>
      </c>
      <c r="S1729" t="s">
        <v>1246</v>
      </c>
      <c r="T1729" t="s">
        <v>107</v>
      </c>
      <c r="U1729" t="s">
        <v>1211</v>
      </c>
    </row>
    <row r="1730" spans="1:21" x14ac:dyDescent="0.25">
      <c r="A1730" t="s">
        <v>3722</v>
      </c>
      <c r="B1730" s="8">
        <v>45725</v>
      </c>
      <c r="C1730" t="s">
        <v>2565</v>
      </c>
      <c r="D1730" t="s">
        <v>566</v>
      </c>
      <c r="E1730" t="s">
        <v>218</v>
      </c>
      <c r="F1730">
        <v>19</v>
      </c>
      <c r="G1730" t="s">
        <v>2</v>
      </c>
      <c r="H1730" t="s">
        <v>3</v>
      </c>
      <c r="I1730" t="s">
        <v>42</v>
      </c>
      <c r="J1730" t="s">
        <v>44</v>
      </c>
      <c r="K1730" t="s">
        <v>43</v>
      </c>
      <c r="L1730">
        <v>2</v>
      </c>
      <c r="M1730" s="12">
        <v>8999</v>
      </c>
      <c r="N1730" s="12">
        <v>6479.28</v>
      </c>
      <c r="O1730">
        <v>7</v>
      </c>
      <c r="P1730" s="12">
        <v>16738.14</v>
      </c>
      <c r="Q1730" s="12">
        <v>12958.56</v>
      </c>
      <c r="R1730" s="12">
        <v>3779.58</v>
      </c>
      <c r="S1730" t="s">
        <v>113</v>
      </c>
      <c r="T1730" t="s">
        <v>110</v>
      </c>
      <c r="U1730" t="s">
        <v>1196</v>
      </c>
    </row>
    <row r="1731" spans="1:21" x14ac:dyDescent="0.25">
      <c r="A1731" t="s">
        <v>3723</v>
      </c>
      <c r="B1731" s="8">
        <v>45861</v>
      </c>
      <c r="C1731" t="s">
        <v>2186</v>
      </c>
      <c r="D1731" t="s">
        <v>1111</v>
      </c>
      <c r="E1731" t="s">
        <v>218</v>
      </c>
      <c r="F1731">
        <v>37</v>
      </c>
      <c r="G1731" t="s">
        <v>7</v>
      </c>
      <c r="H1731" t="s">
        <v>8</v>
      </c>
      <c r="I1731" t="s">
        <v>45</v>
      </c>
      <c r="J1731" t="s">
        <v>46</v>
      </c>
      <c r="K1731" t="s">
        <v>43</v>
      </c>
      <c r="L1731">
        <v>2</v>
      </c>
      <c r="M1731" s="12">
        <v>11999</v>
      </c>
      <c r="N1731" s="12">
        <v>8999.25</v>
      </c>
      <c r="O1731">
        <v>6</v>
      </c>
      <c r="P1731" s="12">
        <v>22558.12</v>
      </c>
      <c r="Q1731" s="12">
        <v>17998.5</v>
      </c>
      <c r="R1731" s="12">
        <v>4559.619999999999</v>
      </c>
      <c r="S1731" t="s">
        <v>113</v>
      </c>
      <c r="T1731" t="s">
        <v>107</v>
      </c>
      <c r="U1731" t="s">
        <v>1199</v>
      </c>
    </row>
    <row r="1732" spans="1:21" x14ac:dyDescent="0.25">
      <c r="A1732" t="s">
        <v>3725</v>
      </c>
      <c r="B1732" s="8">
        <v>45662</v>
      </c>
      <c r="C1732" t="s">
        <v>3773</v>
      </c>
      <c r="D1732" t="s">
        <v>618</v>
      </c>
      <c r="E1732" t="s">
        <v>218</v>
      </c>
      <c r="F1732">
        <v>26</v>
      </c>
      <c r="G1732" t="s">
        <v>289</v>
      </c>
      <c r="H1732" t="s">
        <v>3</v>
      </c>
      <c r="I1732" t="s">
        <v>38</v>
      </c>
      <c r="J1732" t="s">
        <v>37</v>
      </c>
      <c r="K1732" t="s">
        <v>22</v>
      </c>
      <c r="L1732">
        <v>5</v>
      </c>
      <c r="M1732" s="12">
        <v>1650</v>
      </c>
      <c r="N1732" s="12">
        <v>990</v>
      </c>
      <c r="O1732">
        <v>6</v>
      </c>
      <c r="P1732" s="12">
        <v>7755</v>
      </c>
      <c r="Q1732" s="12">
        <v>4950</v>
      </c>
      <c r="R1732" s="12">
        <v>2805</v>
      </c>
      <c r="S1732" t="s">
        <v>113</v>
      </c>
      <c r="T1732" t="s">
        <v>107</v>
      </c>
      <c r="U1732" t="s">
        <v>1194</v>
      </c>
    </row>
    <row r="1733" spans="1:21" x14ac:dyDescent="0.25">
      <c r="A1733" t="s">
        <v>3726</v>
      </c>
      <c r="B1733" s="8">
        <v>45816</v>
      </c>
      <c r="C1733" t="s">
        <v>2413</v>
      </c>
      <c r="D1733" t="s">
        <v>534</v>
      </c>
      <c r="E1733" t="s">
        <v>198</v>
      </c>
      <c r="F1733">
        <v>37</v>
      </c>
      <c r="G1733" t="s">
        <v>2</v>
      </c>
      <c r="H1733" t="s">
        <v>3</v>
      </c>
      <c r="I1733" t="s">
        <v>24</v>
      </c>
      <c r="J1733" t="s">
        <v>25</v>
      </c>
      <c r="K1733" t="s">
        <v>22</v>
      </c>
      <c r="L1733">
        <v>5</v>
      </c>
      <c r="M1733" s="12">
        <v>35800</v>
      </c>
      <c r="N1733" s="12">
        <v>28640</v>
      </c>
      <c r="O1733">
        <v>6</v>
      </c>
      <c r="P1733" s="12">
        <v>168260</v>
      </c>
      <c r="Q1733" s="12">
        <v>143200</v>
      </c>
      <c r="R1733" s="12">
        <v>25060</v>
      </c>
      <c r="S1733" t="s">
        <v>113</v>
      </c>
      <c r="T1733" t="s">
        <v>107</v>
      </c>
      <c r="U1733" t="s">
        <v>1205</v>
      </c>
    </row>
    <row r="1734" spans="1:21" x14ac:dyDescent="0.25">
      <c r="A1734" t="s">
        <v>3728</v>
      </c>
      <c r="B1734" s="8">
        <v>45778</v>
      </c>
      <c r="C1734" t="s">
        <v>1839</v>
      </c>
      <c r="D1734" t="s">
        <v>630</v>
      </c>
      <c r="E1734" t="s">
        <v>218</v>
      </c>
      <c r="F1734">
        <v>30</v>
      </c>
      <c r="G1734" t="s">
        <v>11</v>
      </c>
      <c r="H1734" t="s">
        <v>12</v>
      </c>
      <c r="I1734" t="s">
        <v>57</v>
      </c>
      <c r="J1734" t="s">
        <v>67</v>
      </c>
      <c r="K1734" t="s">
        <v>64</v>
      </c>
      <c r="L1734">
        <v>3</v>
      </c>
      <c r="M1734" s="12">
        <v>150</v>
      </c>
      <c r="N1734" s="12">
        <v>97.5</v>
      </c>
      <c r="O1734">
        <v>8</v>
      </c>
      <c r="P1734" s="12">
        <v>414</v>
      </c>
      <c r="Q1734" s="12">
        <v>292.5</v>
      </c>
      <c r="R1734" s="12">
        <v>121.5</v>
      </c>
      <c r="S1734" t="s">
        <v>113</v>
      </c>
      <c r="T1734" t="s">
        <v>109</v>
      </c>
      <c r="U1734" t="s">
        <v>1196</v>
      </c>
    </row>
    <row r="1735" spans="1:21" x14ac:dyDescent="0.25">
      <c r="A1735" t="s">
        <v>3729</v>
      </c>
      <c r="B1735" s="8">
        <v>46015</v>
      </c>
      <c r="C1735" t="s">
        <v>1347</v>
      </c>
      <c r="D1735" t="s">
        <v>987</v>
      </c>
      <c r="E1735" t="s">
        <v>198</v>
      </c>
      <c r="F1735">
        <v>48</v>
      </c>
      <c r="G1735" t="s">
        <v>10</v>
      </c>
      <c r="H1735" t="s">
        <v>8</v>
      </c>
      <c r="I1735" t="s">
        <v>63</v>
      </c>
      <c r="J1735" t="s">
        <v>77</v>
      </c>
      <c r="K1735" t="s">
        <v>64</v>
      </c>
      <c r="L1735">
        <v>4</v>
      </c>
      <c r="M1735" s="12">
        <v>650</v>
      </c>
      <c r="N1735" s="12">
        <v>468</v>
      </c>
      <c r="O1735">
        <v>3</v>
      </c>
      <c r="P1735" s="12">
        <v>2522</v>
      </c>
      <c r="Q1735" s="12">
        <v>1872</v>
      </c>
      <c r="R1735" s="12">
        <v>650</v>
      </c>
      <c r="S1735" t="s">
        <v>113</v>
      </c>
      <c r="T1735" t="s">
        <v>107</v>
      </c>
      <c r="U1735" t="s">
        <v>1211</v>
      </c>
    </row>
    <row r="1736" spans="1:21" x14ac:dyDescent="0.25">
      <c r="A1736" t="s">
        <v>3730</v>
      </c>
      <c r="B1736" s="8">
        <v>45687</v>
      </c>
      <c r="C1736" t="s">
        <v>2392</v>
      </c>
      <c r="D1736" t="s">
        <v>667</v>
      </c>
      <c r="E1736" t="s">
        <v>218</v>
      </c>
      <c r="F1736">
        <v>25</v>
      </c>
      <c r="G1736" t="s">
        <v>10</v>
      </c>
      <c r="H1736" t="s">
        <v>8</v>
      </c>
      <c r="I1736" t="s">
        <v>38</v>
      </c>
      <c r="J1736" t="s">
        <v>37</v>
      </c>
      <c r="K1736" t="s">
        <v>22</v>
      </c>
      <c r="L1736">
        <v>5</v>
      </c>
      <c r="M1736" s="12">
        <v>1650</v>
      </c>
      <c r="N1736" s="12">
        <v>990</v>
      </c>
      <c r="O1736">
        <v>7</v>
      </c>
      <c r="P1736" s="12">
        <v>7672.4999999999991</v>
      </c>
      <c r="Q1736" s="12">
        <v>4950</v>
      </c>
      <c r="R1736" s="12">
        <v>2722.4999999999991</v>
      </c>
      <c r="S1736" t="s">
        <v>1246</v>
      </c>
      <c r="T1736" t="s">
        <v>111</v>
      </c>
      <c r="U1736" t="s">
        <v>1211</v>
      </c>
    </row>
    <row r="1737" spans="1:21" x14ac:dyDescent="0.25">
      <c r="A1737" t="s">
        <v>3731</v>
      </c>
      <c r="B1737" s="8">
        <v>45782</v>
      </c>
      <c r="C1737" t="s">
        <v>3293</v>
      </c>
      <c r="D1737" t="s">
        <v>662</v>
      </c>
      <c r="E1737" t="s">
        <v>198</v>
      </c>
      <c r="F1737">
        <v>57</v>
      </c>
      <c r="G1737" t="s">
        <v>9</v>
      </c>
      <c r="H1737" t="s">
        <v>8</v>
      </c>
      <c r="I1737" t="s">
        <v>55</v>
      </c>
      <c r="J1737" t="s">
        <v>65</v>
      </c>
      <c r="K1737" t="s">
        <v>64</v>
      </c>
      <c r="L1737">
        <v>3</v>
      </c>
      <c r="M1737" s="12">
        <v>80</v>
      </c>
      <c r="N1737" s="12">
        <v>56</v>
      </c>
      <c r="O1737">
        <v>11</v>
      </c>
      <c r="P1737" s="12">
        <v>213.6</v>
      </c>
      <c r="Q1737" s="12">
        <v>168</v>
      </c>
      <c r="R1737" s="12">
        <v>45.599999999999994</v>
      </c>
      <c r="S1737" t="s">
        <v>1246</v>
      </c>
      <c r="T1737" t="s">
        <v>107</v>
      </c>
      <c r="U1737" t="s">
        <v>1209</v>
      </c>
    </row>
    <row r="1738" spans="1:21" x14ac:dyDescent="0.25">
      <c r="A1738" t="s">
        <v>3732</v>
      </c>
      <c r="B1738" s="8">
        <v>45840</v>
      </c>
      <c r="C1738" t="s">
        <v>2118</v>
      </c>
      <c r="D1738" t="s">
        <v>950</v>
      </c>
      <c r="E1738" t="s">
        <v>198</v>
      </c>
      <c r="F1738">
        <v>52</v>
      </c>
      <c r="G1738" t="s">
        <v>14</v>
      </c>
      <c r="H1738" t="s">
        <v>15</v>
      </c>
      <c r="I1738" t="s">
        <v>55</v>
      </c>
      <c r="J1738" t="s">
        <v>65</v>
      </c>
      <c r="K1738" t="s">
        <v>64</v>
      </c>
      <c r="L1738">
        <v>3</v>
      </c>
      <c r="M1738" s="12">
        <v>80</v>
      </c>
      <c r="N1738" s="12">
        <v>56</v>
      </c>
      <c r="O1738">
        <v>2</v>
      </c>
      <c r="P1738" s="12">
        <v>235.2</v>
      </c>
      <c r="Q1738" s="12">
        <v>168</v>
      </c>
      <c r="R1738" s="12">
        <v>67.199999999999989</v>
      </c>
      <c r="S1738" t="s">
        <v>113</v>
      </c>
      <c r="T1738" t="s">
        <v>109</v>
      </c>
      <c r="U1738" t="s">
        <v>1196</v>
      </c>
    </row>
    <row r="1739" spans="1:21" x14ac:dyDescent="0.25">
      <c r="A1739" t="s">
        <v>3734</v>
      </c>
      <c r="B1739" s="8">
        <v>46017</v>
      </c>
      <c r="C1739" t="s">
        <v>1277</v>
      </c>
      <c r="D1739" t="s">
        <v>926</v>
      </c>
      <c r="E1739" t="s">
        <v>198</v>
      </c>
      <c r="F1739">
        <v>50</v>
      </c>
      <c r="G1739" t="s">
        <v>16</v>
      </c>
      <c r="H1739" t="s">
        <v>15</v>
      </c>
      <c r="I1739" t="s">
        <v>26</v>
      </c>
      <c r="J1739" t="s">
        <v>27</v>
      </c>
      <c r="K1739" t="s">
        <v>22</v>
      </c>
      <c r="L1739">
        <v>3</v>
      </c>
      <c r="M1739" s="12">
        <v>27499</v>
      </c>
      <c r="N1739" s="12">
        <v>23374.149999999998</v>
      </c>
      <c r="O1739">
        <v>15</v>
      </c>
      <c r="P1739" s="12">
        <v>70122.45</v>
      </c>
      <c r="Q1739" s="12">
        <v>70122.45</v>
      </c>
      <c r="R1739" s="12">
        <v>0</v>
      </c>
      <c r="S1739" t="s">
        <v>1246</v>
      </c>
      <c r="T1739" t="s">
        <v>107</v>
      </c>
      <c r="U1739" t="s">
        <v>1207</v>
      </c>
    </row>
    <row r="1740" spans="1:21" x14ac:dyDescent="0.25">
      <c r="A1740" t="s">
        <v>3735</v>
      </c>
      <c r="B1740" s="8">
        <v>45830</v>
      </c>
      <c r="C1740" t="s">
        <v>2324</v>
      </c>
      <c r="D1740" t="s">
        <v>1130</v>
      </c>
      <c r="E1740" t="s">
        <v>198</v>
      </c>
      <c r="F1740">
        <v>34</v>
      </c>
      <c r="G1740" t="s">
        <v>17</v>
      </c>
      <c r="H1740" t="s">
        <v>15</v>
      </c>
      <c r="I1740" t="s">
        <v>61</v>
      </c>
      <c r="J1740" t="s">
        <v>146</v>
      </c>
      <c r="K1740" t="s">
        <v>64</v>
      </c>
      <c r="L1740">
        <v>5</v>
      </c>
      <c r="M1740" s="12">
        <v>250</v>
      </c>
      <c r="N1740" s="12">
        <v>155</v>
      </c>
      <c r="O1740">
        <v>11</v>
      </c>
      <c r="P1740" s="12">
        <v>1112.5</v>
      </c>
      <c r="Q1740" s="12">
        <v>775</v>
      </c>
      <c r="R1740" s="12">
        <v>337.5</v>
      </c>
      <c r="S1740" t="s">
        <v>1246</v>
      </c>
      <c r="T1740" t="s">
        <v>107</v>
      </c>
      <c r="U1740" t="s">
        <v>1198</v>
      </c>
    </row>
    <row r="1741" spans="1:21" x14ac:dyDescent="0.25">
      <c r="A1741" t="s">
        <v>3736</v>
      </c>
      <c r="B1741" s="8">
        <v>45751</v>
      </c>
      <c r="C1741" t="s">
        <v>1923</v>
      </c>
      <c r="D1741" t="s">
        <v>426</v>
      </c>
      <c r="E1741" t="s">
        <v>198</v>
      </c>
      <c r="F1741">
        <v>46</v>
      </c>
      <c r="G1741" t="s">
        <v>4</v>
      </c>
      <c r="H1741" t="s">
        <v>3</v>
      </c>
      <c r="I1741" t="s">
        <v>40</v>
      </c>
      <c r="J1741" t="s">
        <v>39</v>
      </c>
      <c r="K1741" t="s">
        <v>22</v>
      </c>
      <c r="L1741">
        <v>2</v>
      </c>
      <c r="M1741" s="12">
        <v>1100</v>
      </c>
      <c r="N1741" s="12">
        <v>715</v>
      </c>
      <c r="O1741">
        <v>4</v>
      </c>
      <c r="P1741" s="12">
        <v>2112</v>
      </c>
      <c r="Q1741" s="12">
        <v>1430</v>
      </c>
      <c r="R1741" s="12">
        <v>682</v>
      </c>
      <c r="S1741" t="s">
        <v>113</v>
      </c>
      <c r="T1741" t="s">
        <v>107</v>
      </c>
      <c r="U1741" t="s">
        <v>1203</v>
      </c>
    </row>
    <row r="1742" spans="1:21" x14ac:dyDescent="0.25">
      <c r="A1742" t="s">
        <v>3737</v>
      </c>
      <c r="B1742" s="8">
        <v>45928</v>
      </c>
      <c r="C1742" t="s">
        <v>2261</v>
      </c>
      <c r="D1742" t="s">
        <v>489</v>
      </c>
      <c r="E1742" t="s">
        <v>198</v>
      </c>
      <c r="F1742">
        <v>40</v>
      </c>
      <c r="G1742" t="s">
        <v>289</v>
      </c>
      <c r="H1742" t="s">
        <v>3</v>
      </c>
      <c r="I1742" t="s">
        <v>36</v>
      </c>
      <c r="J1742" t="s">
        <v>136</v>
      </c>
      <c r="K1742" t="s">
        <v>22</v>
      </c>
      <c r="L1742">
        <v>3</v>
      </c>
      <c r="M1742" s="12">
        <v>3590</v>
      </c>
      <c r="N1742" s="12">
        <v>2333.5</v>
      </c>
      <c r="O1742">
        <v>7</v>
      </c>
      <c r="P1742" s="12">
        <v>10016.099999999999</v>
      </c>
      <c r="Q1742" s="12">
        <v>7000.5</v>
      </c>
      <c r="R1742" s="12">
        <v>3015.5999999999985</v>
      </c>
      <c r="S1742" t="s">
        <v>113</v>
      </c>
      <c r="T1742" t="s">
        <v>108</v>
      </c>
      <c r="U1742" t="s">
        <v>1201</v>
      </c>
    </row>
    <row r="1743" spans="1:21" x14ac:dyDescent="0.25">
      <c r="A1743" t="s">
        <v>3738</v>
      </c>
      <c r="B1743" s="8">
        <v>45801</v>
      </c>
      <c r="C1743" t="s">
        <v>2277</v>
      </c>
      <c r="D1743" t="s">
        <v>467</v>
      </c>
      <c r="E1743" t="s">
        <v>198</v>
      </c>
      <c r="F1743">
        <v>55</v>
      </c>
      <c r="G1743" t="s">
        <v>5</v>
      </c>
      <c r="H1743" t="s">
        <v>3</v>
      </c>
      <c r="I1743" t="s">
        <v>26</v>
      </c>
      <c r="J1743" t="s">
        <v>27</v>
      </c>
      <c r="K1743" t="s">
        <v>22</v>
      </c>
      <c r="L1743">
        <v>3</v>
      </c>
      <c r="M1743" s="12">
        <v>27499</v>
      </c>
      <c r="N1743" s="12">
        <v>23374.149999999998</v>
      </c>
      <c r="O1743">
        <v>8</v>
      </c>
      <c r="P1743" s="12">
        <v>75897.240000000005</v>
      </c>
      <c r="Q1743" s="12">
        <v>70122.45</v>
      </c>
      <c r="R1743" s="12">
        <v>5774.7900000000081</v>
      </c>
      <c r="S1743" t="s">
        <v>113</v>
      </c>
      <c r="T1743" t="s">
        <v>109</v>
      </c>
      <c r="U1743" t="s">
        <v>1207</v>
      </c>
    </row>
    <row r="1744" spans="1:21" x14ac:dyDescent="0.25">
      <c r="A1744" t="s">
        <v>3739</v>
      </c>
      <c r="B1744" s="8">
        <v>45675</v>
      </c>
      <c r="C1744" t="s">
        <v>1870</v>
      </c>
      <c r="D1744" t="s">
        <v>831</v>
      </c>
      <c r="E1744" t="s">
        <v>198</v>
      </c>
      <c r="F1744">
        <v>57</v>
      </c>
      <c r="G1744" t="s">
        <v>11</v>
      </c>
      <c r="H1744" t="s">
        <v>12</v>
      </c>
      <c r="I1744" t="s">
        <v>26</v>
      </c>
      <c r="J1744" t="s">
        <v>27</v>
      </c>
      <c r="K1744" t="s">
        <v>22</v>
      </c>
      <c r="L1744">
        <v>3</v>
      </c>
      <c r="M1744" s="12">
        <v>27499</v>
      </c>
      <c r="N1744" s="12">
        <v>23374.149999999998</v>
      </c>
      <c r="O1744">
        <v>5</v>
      </c>
      <c r="P1744" s="12">
        <v>78372.149999999994</v>
      </c>
      <c r="Q1744" s="12">
        <v>70122.45</v>
      </c>
      <c r="R1744" s="12">
        <v>8249.6999999999971</v>
      </c>
      <c r="S1744" t="s">
        <v>1246</v>
      </c>
      <c r="T1744" t="s">
        <v>110</v>
      </c>
      <c r="U1744" t="s">
        <v>1211</v>
      </c>
    </row>
    <row r="1745" spans="1:21" x14ac:dyDescent="0.25">
      <c r="A1745" t="s">
        <v>3740</v>
      </c>
      <c r="B1745" s="8">
        <v>45886</v>
      </c>
      <c r="C1745" t="s">
        <v>5083</v>
      </c>
      <c r="D1745" t="s">
        <v>405</v>
      </c>
      <c r="E1745" t="s">
        <v>198</v>
      </c>
      <c r="F1745">
        <v>21</v>
      </c>
      <c r="G1745" t="s">
        <v>11</v>
      </c>
      <c r="H1745" t="s">
        <v>12</v>
      </c>
      <c r="I1745" t="s">
        <v>28</v>
      </c>
      <c r="J1745" t="s">
        <v>35</v>
      </c>
      <c r="K1745" t="s">
        <v>22</v>
      </c>
      <c r="L1745">
        <v>5</v>
      </c>
      <c r="M1745" s="12">
        <v>16499</v>
      </c>
      <c r="N1745" s="12">
        <v>14519.12</v>
      </c>
      <c r="O1745">
        <v>7</v>
      </c>
      <c r="P1745" s="12">
        <v>76720.349999999991</v>
      </c>
      <c r="Q1745" s="12">
        <v>72595.600000000006</v>
      </c>
      <c r="R1745" s="12">
        <v>4124.7499999999854</v>
      </c>
      <c r="S1745" t="s">
        <v>113</v>
      </c>
      <c r="T1745" t="s">
        <v>109</v>
      </c>
      <c r="U1745" t="s">
        <v>1203</v>
      </c>
    </row>
    <row r="1746" spans="1:21" x14ac:dyDescent="0.25">
      <c r="A1746" t="s">
        <v>3741</v>
      </c>
      <c r="B1746" s="8">
        <v>45946</v>
      </c>
      <c r="C1746" t="s">
        <v>1778</v>
      </c>
      <c r="D1746" t="s">
        <v>1054</v>
      </c>
      <c r="E1746" t="s">
        <v>198</v>
      </c>
      <c r="F1746">
        <v>34</v>
      </c>
      <c r="G1746" t="s">
        <v>7</v>
      </c>
      <c r="H1746" t="s">
        <v>8</v>
      </c>
      <c r="I1746" t="s">
        <v>28</v>
      </c>
      <c r="J1746" t="s">
        <v>35</v>
      </c>
      <c r="K1746" t="s">
        <v>22</v>
      </c>
      <c r="L1746">
        <v>4</v>
      </c>
      <c r="M1746" s="12">
        <v>16499</v>
      </c>
      <c r="N1746" s="12">
        <v>14519.12</v>
      </c>
      <c r="O1746">
        <v>7</v>
      </c>
      <c r="P1746" s="12">
        <v>61376.28</v>
      </c>
      <c r="Q1746" s="12">
        <v>58076.480000000003</v>
      </c>
      <c r="R1746" s="12">
        <v>3299.7999999999956</v>
      </c>
      <c r="S1746" t="s">
        <v>113</v>
      </c>
      <c r="T1746" t="s">
        <v>108</v>
      </c>
      <c r="U1746" t="s">
        <v>1207</v>
      </c>
    </row>
    <row r="1747" spans="1:21" x14ac:dyDescent="0.25">
      <c r="A1747" t="s">
        <v>3742</v>
      </c>
      <c r="B1747" s="8">
        <v>45813</v>
      </c>
      <c r="C1747" t="s">
        <v>1827</v>
      </c>
      <c r="D1747" t="s">
        <v>395</v>
      </c>
      <c r="E1747" t="s">
        <v>198</v>
      </c>
      <c r="F1747">
        <v>30</v>
      </c>
      <c r="G1747" t="s">
        <v>16</v>
      </c>
      <c r="H1747" t="s">
        <v>15</v>
      </c>
      <c r="I1747" t="s">
        <v>42</v>
      </c>
      <c r="J1747" t="s">
        <v>44</v>
      </c>
      <c r="K1747" t="s">
        <v>43</v>
      </c>
      <c r="L1747">
        <v>5</v>
      </c>
      <c r="M1747" s="12">
        <v>8999</v>
      </c>
      <c r="N1747" s="12">
        <v>6479.28</v>
      </c>
      <c r="O1747">
        <v>4</v>
      </c>
      <c r="P1747" s="12">
        <v>43195.199999999997</v>
      </c>
      <c r="Q1747" s="12">
        <v>32396.399999999998</v>
      </c>
      <c r="R1747" s="12">
        <v>10798.8</v>
      </c>
      <c r="S1747" t="s">
        <v>1246</v>
      </c>
      <c r="T1747" t="s">
        <v>109</v>
      </c>
      <c r="U1747" t="s">
        <v>1203</v>
      </c>
    </row>
    <row r="1748" spans="1:21" x14ac:dyDescent="0.25">
      <c r="A1748" t="s">
        <v>3743</v>
      </c>
      <c r="B1748" s="8">
        <v>45888</v>
      </c>
      <c r="C1748" t="s">
        <v>1436</v>
      </c>
      <c r="D1748" t="s">
        <v>1148</v>
      </c>
      <c r="E1748" t="s">
        <v>218</v>
      </c>
      <c r="F1748">
        <v>43</v>
      </c>
      <c r="G1748" t="s">
        <v>289</v>
      </c>
      <c r="H1748" t="s">
        <v>3</v>
      </c>
      <c r="I1748" t="s">
        <v>32</v>
      </c>
      <c r="J1748" t="s">
        <v>29</v>
      </c>
      <c r="K1748" t="s">
        <v>22</v>
      </c>
      <c r="L1748">
        <v>5</v>
      </c>
      <c r="M1748" s="12">
        <v>9500</v>
      </c>
      <c r="N1748" s="12">
        <v>6650</v>
      </c>
      <c r="O1748">
        <v>4</v>
      </c>
      <c r="P1748" s="12">
        <v>45600</v>
      </c>
      <c r="Q1748" s="12">
        <v>33250</v>
      </c>
      <c r="R1748" s="12">
        <v>12350</v>
      </c>
      <c r="S1748" t="s">
        <v>113</v>
      </c>
      <c r="T1748" t="s">
        <v>108</v>
      </c>
      <c r="U1748" t="s">
        <v>1196</v>
      </c>
    </row>
    <row r="1749" spans="1:21" x14ac:dyDescent="0.25">
      <c r="A1749" t="s">
        <v>3744</v>
      </c>
      <c r="B1749" s="8">
        <v>45930</v>
      </c>
      <c r="C1749" t="s">
        <v>3733</v>
      </c>
      <c r="D1749" t="s">
        <v>434</v>
      </c>
      <c r="E1749" t="s">
        <v>198</v>
      </c>
      <c r="F1749">
        <v>62</v>
      </c>
      <c r="G1749" t="s">
        <v>10</v>
      </c>
      <c r="H1749" t="s">
        <v>8</v>
      </c>
      <c r="I1749" t="s">
        <v>55</v>
      </c>
      <c r="J1749" t="s">
        <v>65</v>
      </c>
      <c r="K1749" t="s">
        <v>64</v>
      </c>
      <c r="L1749">
        <v>2</v>
      </c>
      <c r="M1749" s="12">
        <v>80</v>
      </c>
      <c r="N1749" s="12">
        <v>56</v>
      </c>
      <c r="O1749">
        <v>4</v>
      </c>
      <c r="P1749" s="12">
        <v>153.6</v>
      </c>
      <c r="Q1749" s="12">
        <v>112</v>
      </c>
      <c r="R1749" s="12">
        <v>41.599999999999994</v>
      </c>
      <c r="S1749" t="s">
        <v>1246</v>
      </c>
      <c r="T1749" t="s">
        <v>107</v>
      </c>
      <c r="U1749" t="s">
        <v>1194</v>
      </c>
    </row>
    <row r="1750" spans="1:21" x14ac:dyDescent="0.25">
      <c r="A1750" t="s">
        <v>3745</v>
      </c>
      <c r="B1750" s="8">
        <v>45847</v>
      </c>
      <c r="C1750" t="s">
        <v>3279</v>
      </c>
      <c r="D1750" t="s">
        <v>436</v>
      </c>
      <c r="E1750" t="s">
        <v>218</v>
      </c>
      <c r="F1750">
        <v>64</v>
      </c>
      <c r="G1750" t="s">
        <v>2</v>
      </c>
      <c r="H1750" t="s">
        <v>3</v>
      </c>
      <c r="I1750" t="s">
        <v>47</v>
      </c>
      <c r="J1750" t="s">
        <v>52</v>
      </c>
      <c r="K1750" t="s">
        <v>43</v>
      </c>
      <c r="L1750">
        <v>2</v>
      </c>
      <c r="M1750" s="12">
        <v>42999</v>
      </c>
      <c r="N1750" s="12">
        <v>33539.22</v>
      </c>
      <c r="O1750">
        <v>8</v>
      </c>
      <c r="P1750" s="12">
        <v>79118.16</v>
      </c>
      <c r="Q1750" s="12">
        <v>67078.44</v>
      </c>
      <c r="R1750" s="12">
        <v>12039.720000000001</v>
      </c>
      <c r="S1750" t="s">
        <v>1246</v>
      </c>
      <c r="T1750" t="s">
        <v>109</v>
      </c>
      <c r="U1750" t="s">
        <v>1203</v>
      </c>
    </row>
    <row r="1751" spans="1:21" x14ac:dyDescent="0.25">
      <c r="A1751" t="s">
        <v>3746</v>
      </c>
      <c r="B1751" s="8">
        <v>45750</v>
      </c>
      <c r="C1751" t="s">
        <v>1785</v>
      </c>
      <c r="D1751" t="s">
        <v>673</v>
      </c>
      <c r="E1751" t="s">
        <v>198</v>
      </c>
      <c r="F1751">
        <v>22</v>
      </c>
      <c r="G1751" t="s">
        <v>14</v>
      </c>
      <c r="H1751" t="s">
        <v>15</v>
      </c>
      <c r="I1751" t="s">
        <v>42</v>
      </c>
      <c r="J1751" t="s">
        <v>44</v>
      </c>
      <c r="K1751" t="s">
        <v>43</v>
      </c>
      <c r="L1751">
        <v>5</v>
      </c>
      <c r="M1751" s="12">
        <v>8999</v>
      </c>
      <c r="N1751" s="12">
        <v>6479.28</v>
      </c>
      <c r="O1751">
        <v>6</v>
      </c>
      <c r="P1751" s="12">
        <v>42295.299999999996</v>
      </c>
      <c r="Q1751" s="12">
        <v>32396.399999999998</v>
      </c>
      <c r="R1751" s="12">
        <v>9898.8999999999978</v>
      </c>
      <c r="S1751" t="s">
        <v>1246</v>
      </c>
      <c r="T1751" t="s">
        <v>110</v>
      </c>
      <c r="U1751" t="s">
        <v>1203</v>
      </c>
    </row>
    <row r="1752" spans="1:21" x14ac:dyDescent="0.25">
      <c r="A1752" t="s">
        <v>3747</v>
      </c>
      <c r="B1752" s="8">
        <v>45733</v>
      </c>
      <c r="C1752" t="s">
        <v>1333</v>
      </c>
      <c r="D1752" t="s">
        <v>1049</v>
      </c>
      <c r="E1752" t="s">
        <v>198</v>
      </c>
      <c r="F1752">
        <v>62</v>
      </c>
      <c r="G1752" t="s">
        <v>14</v>
      </c>
      <c r="H1752" t="s">
        <v>15</v>
      </c>
      <c r="I1752" t="s">
        <v>30</v>
      </c>
      <c r="J1752" t="s">
        <v>41</v>
      </c>
      <c r="K1752" t="s">
        <v>22</v>
      </c>
      <c r="L1752">
        <v>3</v>
      </c>
      <c r="M1752" s="12">
        <v>13749</v>
      </c>
      <c r="N1752" s="12">
        <v>10999.2</v>
      </c>
      <c r="O1752">
        <v>8</v>
      </c>
      <c r="P1752" s="12">
        <v>37947.240000000005</v>
      </c>
      <c r="Q1752" s="12">
        <v>32997.600000000006</v>
      </c>
      <c r="R1752" s="12">
        <v>4949.6399999999994</v>
      </c>
      <c r="S1752" t="s">
        <v>113</v>
      </c>
      <c r="T1752" t="s">
        <v>107</v>
      </c>
      <c r="U1752" t="s">
        <v>1196</v>
      </c>
    </row>
    <row r="1753" spans="1:21" x14ac:dyDescent="0.25">
      <c r="A1753" t="s">
        <v>3748</v>
      </c>
      <c r="B1753" s="8">
        <v>45907</v>
      </c>
      <c r="C1753" t="s">
        <v>1483</v>
      </c>
      <c r="D1753" t="s">
        <v>563</v>
      </c>
      <c r="E1753" t="s">
        <v>218</v>
      </c>
      <c r="F1753">
        <v>28</v>
      </c>
      <c r="G1753" t="s">
        <v>7</v>
      </c>
      <c r="H1753" t="s">
        <v>8</v>
      </c>
      <c r="I1753" t="s">
        <v>24</v>
      </c>
      <c r="J1753" t="s">
        <v>25</v>
      </c>
      <c r="K1753" t="s">
        <v>22</v>
      </c>
      <c r="L1753">
        <v>2</v>
      </c>
      <c r="M1753" s="12">
        <v>35800</v>
      </c>
      <c r="N1753" s="12">
        <v>28640</v>
      </c>
      <c r="O1753">
        <v>6</v>
      </c>
      <c r="P1753" s="12">
        <v>67304</v>
      </c>
      <c r="Q1753" s="12">
        <v>57280</v>
      </c>
      <c r="R1753" s="12">
        <v>10024</v>
      </c>
      <c r="S1753" t="s">
        <v>1249</v>
      </c>
      <c r="T1753" t="s">
        <v>108</v>
      </c>
      <c r="U1753" t="s">
        <v>1201</v>
      </c>
    </row>
    <row r="1754" spans="1:21" x14ac:dyDescent="0.25">
      <c r="A1754" t="s">
        <v>3749</v>
      </c>
      <c r="B1754" s="8">
        <v>45847</v>
      </c>
      <c r="C1754" t="s">
        <v>4260</v>
      </c>
      <c r="D1754" t="s">
        <v>620</v>
      </c>
      <c r="E1754" t="s">
        <v>218</v>
      </c>
      <c r="F1754">
        <v>62</v>
      </c>
      <c r="G1754" t="s">
        <v>290</v>
      </c>
      <c r="H1754" t="s">
        <v>3</v>
      </c>
      <c r="I1754" t="s">
        <v>36</v>
      </c>
      <c r="J1754" t="s">
        <v>136</v>
      </c>
      <c r="K1754" t="s">
        <v>22</v>
      </c>
      <c r="L1754">
        <v>3</v>
      </c>
      <c r="M1754" s="12">
        <v>3590</v>
      </c>
      <c r="N1754" s="12">
        <v>2333.5</v>
      </c>
      <c r="O1754">
        <v>3</v>
      </c>
      <c r="P1754" s="12">
        <v>10446.9</v>
      </c>
      <c r="Q1754" s="12">
        <v>7000.5</v>
      </c>
      <c r="R1754" s="12">
        <v>3446.3999999999996</v>
      </c>
      <c r="S1754" t="s">
        <v>1246</v>
      </c>
      <c r="T1754" t="s">
        <v>107</v>
      </c>
      <c r="U1754" t="s">
        <v>1207</v>
      </c>
    </row>
    <row r="1755" spans="1:21" x14ac:dyDescent="0.25">
      <c r="A1755" t="s">
        <v>3751</v>
      </c>
      <c r="B1755" s="8">
        <v>46011</v>
      </c>
      <c r="C1755" t="s">
        <v>1630</v>
      </c>
      <c r="D1755" t="s">
        <v>1044</v>
      </c>
      <c r="E1755" t="s">
        <v>198</v>
      </c>
      <c r="F1755">
        <v>20</v>
      </c>
      <c r="G1755" t="s">
        <v>5</v>
      </c>
      <c r="H1755" t="s">
        <v>3</v>
      </c>
      <c r="I1755" t="s">
        <v>42</v>
      </c>
      <c r="J1755" t="s">
        <v>44</v>
      </c>
      <c r="K1755" t="s">
        <v>43</v>
      </c>
      <c r="L1755">
        <v>1</v>
      </c>
      <c r="M1755" s="12">
        <v>8999</v>
      </c>
      <c r="N1755" s="12">
        <v>6479.28</v>
      </c>
      <c r="O1755">
        <v>17</v>
      </c>
      <c r="P1755" s="12">
        <v>7469.17</v>
      </c>
      <c r="Q1755" s="12">
        <v>6479.28</v>
      </c>
      <c r="R1755" s="12">
        <v>989.89000000000033</v>
      </c>
      <c r="S1755" t="s">
        <v>1246</v>
      </c>
      <c r="T1755" t="s">
        <v>107</v>
      </c>
      <c r="U1755" t="s">
        <v>1203</v>
      </c>
    </row>
    <row r="1756" spans="1:21" x14ac:dyDescent="0.25">
      <c r="A1756" t="s">
        <v>3752</v>
      </c>
      <c r="B1756" s="8">
        <v>45724</v>
      </c>
      <c r="C1756" t="s">
        <v>2929</v>
      </c>
      <c r="D1756" t="s">
        <v>711</v>
      </c>
      <c r="E1756" t="s">
        <v>218</v>
      </c>
      <c r="F1756">
        <v>27</v>
      </c>
      <c r="G1756" t="s">
        <v>5</v>
      </c>
      <c r="H1756" t="s">
        <v>3</v>
      </c>
      <c r="I1756" t="s">
        <v>49</v>
      </c>
      <c r="J1756" t="s">
        <v>56</v>
      </c>
      <c r="K1756" t="s">
        <v>43</v>
      </c>
      <c r="L1756">
        <v>5</v>
      </c>
      <c r="M1756" s="12">
        <v>31999</v>
      </c>
      <c r="N1756" s="12">
        <v>25599.200000000001</v>
      </c>
      <c r="O1756">
        <v>7</v>
      </c>
      <c r="P1756" s="12">
        <v>148795.34999999998</v>
      </c>
      <c r="Q1756" s="12">
        <v>127996</v>
      </c>
      <c r="R1756" s="12">
        <v>20799.349999999977</v>
      </c>
      <c r="S1756" t="s">
        <v>1246</v>
      </c>
      <c r="T1756" t="s">
        <v>107</v>
      </c>
      <c r="U1756" t="s">
        <v>1199</v>
      </c>
    </row>
    <row r="1757" spans="1:21" x14ac:dyDescent="0.25">
      <c r="A1757" t="s">
        <v>3753</v>
      </c>
      <c r="B1757" s="8">
        <v>45667</v>
      </c>
      <c r="C1757" t="s">
        <v>2227</v>
      </c>
      <c r="D1757" t="s">
        <v>981</v>
      </c>
      <c r="E1757" t="s">
        <v>198</v>
      </c>
      <c r="F1757">
        <v>19</v>
      </c>
      <c r="G1757" t="s">
        <v>7</v>
      </c>
      <c r="H1757" t="s">
        <v>8</v>
      </c>
      <c r="I1757" t="s">
        <v>34</v>
      </c>
      <c r="J1757" t="s">
        <v>137</v>
      </c>
      <c r="K1757" t="s">
        <v>22</v>
      </c>
      <c r="L1757">
        <v>2</v>
      </c>
      <c r="M1757" s="12">
        <v>6900</v>
      </c>
      <c r="N1757" s="12">
        <v>5727</v>
      </c>
      <c r="O1757">
        <v>7</v>
      </c>
      <c r="P1757" s="12">
        <v>12834</v>
      </c>
      <c r="Q1757" s="12">
        <v>11454</v>
      </c>
      <c r="R1757" s="12">
        <v>1380</v>
      </c>
      <c r="S1757" t="s">
        <v>113</v>
      </c>
      <c r="T1757" t="s">
        <v>107</v>
      </c>
      <c r="U1757" t="s">
        <v>1196</v>
      </c>
    </row>
    <row r="1758" spans="1:21" x14ac:dyDescent="0.25">
      <c r="A1758" t="s">
        <v>3755</v>
      </c>
      <c r="B1758" s="8">
        <v>45698</v>
      </c>
      <c r="C1758" t="s">
        <v>2310</v>
      </c>
      <c r="D1758" t="s">
        <v>527</v>
      </c>
      <c r="E1758" t="s">
        <v>218</v>
      </c>
      <c r="F1758">
        <v>28</v>
      </c>
      <c r="G1758" t="s">
        <v>5</v>
      </c>
      <c r="H1758" t="s">
        <v>3</v>
      </c>
      <c r="I1758" t="s">
        <v>30</v>
      </c>
      <c r="J1758" t="s">
        <v>41</v>
      </c>
      <c r="K1758" t="s">
        <v>22</v>
      </c>
      <c r="L1758">
        <v>1</v>
      </c>
      <c r="M1758" s="12">
        <v>13749</v>
      </c>
      <c r="N1758" s="12">
        <v>10999.2</v>
      </c>
      <c r="O1758">
        <v>8</v>
      </c>
      <c r="P1758" s="12">
        <v>12649.08</v>
      </c>
      <c r="Q1758" s="12">
        <v>10999.2</v>
      </c>
      <c r="R1758" s="12">
        <v>1649.8799999999992</v>
      </c>
      <c r="S1758" t="s">
        <v>113</v>
      </c>
      <c r="T1758" t="s">
        <v>107</v>
      </c>
      <c r="U1758" t="s">
        <v>1199</v>
      </c>
    </row>
    <row r="1759" spans="1:21" x14ac:dyDescent="0.25">
      <c r="A1759" t="s">
        <v>3756</v>
      </c>
      <c r="B1759" s="8">
        <v>45814</v>
      </c>
      <c r="C1759" t="s">
        <v>3226</v>
      </c>
      <c r="D1759" t="s">
        <v>1171</v>
      </c>
      <c r="E1759" t="s">
        <v>198</v>
      </c>
      <c r="F1759">
        <v>56</v>
      </c>
      <c r="G1759" t="s">
        <v>14</v>
      </c>
      <c r="H1759" t="s">
        <v>15</v>
      </c>
      <c r="I1759" t="s">
        <v>63</v>
      </c>
      <c r="J1759" t="s">
        <v>77</v>
      </c>
      <c r="K1759" t="s">
        <v>64</v>
      </c>
      <c r="L1759">
        <v>4</v>
      </c>
      <c r="M1759" s="12">
        <v>650</v>
      </c>
      <c r="N1759" s="12">
        <v>468</v>
      </c>
      <c r="O1759">
        <v>9</v>
      </c>
      <c r="P1759" s="12">
        <v>2366</v>
      </c>
      <c r="Q1759" s="12">
        <v>1872</v>
      </c>
      <c r="R1759" s="12">
        <v>494</v>
      </c>
      <c r="S1759" t="s">
        <v>1246</v>
      </c>
      <c r="T1759" t="s">
        <v>111</v>
      </c>
      <c r="U1759" t="s">
        <v>1199</v>
      </c>
    </row>
    <row r="1760" spans="1:21" x14ac:dyDescent="0.25">
      <c r="A1760" t="s">
        <v>3758</v>
      </c>
      <c r="B1760" s="8">
        <v>45758</v>
      </c>
      <c r="C1760" t="s">
        <v>2509</v>
      </c>
      <c r="D1760" t="s">
        <v>832</v>
      </c>
      <c r="E1760" t="s">
        <v>218</v>
      </c>
      <c r="F1760">
        <v>55</v>
      </c>
      <c r="G1760" t="s">
        <v>10</v>
      </c>
      <c r="H1760" t="s">
        <v>8</v>
      </c>
      <c r="I1760" t="s">
        <v>28</v>
      </c>
      <c r="J1760" t="s">
        <v>35</v>
      </c>
      <c r="K1760" t="s">
        <v>22</v>
      </c>
      <c r="L1760">
        <v>2</v>
      </c>
      <c r="M1760" s="12">
        <v>16499</v>
      </c>
      <c r="N1760" s="12">
        <v>14519.12</v>
      </c>
      <c r="O1760">
        <v>7</v>
      </c>
      <c r="P1760" s="12">
        <v>30688.14</v>
      </c>
      <c r="Q1760" s="12">
        <v>29038.240000000002</v>
      </c>
      <c r="R1760" s="12">
        <v>1649.8999999999978</v>
      </c>
      <c r="S1760" t="s">
        <v>1249</v>
      </c>
      <c r="T1760" t="s">
        <v>109</v>
      </c>
      <c r="U1760" t="s">
        <v>1201</v>
      </c>
    </row>
    <row r="1761" spans="1:21" x14ac:dyDescent="0.25">
      <c r="A1761" t="s">
        <v>3759</v>
      </c>
      <c r="B1761" s="8">
        <v>45692</v>
      </c>
      <c r="C1761" t="s">
        <v>1789</v>
      </c>
      <c r="D1761" t="s">
        <v>1187</v>
      </c>
      <c r="E1761" t="s">
        <v>218</v>
      </c>
      <c r="F1761">
        <v>30</v>
      </c>
      <c r="G1761" t="s">
        <v>5</v>
      </c>
      <c r="H1761" t="s">
        <v>3</v>
      </c>
      <c r="I1761" t="s">
        <v>55</v>
      </c>
      <c r="J1761" t="s">
        <v>65</v>
      </c>
      <c r="K1761" t="s">
        <v>64</v>
      </c>
      <c r="L1761">
        <v>2</v>
      </c>
      <c r="M1761" s="12">
        <v>80</v>
      </c>
      <c r="N1761" s="12">
        <v>56</v>
      </c>
      <c r="O1761">
        <v>1</v>
      </c>
      <c r="P1761" s="12">
        <v>158.4</v>
      </c>
      <c r="Q1761" s="12">
        <v>112</v>
      </c>
      <c r="R1761" s="12">
        <v>46.400000000000006</v>
      </c>
      <c r="S1761" t="s">
        <v>113</v>
      </c>
      <c r="T1761" t="s">
        <v>109</v>
      </c>
      <c r="U1761" t="s">
        <v>1194</v>
      </c>
    </row>
    <row r="1762" spans="1:21" x14ac:dyDescent="0.25">
      <c r="A1762" t="s">
        <v>3760</v>
      </c>
      <c r="B1762" s="8">
        <v>45877</v>
      </c>
      <c r="C1762" t="s">
        <v>1513</v>
      </c>
      <c r="D1762" t="s">
        <v>647</v>
      </c>
      <c r="E1762" t="s">
        <v>198</v>
      </c>
      <c r="F1762">
        <v>47</v>
      </c>
      <c r="G1762" t="s">
        <v>289</v>
      </c>
      <c r="H1762" t="s">
        <v>3</v>
      </c>
      <c r="I1762" t="s">
        <v>47</v>
      </c>
      <c r="J1762" t="s">
        <v>52</v>
      </c>
      <c r="K1762" t="s">
        <v>43</v>
      </c>
      <c r="L1762">
        <v>5</v>
      </c>
      <c r="M1762" s="12">
        <v>42999</v>
      </c>
      <c r="N1762" s="12">
        <v>33539.22</v>
      </c>
      <c r="O1762">
        <v>9</v>
      </c>
      <c r="P1762" s="12">
        <v>195645.45</v>
      </c>
      <c r="Q1762" s="12">
        <v>167696.1</v>
      </c>
      <c r="R1762" s="12">
        <v>27949.350000000006</v>
      </c>
      <c r="S1762" t="s">
        <v>1246</v>
      </c>
      <c r="T1762" t="s">
        <v>108</v>
      </c>
      <c r="U1762" t="s">
        <v>1211</v>
      </c>
    </row>
    <row r="1763" spans="1:21" x14ac:dyDescent="0.25">
      <c r="A1763" t="s">
        <v>3761</v>
      </c>
      <c r="B1763" s="8">
        <v>45693</v>
      </c>
      <c r="C1763" t="s">
        <v>1740</v>
      </c>
      <c r="D1763" t="s">
        <v>472</v>
      </c>
      <c r="E1763" t="s">
        <v>198</v>
      </c>
      <c r="F1763">
        <v>19</v>
      </c>
      <c r="G1763" t="s">
        <v>290</v>
      </c>
      <c r="H1763" t="s">
        <v>3</v>
      </c>
      <c r="I1763" t="s">
        <v>55</v>
      </c>
      <c r="J1763" t="s">
        <v>65</v>
      </c>
      <c r="K1763" t="s">
        <v>64</v>
      </c>
      <c r="L1763">
        <v>2</v>
      </c>
      <c r="M1763" s="12">
        <v>80</v>
      </c>
      <c r="N1763" s="12">
        <v>56</v>
      </c>
      <c r="O1763">
        <v>5</v>
      </c>
      <c r="P1763" s="12">
        <v>152</v>
      </c>
      <c r="Q1763" s="12">
        <v>112</v>
      </c>
      <c r="R1763" s="12">
        <v>40</v>
      </c>
      <c r="S1763" t="s">
        <v>113</v>
      </c>
      <c r="T1763" t="s">
        <v>109</v>
      </c>
      <c r="U1763" t="s">
        <v>1198</v>
      </c>
    </row>
    <row r="1764" spans="1:21" x14ac:dyDescent="0.25">
      <c r="A1764" t="s">
        <v>3762</v>
      </c>
      <c r="B1764" s="8">
        <v>45861</v>
      </c>
      <c r="C1764" t="s">
        <v>1582</v>
      </c>
      <c r="D1764" t="s">
        <v>824</v>
      </c>
      <c r="E1764" t="s">
        <v>198</v>
      </c>
      <c r="F1764">
        <v>39</v>
      </c>
      <c r="G1764" t="s">
        <v>2</v>
      </c>
      <c r="H1764" t="s">
        <v>3</v>
      </c>
      <c r="I1764" t="s">
        <v>63</v>
      </c>
      <c r="J1764" t="s">
        <v>77</v>
      </c>
      <c r="K1764" t="s">
        <v>64</v>
      </c>
      <c r="L1764">
        <v>5</v>
      </c>
      <c r="M1764" s="12">
        <v>650</v>
      </c>
      <c r="N1764" s="12">
        <v>468</v>
      </c>
      <c r="O1764">
        <v>4</v>
      </c>
      <c r="P1764" s="12">
        <v>3120</v>
      </c>
      <c r="Q1764" s="12">
        <v>2340</v>
      </c>
      <c r="R1764" s="12">
        <v>780</v>
      </c>
      <c r="S1764" t="s">
        <v>1246</v>
      </c>
      <c r="T1764" t="s">
        <v>107</v>
      </c>
      <c r="U1764" t="s">
        <v>1198</v>
      </c>
    </row>
    <row r="1765" spans="1:21" x14ac:dyDescent="0.25">
      <c r="A1765" t="s">
        <v>3763</v>
      </c>
      <c r="B1765" s="8">
        <v>45785</v>
      </c>
      <c r="C1765" t="s">
        <v>2210</v>
      </c>
      <c r="D1765" t="s">
        <v>805</v>
      </c>
      <c r="E1765" t="s">
        <v>218</v>
      </c>
      <c r="F1765">
        <v>54</v>
      </c>
      <c r="G1765" t="s">
        <v>7</v>
      </c>
      <c r="H1765" t="s">
        <v>8</v>
      </c>
      <c r="I1765" t="s">
        <v>51</v>
      </c>
      <c r="J1765" t="s">
        <v>54</v>
      </c>
      <c r="K1765" t="s">
        <v>43</v>
      </c>
      <c r="L1765">
        <v>5</v>
      </c>
      <c r="M1765" s="12">
        <v>27499</v>
      </c>
      <c r="N1765" s="12">
        <v>21724.210000000003</v>
      </c>
      <c r="O1765">
        <v>2</v>
      </c>
      <c r="P1765" s="12">
        <v>134745.1</v>
      </c>
      <c r="Q1765" s="12">
        <v>108621.05000000002</v>
      </c>
      <c r="R1765" s="12">
        <v>26124.049999999988</v>
      </c>
      <c r="S1765" t="s">
        <v>113</v>
      </c>
      <c r="T1765" t="s">
        <v>109</v>
      </c>
      <c r="U1765" t="s">
        <v>1211</v>
      </c>
    </row>
    <row r="1766" spans="1:21" x14ac:dyDescent="0.25">
      <c r="A1766" t="s">
        <v>3764</v>
      </c>
      <c r="B1766" s="8">
        <v>46014</v>
      </c>
      <c r="C1766" t="s">
        <v>2692</v>
      </c>
      <c r="D1766" t="s">
        <v>488</v>
      </c>
      <c r="E1766" t="s">
        <v>198</v>
      </c>
      <c r="F1766">
        <v>18</v>
      </c>
      <c r="G1766" t="s">
        <v>7</v>
      </c>
      <c r="H1766" t="s">
        <v>8</v>
      </c>
      <c r="I1766" t="s">
        <v>34</v>
      </c>
      <c r="J1766" t="s">
        <v>137</v>
      </c>
      <c r="K1766" t="s">
        <v>22</v>
      </c>
      <c r="L1766">
        <v>4</v>
      </c>
      <c r="M1766" s="12">
        <v>6900</v>
      </c>
      <c r="N1766" s="12">
        <v>5727</v>
      </c>
      <c r="O1766">
        <v>11</v>
      </c>
      <c r="P1766" s="12">
        <v>24564</v>
      </c>
      <c r="Q1766" s="12">
        <v>22908</v>
      </c>
      <c r="R1766" s="12">
        <v>1656</v>
      </c>
      <c r="S1766" t="s">
        <v>1246</v>
      </c>
      <c r="T1766" t="s">
        <v>107</v>
      </c>
      <c r="U1766" t="s">
        <v>1201</v>
      </c>
    </row>
    <row r="1767" spans="1:21" x14ac:dyDescent="0.25">
      <c r="A1767" t="s">
        <v>3766</v>
      </c>
      <c r="B1767" s="8">
        <v>45685</v>
      </c>
      <c r="C1767" t="s">
        <v>2620</v>
      </c>
      <c r="D1767" t="s">
        <v>542</v>
      </c>
      <c r="E1767" t="s">
        <v>198</v>
      </c>
      <c r="F1767">
        <v>43</v>
      </c>
      <c r="G1767" t="s">
        <v>14</v>
      </c>
      <c r="H1767" t="s">
        <v>15</v>
      </c>
      <c r="I1767" t="s">
        <v>55</v>
      </c>
      <c r="J1767" t="s">
        <v>65</v>
      </c>
      <c r="K1767" t="s">
        <v>64</v>
      </c>
      <c r="L1767">
        <v>3</v>
      </c>
      <c r="M1767" s="12">
        <v>80</v>
      </c>
      <c r="N1767" s="12">
        <v>56</v>
      </c>
      <c r="O1767">
        <v>8</v>
      </c>
      <c r="P1767" s="12">
        <v>220.8</v>
      </c>
      <c r="Q1767" s="12">
        <v>168</v>
      </c>
      <c r="R1767" s="12">
        <v>52.800000000000011</v>
      </c>
      <c r="S1767" t="s">
        <v>113</v>
      </c>
      <c r="T1767" t="s">
        <v>109</v>
      </c>
      <c r="U1767" t="s">
        <v>1207</v>
      </c>
    </row>
    <row r="1768" spans="1:21" x14ac:dyDescent="0.25">
      <c r="A1768" t="s">
        <v>3767</v>
      </c>
      <c r="B1768" s="8">
        <v>45669</v>
      </c>
      <c r="C1768" t="s">
        <v>1859</v>
      </c>
      <c r="D1768" t="s">
        <v>1188</v>
      </c>
      <c r="E1768" t="s">
        <v>198</v>
      </c>
      <c r="F1768">
        <v>32</v>
      </c>
      <c r="G1768" t="s">
        <v>9</v>
      </c>
      <c r="H1768" t="s">
        <v>8</v>
      </c>
      <c r="I1768" t="s">
        <v>57</v>
      </c>
      <c r="J1768" t="s">
        <v>67</v>
      </c>
      <c r="K1768" t="s">
        <v>64</v>
      </c>
      <c r="L1768">
        <v>4</v>
      </c>
      <c r="M1768" s="12">
        <v>150</v>
      </c>
      <c r="N1768" s="12">
        <v>97.5</v>
      </c>
      <c r="O1768">
        <v>9</v>
      </c>
      <c r="P1768" s="12">
        <v>546</v>
      </c>
      <c r="Q1768" s="12">
        <v>390</v>
      </c>
      <c r="R1768" s="12">
        <v>156</v>
      </c>
      <c r="S1768" t="s">
        <v>113</v>
      </c>
      <c r="T1768" t="s">
        <v>109</v>
      </c>
      <c r="U1768" t="s">
        <v>1199</v>
      </c>
    </row>
    <row r="1769" spans="1:21" x14ac:dyDescent="0.25">
      <c r="A1769" t="s">
        <v>3768</v>
      </c>
      <c r="B1769" s="8">
        <v>45964</v>
      </c>
      <c r="C1769" t="s">
        <v>1646</v>
      </c>
      <c r="D1769" t="s">
        <v>1078</v>
      </c>
      <c r="E1769" t="s">
        <v>218</v>
      </c>
      <c r="F1769">
        <v>58</v>
      </c>
      <c r="G1769" t="s">
        <v>11</v>
      </c>
      <c r="H1769" t="s">
        <v>12</v>
      </c>
      <c r="I1769" t="s">
        <v>63</v>
      </c>
      <c r="J1769" t="s">
        <v>77</v>
      </c>
      <c r="K1769" t="s">
        <v>64</v>
      </c>
      <c r="L1769">
        <v>2</v>
      </c>
      <c r="M1769" s="12">
        <v>650</v>
      </c>
      <c r="N1769" s="12">
        <v>468</v>
      </c>
      <c r="O1769">
        <v>5</v>
      </c>
      <c r="P1769" s="12">
        <v>1235</v>
      </c>
      <c r="Q1769" s="12">
        <v>936</v>
      </c>
      <c r="R1769" s="12">
        <v>299</v>
      </c>
      <c r="S1769" t="s">
        <v>1246</v>
      </c>
      <c r="T1769" t="s">
        <v>111</v>
      </c>
      <c r="U1769" t="s">
        <v>1196</v>
      </c>
    </row>
    <row r="1770" spans="1:21" x14ac:dyDescent="0.25">
      <c r="A1770" t="s">
        <v>3769</v>
      </c>
      <c r="B1770" s="8">
        <v>45867</v>
      </c>
      <c r="C1770" t="s">
        <v>1927</v>
      </c>
      <c r="D1770" t="s">
        <v>1041</v>
      </c>
      <c r="E1770" t="s">
        <v>198</v>
      </c>
      <c r="F1770">
        <v>26</v>
      </c>
      <c r="G1770" t="s">
        <v>7</v>
      </c>
      <c r="H1770" t="s">
        <v>8</v>
      </c>
      <c r="I1770" t="s">
        <v>34</v>
      </c>
      <c r="J1770" t="s">
        <v>137</v>
      </c>
      <c r="K1770" t="s">
        <v>22</v>
      </c>
      <c r="L1770">
        <v>4</v>
      </c>
      <c r="M1770" s="12">
        <v>6900</v>
      </c>
      <c r="N1770" s="12">
        <v>5727</v>
      </c>
      <c r="O1770">
        <v>7</v>
      </c>
      <c r="P1770" s="12">
        <v>25668</v>
      </c>
      <c r="Q1770" s="12">
        <v>22908</v>
      </c>
      <c r="R1770" s="12">
        <v>2760</v>
      </c>
      <c r="S1770" t="s">
        <v>113</v>
      </c>
      <c r="T1770" t="s">
        <v>109</v>
      </c>
      <c r="U1770" t="s">
        <v>1199</v>
      </c>
    </row>
    <row r="1771" spans="1:21" x14ac:dyDescent="0.25">
      <c r="A1771" t="s">
        <v>3770</v>
      </c>
      <c r="B1771" s="8">
        <v>45748</v>
      </c>
      <c r="C1771" t="s">
        <v>1714</v>
      </c>
      <c r="D1771" t="s">
        <v>521</v>
      </c>
      <c r="E1771" t="s">
        <v>218</v>
      </c>
      <c r="F1771">
        <v>55</v>
      </c>
      <c r="G1771" t="s">
        <v>5</v>
      </c>
      <c r="H1771" t="s">
        <v>3</v>
      </c>
      <c r="I1771" t="s">
        <v>45</v>
      </c>
      <c r="J1771" t="s">
        <v>46</v>
      </c>
      <c r="K1771" t="s">
        <v>43</v>
      </c>
      <c r="L1771">
        <v>1</v>
      </c>
      <c r="M1771" s="12">
        <v>11999</v>
      </c>
      <c r="N1771" s="12">
        <v>8999.25</v>
      </c>
      <c r="O1771">
        <v>9</v>
      </c>
      <c r="P1771" s="12">
        <v>10919.09</v>
      </c>
      <c r="Q1771" s="12">
        <v>8999.25</v>
      </c>
      <c r="R1771" s="12">
        <v>1919.8400000000001</v>
      </c>
      <c r="S1771" t="s">
        <v>1246</v>
      </c>
      <c r="T1771" t="s">
        <v>107</v>
      </c>
      <c r="U1771" t="s">
        <v>1198</v>
      </c>
    </row>
    <row r="1772" spans="1:21" x14ac:dyDescent="0.25">
      <c r="A1772" t="s">
        <v>3771</v>
      </c>
      <c r="B1772" s="8">
        <v>45863</v>
      </c>
      <c r="C1772" t="s">
        <v>2296</v>
      </c>
      <c r="D1772" t="s">
        <v>663</v>
      </c>
      <c r="E1772" t="s">
        <v>218</v>
      </c>
      <c r="F1772">
        <v>62</v>
      </c>
      <c r="G1772" t="s">
        <v>17</v>
      </c>
      <c r="H1772" t="s">
        <v>15</v>
      </c>
      <c r="I1772" t="s">
        <v>40</v>
      </c>
      <c r="J1772" t="s">
        <v>39</v>
      </c>
      <c r="K1772" t="s">
        <v>22</v>
      </c>
      <c r="L1772">
        <v>5</v>
      </c>
      <c r="M1772" s="12">
        <v>1100</v>
      </c>
      <c r="N1772" s="12">
        <v>715</v>
      </c>
      <c r="O1772">
        <v>5</v>
      </c>
      <c r="P1772" s="12">
        <v>5225</v>
      </c>
      <c r="Q1772" s="12">
        <v>3575</v>
      </c>
      <c r="R1772" s="12">
        <v>1650</v>
      </c>
      <c r="S1772" t="s">
        <v>1246</v>
      </c>
      <c r="T1772" t="s">
        <v>107</v>
      </c>
      <c r="U1772" t="s">
        <v>1199</v>
      </c>
    </row>
    <row r="1773" spans="1:21" x14ac:dyDescent="0.25">
      <c r="A1773" t="s">
        <v>3772</v>
      </c>
      <c r="B1773" s="8">
        <v>45983</v>
      </c>
      <c r="C1773" t="s">
        <v>1955</v>
      </c>
      <c r="D1773" t="s">
        <v>756</v>
      </c>
      <c r="E1773" t="s">
        <v>198</v>
      </c>
      <c r="F1773">
        <v>39</v>
      </c>
      <c r="G1773" t="s">
        <v>17</v>
      </c>
      <c r="H1773" t="s">
        <v>15</v>
      </c>
      <c r="I1773" t="s">
        <v>47</v>
      </c>
      <c r="J1773" t="s">
        <v>52</v>
      </c>
      <c r="K1773" t="s">
        <v>43</v>
      </c>
      <c r="L1773">
        <v>5</v>
      </c>
      <c r="M1773" s="12">
        <v>42999</v>
      </c>
      <c r="N1773" s="12">
        <v>33539.22</v>
      </c>
      <c r="O1773">
        <v>16</v>
      </c>
      <c r="P1773" s="12">
        <v>180595.8</v>
      </c>
      <c r="Q1773" s="12">
        <v>167696.1</v>
      </c>
      <c r="R1773" s="12">
        <v>12899.699999999983</v>
      </c>
      <c r="S1773" t="s">
        <v>1246</v>
      </c>
      <c r="T1773" t="s">
        <v>108</v>
      </c>
      <c r="U1773" t="s">
        <v>1196</v>
      </c>
    </row>
    <row r="1774" spans="1:21" x14ac:dyDescent="0.25">
      <c r="A1774" t="s">
        <v>3774</v>
      </c>
      <c r="B1774" s="8">
        <v>45773</v>
      </c>
      <c r="C1774" t="s">
        <v>1431</v>
      </c>
      <c r="D1774" t="s">
        <v>614</v>
      </c>
      <c r="E1774" t="s">
        <v>218</v>
      </c>
      <c r="F1774">
        <v>24</v>
      </c>
      <c r="G1774" t="s">
        <v>14</v>
      </c>
      <c r="H1774" t="s">
        <v>15</v>
      </c>
      <c r="I1774" t="s">
        <v>61</v>
      </c>
      <c r="J1774" t="s">
        <v>146</v>
      </c>
      <c r="K1774" t="s">
        <v>64</v>
      </c>
      <c r="L1774">
        <v>4</v>
      </c>
      <c r="M1774" s="12">
        <v>250</v>
      </c>
      <c r="N1774" s="12">
        <v>155</v>
      </c>
      <c r="O1774">
        <v>0</v>
      </c>
      <c r="P1774" s="12">
        <v>1000</v>
      </c>
      <c r="Q1774" s="12">
        <v>620</v>
      </c>
      <c r="R1774" s="12">
        <v>380</v>
      </c>
      <c r="S1774" t="s">
        <v>1246</v>
      </c>
      <c r="T1774" t="s">
        <v>111</v>
      </c>
      <c r="U1774" t="s">
        <v>1201</v>
      </c>
    </row>
    <row r="1775" spans="1:21" x14ac:dyDescent="0.25">
      <c r="A1775" t="s">
        <v>3775</v>
      </c>
      <c r="B1775" s="8">
        <v>45664</v>
      </c>
      <c r="C1775" t="s">
        <v>1442</v>
      </c>
      <c r="D1775" t="s">
        <v>883</v>
      </c>
      <c r="E1775" t="s">
        <v>218</v>
      </c>
      <c r="F1775">
        <v>54</v>
      </c>
      <c r="G1775" t="s">
        <v>14</v>
      </c>
      <c r="H1775" t="s">
        <v>15</v>
      </c>
      <c r="I1775" t="s">
        <v>63</v>
      </c>
      <c r="J1775" t="s">
        <v>77</v>
      </c>
      <c r="K1775" t="s">
        <v>64</v>
      </c>
      <c r="L1775">
        <v>1</v>
      </c>
      <c r="M1775" s="12">
        <v>650</v>
      </c>
      <c r="N1775" s="12">
        <v>468</v>
      </c>
      <c r="O1775">
        <v>10</v>
      </c>
      <c r="P1775" s="12">
        <v>585</v>
      </c>
      <c r="Q1775" s="12">
        <v>468</v>
      </c>
      <c r="R1775" s="12">
        <v>117</v>
      </c>
      <c r="S1775" t="s">
        <v>113</v>
      </c>
      <c r="T1775" t="s">
        <v>108</v>
      </c>
      <c r="U1775" t="s">
        <v>1211</v>
      </c>
    </row>
    <row r="1776" spans="1:21" x14ac:dyDescent="0.25">
      <c r="A1776" t="s">
        <v>3776</v>
      </c>
      <c r="B1776" s="8">
        <v>45806</v>
      </c>
      <c r="C1776" t="s">
        <v>4439</v>
      </c>
      <c r="D1776" t="s">
        <v>893</v>
      </c>
      <c r="E1776" t="s">
        <v>198</v>
      </c>
      <c r="F1776">
        <v>50</v>
      </c>
      <c r="G1776" t="s">
        <v>17</v>
      </c>
      <c r="H1776" t="s">
        <v>15</v>
      </c>
      <c r="I1776" t="s">
        <v>38</v>
      </c>
      <c r="J1776" t="s">
        <v>37</v>
      </c>
      <c r="K1776" t="s">
        <v>22</v>
      </c>
      <c r="L1776">
        <v>5</v>
      </c>
      <c r="M1776" s="12">
        <v>1650</v>
      </c>
      <c r="N1776" s="12">
        <v>990</v>
      </c>
      <c r="O1776">
        <v>9</v>
      </c>
      <c r="P1776" s="12">
        <v>7507.5</v>
      </c>
      <c r="Q1776" s="12">
        <v>4950</v>
      </c>
      <c r="R1776" s="12">
        <v>2557.5</v>
      </c>
      <c r="S1776" t="s">
        <v>113</v>
      </c>
      <c r="T1776" t="s">
        <v>107</v>
      </c>
      <c r="U1776" t="s">
        <v>1194</v>
      </c>
    </row>
    <row r="1777" spans="1:21" x14ac:dyDescent="0.25">
      <c r="A1777" t="s">
        <v>3777</v>
      </c>
      <c r="B1777" s="8">
        <v>45978</v>
      </c>
      <c r="C1777" t="s">
        <v>1318</v>
      </c>
      <c r="D1777" t="s">
        <v>653</v>
      </c>
      <c r="E1777" t="s">
        <v>218</v>
      </c>
      <c r="F1777">
        <v>41</v>
      </c>
      <c r="G1777" t="s">
        <v>10</v>
      </c>
      <c r="H1777" t="s">
        <v>8</v>
      </c>
      <c r="I1777" t="s">
        <v>57</v>
      </c>
      <c r="J1777" t="s">
        <v>67</v>
      </c>
      <c r="K1777" t="s">
        <v>64</v>
      </c>
      <c r="L1777">
        <v>1</v>
      </c>
      <c r="M1777" s="12">
        <v>150</v>
      </c>
      <c r="N1777" s="12">
        <v>97.5</v>
      </c>
      <c r="O1777">
        <v>8</v>
      </c>
      <c r="P1777" s="12">
        <v>138</v>
      </c>
      <c r="Q1777" s="12">
        <v>97.5</v>
      </c>
      <c r="R1777" s="12">
        <v>40.5</v>
      </c>
      <c r="S1777" t="s">
        <v>113</v>
      </c>
      <c r="T1777" t="s">
        <v>107</v>
      </c>
      <c r="U1777" t="s">
        <v>1196</v>
      </c>
    </row>
    <row r="1778" spans="1:21" x14ac:dyDescent="0.25">
      <c r="A1778" t="s">
        <v>3778</v>
      </c>
      <c r="B1778" s="8">
        <v>45764</v>
      </c>
      <c r="C1778" t="s">
        <v>1975</v>
      </c>
      <c r="D1778" t="s">
        <v>431</v>
      </c>
      <c r="E1778" t="s">
        <v>198</v>
      </c>
      <c r="F1778">
        <v>34</v>
      </c>
      <c r="G1778" t="s">
        <v>5</v>
      </c>
      <c r="H1778" t="s">
        <v>3</v>
      </c>
      <c r="I1778" t="s">
        <v>45</v>
      </c>
      <c r="J1778" t="s">
        <v>46</v>
      </c>
      <c r="K1778" t="s">
        <v>43</v>
      </c>
      <c r="L1778">
        <v>4</v>
      </c>
      <c r="M1778" s="12">
        <v>11999</v>
      </c>
      <c r="N1778" s="12">
        <v>8999.25</v>
      </c>
      <c r="O1778">
        <v>8</v>
      </c>
      <c r="P1778" s="12">
        <v>44156.32</v>
      </c>
      <c r="Q1778" s="12">
        <v>35997</v>
      </c>
      <c r="R1778" s="12">
        <v>8159.32</v>
      </c>
      <c r="S1778" t="s">
        <v>1246</v>
      </c>
      <c r="T1778" t="s">
        <v>107</v>
      </c>
      <c r="U1778" t="s">
        <v>1203</v>
      </c>
    </row>
    <row r="1779" spans="1:21" x14ac:dyDescent="0.25">
      <c r="A1779" t="s">
        <v>3779</v>
      </c>
      <c r="B1779" s="8">
        <v>45754</v>
      </c>
      <c r="C1779" t="s">
        <v>1526</v>
      </c>
      <c r="D1779" t="s">
        <v>697</v>
      </c>
      <c r="E1779" t="s">
        <v>218</v>
      </c>
      <c r="F1779">
        <v>48</v>
      </c>
      <c r="G1779" t="s">
        <v>9</v>
      </c>
      <c r="H1779" t="s">
        <v>8</v>
      </c>
      <c r="I1779" t="s">
        <v>53</v>
      </c>
      <c r="J1779" t="s">
        <v>48</v>
      </c>
      <c r="K1779" t="s">
        <v>43</v>
      </c>
      <c r="L1779">
        <v>4</v>
      </c>
      <c r="M1779" s="12">
        <v>6499</v>
      </c>
      <c r="N1779" s="12">
        <v>4549.2999999999993</v>
      </c>
      <c r="O1779">
        <v>7</v>
      </c>
      <c r="P1779" s="12">
        <v>24176.28</v>
      </c>
      <c r="Q1779" s="12">
        <v>18197.199999999997</v>
      </c>
      <c r="R1779" s="12">
        <v>5979.0800000000017</v>
      </c>
      <c r="S1779" t="s">
        <v>113</v>
      </c>
      <c r="T1779" t="s">
        <v>107</v>
      </c>
      <c r="U1779" t="s">
        <v>1211</v>
      </c>
    </row>
    <row r="1780" spans="1:21" x14ac:dyDescent="0.25">
      <c r="A1780" t="s">
        <v>3780</v>
      </c>
      <c r="B1780" s="8">
        <v>45681</v>
      </c>
      <c r="C1780" t="s">
        <v>2154</v>
      </c>
      <c r="D1780" t="s">
        <v>828</v>
      </c>
      <c r="E1780" t="s">
        <v>218</v>
      </c>
      <c r="F1780">
        <v>63</v>
      </c>
      <c r="G1780" t="s">
        <v>11</v>
      </c>
      <c r="H1780" t="s">
        <v>12</v>
      </c>
      <c r="I1780" t="s">
        <v>30</v>
      </c>
      <c r="J1780" t="s">
        <v>41</v>
      </c>
      <c r="K1780" t="s">
        <v>22</v>
      </c>
      <c r="L1780">
        <v>2</v>
      </c>
      <c r="M1780" s="12">
        <v>13749</v>
      </c>
      <c r="N1780" s="12">
        <v>10999.2</v>
      </c>
      <c r="O1780">
        <v>6</v>
      </c>
      <c r="P1780" s="12">
        <v>25848.12</v>
      </c>
      <c r="Q1780" s="12">
        <v>21998.400000000001</v>
      </c>
      <c r="R1780" s="12">
        <v>3849.7199999999975</v>
      </c>
      <c r="S1780" t="s">
        <v>1246</v>
      </c>
      <c r="T1780" t="s">
        <v>109</v>
      </c>
      <c r="U1780" t="s">
        <v>1209</v>
      </c>
    </row>
    <row r="1781" spans="1:21" x14ac:dyDescent="0.25">
      <c r="A1781" t="s">
        <v>3782</v>
      </c>
      <c r="B1781" s="8">
        <v>45718</v>
      </c>
      <c r="C1781" t="s">
        <v>2261</v>
      </c>
      <c r="D1781" t="s">
        <v>489</v>
      </c>
      <c r="E1781" t="s">
        <v>198</v>
      </c>
      <c r="F1781">
        <v>40</v>
      </c>
      <c r="G1781" t="s">
        <v>289</v>
      </c>
      <c r="H1781" t="s">
        <v>3</v>
      </c>
      <c r="I1781" t="s">
        <v>24</v>
      </c>
      <c r="J1781" t="s">
        <v>25</v>
      </c>
      <c r="K1781" t="s">
        <v>22</v>
      </c>
      <c r="L1781">
        <v>2</v>
      </c>
      <c r="M1781" s="12">
        <v>35800</v>
      </c>
      <c r="N1781" s="12">
        <v>28640</v>
      </c>
      <c r="O1781">
        <v>8</v>
      </c>
      <c r="P1781" s="12">
        <v>65872</v>
      </c>
      <c r="Q1781" s="12">
        <v>57280</v>
      </c>
      <c r="R1781" s="12">
        <v>8592</v>
      </c>
      <c r="S1781" t="s">
        <v>1246</v>
      </c>
      <c r="T1781" t="s">
        <v>107</v>
      </c>
      <c r="U1781" t="s">
        <v>1211</v>
      </c>
    </row>
    <row r="1782" spans="1:21" x14ac:dyDescent="0.25">
      <c r="A1782" t="s">
        <v>3783</v>
      </c>
      <c r="B1782" s="8">
        <v>45944</v>
      </c>
      <c r="C1782" t="s">
        <v>3573</v>
      </c>
      <c r="D1782" t="s">
        <v>838</v>
      </c>
      <c r="E1782" t="s">
        <v>218</v>
      </c>
      <c r="F1782">
        <v>59</v>
      </c>
      <c r="G1782" t="s">
        <v>7</v>
      </c>
      <c r="H1782" t="s">
        <v>8</v>
      </c>
      <c r="I1782" t="s">
        <v>45</v>
      </c>
      <c r="J1782" t="s">
        <v>46</v>
      </c>
      <c r="K1782" t="s">
        <v>43</v>
      </c>
      <c r="L1782">
        <v>5</v>
      </c>
      <c r="M1782" s="12">
        <v>11999</v>
      </c>
      <c r="N1782" s="12">
        <v>8999.25</v>
      </c>
      <c r="O1782">
        <v>6</v>
      </c>
      <c r="P1782" s="12">
        <v>56395.299999999996</v>
      </c>
      <c r="Q1782" s="12">
        <v>44996.25</v>
      </c>
      <c r="R1782" s="12">
        <v>11399.049999999996</v>
      </c>
      <c r="S1782" t="s">
        <v>1246</v>
      </c>
      <c r="T1782" t="s">
        <v>109</v>
      </c>
      <c r="U1782" t="s">
        <v>1198</v>
      </c>
    </row>
    <row r="1783" spans="1:21" x14ac:dyDescent="0.25">
      <c r="A1783" t="s">
        <v>3785</v>
      </c>
      <c r="B1783" s="8">
        <v>45816</v>
      </c>
      <c r="C1783" t="s">
        <v>2997</v>
      </c>
      <c r="D1783" t="s">
        <v>510</v>
      </c>
      <c r="E1783" t="s">
        <v>198</v>
      </c>
      <c r="F1783">
        <v>35</v>
      </c>
      <c r="G1783" t="s">
        <v>7</v>
      </c>
      <c r="H1783" t="s">
        <v>8</v>
      </c>
      <c r="I1783" t="s">
        <v>61</v>
      </c>
      <c r="J1783" t="s">
        <v>146</v>
      </c>
      <c r="K1783" t="s">
        <v>64</v>
      </c>
      <c r="L1783">
        <v>4</v>
      </c>
      <c r="M1783" s="12">
        <v>250</v>
      </c>
      <c r="N1783" s="12">
        <v>155</v>
      </c>
      <c r="O1783">
        <v>12</v>
      </c>
      <c r="P1783" s="12">
        <v>880</v>
      </c>
      <c r="Q1783" s="12">
        <v>620</v>
      </c>
      <c r="R1783" s="12">
        <v>260</v>
      </c>
      <c r="S1783" t="s">
        <v>113</v>
      </c>
      <c r="T1783" t="s">
        <v>109</v>
      </c>
      <c r="U1783" t="s">
        <v>1209</v>
      </c>
    </row>
    <row r="1784" spans="1:21" x14ac:dyDescent="0.25">
      <c r="A1784" t="s">
        <v>3786</v>
      </c>
      <c r="B1784" s="8">
        <v>45942</v>
      </c>
      <c r="C1784" t="s">
        <v>1333</v>
      </c>
      <c r="D1784" t="s">
        <v>1049</v>
      </c>
      <c r="E1784" t="s">
        <v>198</v>
      </c>
      <c r="F1784">
        <v>62</v>
      </c>
      <c r="G1784" t="s">
        <v>14</v>
      </c>
      <c r="H1784" t="s">
        <v>15</v>
      </c>
      <c r="I1784" t="s">
        <v>34</v>
      </c>
      <c r="J1784" t="s">
        <v>137</v>
      </c>
      <c r="K1784" t="s">
        <v>22</v>
      </c>
      <c r="L1784">
        <v>3</v>
      </c>
      <c r="M1784" s="12">
        <v>6900</v>
      </c>
      <c r="N1784" s="12">
        <v>5727</v>
      </c>
      <c r="O1784">
        <v>5</v>
      </c>
      <c r="P1784" s="12">
        <v>19665</v>
      </c>
      <c r="Q1784" s="12">
        <v>17181</v>
      </c>
      <c r="R1784" s="12">
        <v>2484</v>
      </c>
      <c r="S1784" t="s">
        <v>1246</v>
      </c>
      <c r="T1784" t="s">
        <v>107</v>
      </c>
      <c r="U1784" t="s">
        <v>1199</v>
      </c>
    </row>
    <row r="1785" spans="1:21" x14ac:dyDescent="0.25">
      <c r="A1785" t="s">
        <v>3787</v>
      </c>
      <c r="B1785" s="8">
        <v>45844</v>
      </c>
      <c r="C1785" t="s">
        <v>2971</v>
      </c>
      <c r="D1785" t="s">
        <v>955</v>
      </c>
      <c r="E1785" t="s">
        <v>198</v>
      </c>
      <c r="F1785">
        <v>64</v>
      </c>
      <c r="G1785" t="s">
        <v>4</v>
      </c>
      <c r="H1785" t="s">
        <v>3</v>
      </c>
      <c r="I1785" t="s">
        <v>36</v>
      </c>
      <c r="J1785" t="s">
        <v>136</v>
      </c>
      <c r="K1785" t="s">
        <v>22</v>
      </c>
      <c r="L1785">
        <v>5</v>
      </c>
      <c r="M1785" s="12">
        <v>3590</v>
      </c>
      <c r="N1785" s="12">
        <v>2333.5</v>
      </c>
      <c r="O1785">
        <v>3</v>
      </c>
      <c r="P1785" s="12">
        <v>17411.5</v>
      </c>
      <c r="Q1785" s="12">
        <v>11667.5</v>
      </c>
      <c r="R1785" s="12">
        <v>5744</v>
      </c>
      <c r="S1785" t="s">
        <v>113</v>
      </c>
      <c r="T1785" t="s">
        <v>110</v>
      </c>
      <c r="U1785" t="s">
        <v>1194</v>
      </c>
    </row>
    <row r="1786" spans="1:21" x14ac:dyDescent="0.25">
      <c r="A1786" t="s">
        <v>3788</v>
      </c>
      <c r="B1786" s="8">
        <v>45976</v>
      </c>
      <c r="C1786" t="s">
        <v>1734</v>
      </c>
      <c r="D1786" t="s">
        <v>714</v>
      </c>
      <c r="E1786" t="s">
        <v>198</v>
      </c>
      <c r="F1786">
        <v>51</v>
      </c>
      <c r="G1786" t="s">
        <v>11</v>
      </c>
      <c r="H1786" t="s">
        <v>12</v>
      </c>
      <c r="I1786" t="s">
        <v>26</v>
      </c>
      <c r="J1786" t="s">
        <v>27</v>
      </c>
      <c r="K1786" t="s">
        <v>22</v>
      </c>
      <c r="L1786">
        <v>4</v>
      </c>
      <c r="M1786" s="12">
        <v>27499</v>
      </c>
      <c r="N1786" s="12">
        <v>23374.149999999998</v>
      </c>
      <c r="O1786">
        <v>16</v>
      </c>
      <c r="P1786" s="12">
        <v>92396.64</v>
      </c>
      <c r="Q1786" s="12">
        <v>93496.599999999991</v>
      </c>
      <c r="R1786" s="12">
        <v>-1099.9599999999919</v>
      </c>
      <c r="S1786" t="s">
        <v>1246</v>
      </c>
      <c r="T1786" t="s">
        <v>109</v>
      </c>
      <c r="U1786" t="s">
        <v>1203</v>
      </c>
    </row>
    <row r="1787" spans="1:21" x14ac:dyDescent="0.25">
      <c r="A1787" t="s">
        <v>3789</v>
      </c>
      <c r="B1787" s="8">
        <v>46006</v>
      </c>
      <c r="C1787" t="s">
        <v>2464</v>
      </c>
      <c r="D1787" t="s">
        <v>432</v>
      </c>
      <c r="E1787" t="s">
        <v>218</v>
      </c>
      <c r="F1787">
        <v>54</v>
      </c>
      <c r="G1787" t="s">
        <v>17</v>
      </c>
      <c r="H1787" t="s">
        <v>15</v>
      </c>
      <c r="I1787" t="s">
        <v>63</v>
      </c>
      <c r="J1787" t="s">
        <v>77</v>
      </c>
      <c r="K1787" t="s">
        <v>64</v>
      </c>
      <c r="L1787">
        <v>4</v>
      </c>
      <c r="M1787" s="12">
        <v>650</v>
      </c>
      <c r="N1787" s="12">
        <v>468</v>
      </c>
      <c r="O1787">
        <v>7</v>
      </c>
      <c r="P1787" s="12">
        <v>2418</v>
      </c>
      <c r="Q1787" s="12">
        <v>1872</v>
      </c>
      <c r="R1787" s="12">
        <v>546</v>
      </c>
      <c r="S1787" t="s">
        <v>113</v>
      </c>
      <c r="T1787" t="s">
        <v>109</v>
      </c>
      <c r="U1787" t="s">
        <v>1211</v>
      </c>
    </row>
    <row r="1788" spans="1:21" x14ac:dyDescent="0.25">
      <c r="A1788" t="s">
        <v>3790</v>
      </c>
      <c r="B1788" s="8">
        <v>45985</v>
      </c>
      <c r="C1788" t="s">
        <v>1295</v>
      </c>
      <c r="D1788" t="s">
        <v>404</v>
      </c>
      <c r="E1788" t="s">
        <v>198</v>
      </c>
      <c r="F1788">
        <v>31</v>
      </c>
      <c r="G1788" t="s">
        <v>289</v>
      </c>
      <c r="H1788" t="s">
        <v>3</v>
      </c>
      <c r="I1788" t="s">
        <v>57</v>
      </c>
      <c r="J1788" t="s">
        <v>67</v>
      </c>
      <c r="K1788" t="s">
        <v>64</v>
      </c>
      <c r="L1788">
        <v>5</v>
      </c>
      <c r="M1788" s="12">
        <v>150</v>
      </c>
      <c r="N1788" s="12">
        <v>97.5</v>
      </c>
      <c r="O1788">
        <v>4</v>
      </c>
      <c r="P1788" s="12">
        <v>720</v>
      </c>
      <c r="Q1788" s="12">
        <v>487.5</v>
      </c>
      <c r="R1788" s="12">
        <v>232.5</v>
      </c>
      <c r="S1788" t="s">
        <v>1246</v>
      </c>
      <c r="T1788" t="s">
        <v>108</v>
      </c>
      <c r="U1788" t="s">
        <v>1198</v>
      </c>
    </row>
    <row r="1789" spans="1:21" x14ac:dyDescent="0.25">
      <c r="A1789" t="s">
        <v>3791</v>
      </c>
      <c r="B1789" s="8">
        <v>45810</v>
      </c>
      <c r="C1789" t="s">
        <v>2042</v>
      </c>
      <c r="D1789" t="s">
        <v>509</v>
      </c>
      <c r="E1789" t="s">
        <v>198</v>
      </c>
      <c r="F1789">
        <v>32</v>
      </c>
      <c r="G1789" t="s">
        <v>7</v>
      </c>
      <c r="H1789" t="s">
        <v>8</v>
      </c>
      <c r="I1789" t="s">
        <v>53</v>
      </c>
      <c r="J1789" t="s">
        <v>48</v>
      </c>
      <c r="K1789" t="s">
        <v>43</v>
      </c>
      <c r="L1789">
        <v>2</v>
      </c>
      <c r="M1789" s="12">
        <v>6499</v>
      </c>
      <c r="N1789" s="12">
        <v>4549.2999999999993</v>
      </c>
      <c r="O1789">
        <v>4</v>
      </c>
      <c r="P1789" s="12">
        <v>12478.08</v>
      </c>
      <c r="Q1789" s="12">
        <v>9098.5999999999985</v>
      </c>
      <c r="R1789" s="12">
        <v>3379.4800000000014</v>
      </c>
      <c r="S1789" t="s">
        <v>113</v>
      </c>
      <c r="T1789" t="s">
        <v>107</v>
      </c>
      <c r="U1789" t="s">
        <v>1201</v>
      </c>
    </row>
    <row r="1790" spans="1:21" x14ac:dyDescent="0.25">
      <c r="A1790" t="s">
        <v>3792</v>
      </c>
      <c r="B1790" s="8">
        <v>45753</v>
      </c>
      <c r="C1790" t="s">
        <v>2250</v>
      </c>
      <c r="D1790" t="s">
        <v>983</v>
      </c>
      <c r="E1790" t="s">
        <v>198</v>
      </c>
      <c r="F1790">
        <v>25</v>
      </c>
      <c r="G1790" t="s">
        <v>289</v>
      </c>
      <c r="H1790" t="s">
        <v>3</v>
      </c>
      <c r="I1790" t="s">
        <v>21</v>
      </c>
      <c r="J1790" t="s">
        <v>23</v>
      </c>
      <c r="K1790" t="s">
        <v>22</v>
      </c>
      <c r="L1790">
        <v>5</v>
      </c>
      <c r="M1790" s="12">
        <v>54999</v>
      </c>
      <c r="N1790" s="12">
        <v>45099.18</v>
      </c>
      <c r="O1790">
        <v>3</v>
      </c>
      <c r="P1790" s="12">
        <v>266745.14999999997</v>
      </c>
      <c r="Q1790" s="12">
        <v>225495.9</v>
      </c>
      <c r="R1790" s="12">
        <v>41249.249999999971</v>
      </c>
      <c r="S1790" t="s">
        <v>1246</v>
      </c>
      <c r="T1790" t="s">
        <v>108</v>
      </c>
      <c r="U1790" t="s">
        <v>1207</v>
      </c>
    </row>
    <row r="1791" spans="1:21" x14ac:dyDescent="0.25">
      <c r="A1791" t="s">
        <v>3793</v>
      </c>
      <c r="B1791" s="8">
        <v>45817</v>
      </c>
      <c r="C1791" t="s">
        <v>4601</v>
      </c>
      <c r="D1791" t="s">
        <v>1147</v>
      </c>
      <c r="E1791" t="s">
        <v>218</v>
      </c>
      <c r="F1791">
        <v>39</v>
      </c>
      <c r="G1791" t="s">
        <v>9</v>
      </c>
      <c r="H1791" t="s">
        <v>8</v>
      </c>
      <c r="I1791" t="s">
        <v>47</v>
      </c>
      <c r="J1791" t="s">
        <v>52</v>
      </c>
      <c r="K1791" t="s">
        <v>43</v>
      </c>
      <c r="L1791">
        <v>3</v>
      </c>
      <c r="M1791" s="12">
        <v>42999</v>
      </c>
      <c r="N1791" s="12">
        <v>33539.22</v>
      </c>
      <c r="O1791">
        <v>5</v>
      </c>
      <c r="P1791" s="12">
        <v>122547.15</v>
      </c>
      <c r="Q1791" s="12">
        <v>100617.66</v>
      </c>
      <c r="R1791" s="12">
        <v>21929.489999999991</v>
      </c>
      <c r="S1791" t="s">
        <v>1246</v>
      </c>
      <c r="T1791" t="s">
        <v>108</v>
      </c>
      <c r="U1791" t="s">
        <v>1199</v>
      </c>
    </row>
    <row r="1792" spans="1:21" x14ac:dyDescent="0.25">
      <c r="A1792" t="s">
        <v>3794</v>
      </c>
      <c r="B1792" s="8">
        <v>45935</v>
      </c>
      <c r="C1792" t="s">
        <v>1283</v>
      </c>
      <c r="D1792" t="s">
        <v>659</v>
      </c>
      <c r="E1792" t="s">
        <v>218</v>
      </c>
      <c r="F1792">
        <v>24</v>
      </c>
      <c r="G1792" t="s">
        <v>2</v>
      </c>
      <c r="H1792" t="s">
        <v>3</v>
      </c>
      <c r="I1792" t="s">
        <v>24</v>
      </c>
      <c r="J1792" t="s">
        <v>25</v>
      </c>
      <c r="K1792" t="s">
        <v>22</v>
      </c>
      <c r="L1792">
        <v>1</v>
      </c>
      <c r="M1792" s="12">
        <v>35800</v>
      </c>
      <c r="N1792" s="12">
        <v>28640</v>
      </c>
      <c r="O1792">
        <v>4</v>
      </c>
      <c r="P1792" s="12">
        <v>34368</v>
      </c>
      <c r="Q1792" s="12">
        <v>28640</v>
      </c>
      <c r="R1792" s="12">
        <v>5728</v>
      </c>
      <c r="S1792" t="s">
        <v>113</v>
      </c>
      <c r="T1792" t="s">
        <v>108</v>
      </c>
      <c r="U1792" t="s">
        <v>1196</v>
      </c>
    </row>
    <row r="1793" spans="1:21" x14ac:dyDescent="0.25">
      <c r="A1793" t="s">
        <v>3795</v>
      </c>
      <c r="B1793" s="8">
        <v>45832</v>
      </c>
      <c r="C1793" t="s">
        <v>2797</v>
      </c>
      <c r="D1793" t="s">
        <v>380</v>
      </c>
      <c r="E1793" t="s">
        <v>218</v>
      </c>
      <c r="F1793">
        <v>58</v>
      </c>
      <c r="G1793" t="s">
        <v>11</v>
      </c>
      <c r="H1793" t="s">
        <v>12</v>
      </c>
      <c r="I1793" t="s">
        <v>36</v>
      </c>
      <c r="J1793" t="s">
        <v>136</v>
      </c>
      <c r="K1793" t="s">
        <v>22</v>
      </c>
      <c r="L1793">
        <v>5</v>
      </c>
      <c r="M1793" s="12">
        <v>3590</v>
      </c>
      <c r="N1793" s="12">
        <v>2333.5</v>
      </c>
      <c r="O1793">
        <v>5</v>
      </c>
      <c r="P1793" s="12">
        <v>17052.5</v>
      </c>
      <c r="Q1793" s="12">
        <v>11667.5</v>
      </c>
      <c r="R1793" s="12">
        <v>5385</v>
      </c>
      <c r="S1793" t="s">
        <v>1249</v>
      </c>
      <c r="T1793" t="s">
        <v>109</v>
      </c>
      <c r="U1793" t="s">
        <v>1207</v>
      </c>
    </row>
    <row r="1794" spans="1:21" x14ac:dyDescent="0.25">
      <c r="A1794" t="s">
        <v>3797</v>
      </c>
      <c r="B1794" s="8">
        <v>45824</v>
      </c>
      <c r="C1794" t="s">
        <v>2634</v>
      </c>
      <c r="D1794" t="s">
        <v>419</v>
      </c>
      <c r="E1794" t="s">
        <v>198</v>
      </c>
      <c r="F1794">
        <v>18</v>
      </c>
      <c r="G1794" t="s">
        <v>290</v>
      </c>
      <c r="H1794" t="s">
        <v>3</v>
      </c>
      <c r="I1794" t="s">
        <v>26</v>
      </c>
      <c r="J1794" t="s">
        <v>27</v>
      </c>
      <c r="K1794" t="s">
        <v>22</v>
      </c>
      <c r="L1794">
        <v>2</v>
      </c>
      <c r="M1794" s="12">
        <v>27499</v>
      </c>
      <c r="N1794" s="12">
        <v>23374.149999999998</v>
      </c>
      <c r="O1794">
        <v>9</v>
      </c>
      <c r="P1794" s="12">
        <v>50048.18</v>
      </c>
      <c r="Q1794" s="12">
        <v>46748.299999999996</v>
      </c>
      <c r="R1794" s="12">
        <v>3299.8800000000047</v>
      </c>
      <c r="S1794" t="s">
        <v>1246</v>
      </c>
      <c r="T1794" t="s">
        <v>107</v>
      </c>
      <c r="U1794" t="s">
        <v>1194</v>
      </c>
    </row>
    <row r="1795" spans="1:21" x14ac:dyDescent="0.25">
      <c r="A1795" t="s">
        <v>3798</v>
      </c>
      <c r="B1795" s="8">
        <v>45687</v>
      </c>
      <c r="C1795" t="s">
        <v>3907</v>
      </c>
      <c r="D1795" t="s">
        <v>1066</v>
      </c>
      <c r="E1795" t="s">
        <v>198</v>
      </c>
      <c r="F1795">
        <v>43</v>
      </c>
      <c r="G1795" t="s">
        <v>4</v>
      </c>
      <c r="H1795" t="s">
        <v>3</v>
      </c>
      <c r="I1795" t="s">
        <v>28</v>
      </c>
      <c r="J1795" t="s">
        <v>35</v>
      </c>
      <c r="K1795" t="s">
        <v>22</v>
      </c>
      <c r="L1795">
        <v>4</v>
      </c>
      <c r="M1795" s="12">
        <v>16499</v>
      </c>
      <c r="N1795" s="12">
        <v>14519.12</v>
      </c>
      <c r="O1795">
        <v>6</v>
      </c>
      <c r="P1795" s="12">
        <v>62036.24</v>
      </c>
      <c r="Q1795" s="12">
        <v>58076.480000000003</v>
      </c>
      <c r="R1795" s="12">
        <v>3959.7599999999948</v>
      </c>
      <c r="S1795" t="s">
        <v>1246</v>
      </c>
      <c r="T1795" t="s">
        <v>109</v>
      </c>
      <c r="U1795" t="s">
        <v>1199</v>
      </c>
    </row>
    <row r="1796" spans="1:21" x14ac:dyDescent="0.25">
      <c r="A1796" t="s">
        <v>3799</v>
      </c>
      <c r="B1796" s="8">
        <v>45760</v>
      </c>
      <c r="C1796" t="s">
        <v>2147</v>
      </c>
      <c r="D1796" t="s">
        <v>894</v>
      </c>
      <c r="E1796" t="s">
        <v>198</v>
      </c>
      <c r="F1796">
        <v>50</v>
      </c>
      <c r="G1796" t="s">
        <v>11</v>
      </c>
      <c r="H1796" t="s">
        <v>12</v>
      </c>
      <c r="I1796" t="s">
        <v>21</v>
      </c>
      <c r="J1796" t="s">
        <v>23</v>
      </c>
      <c r="K1796" t="s">
        <v>22</v>
      </c>
      <c r="L1796">
        <v>4</v>
      </c>
      <c r="M1796" s="12">
        <v>54999</v>
      </c>
      <c r="N1796" s="12">
        <v>45099.18</v>
      </c>
      <c r="O1796">
        <v>8</v>
      </c>
      <c r="P1796" s="12">
        <v>202396.32</v>
      </c>
      <c r="Q1796" s="12">
        <v>180396.72</v>
      </c>
      <c r="R1796" s="12">
        <v>21999.600000000006</v>
      </c>
      <c r="S1796" t="s">
        <v>1246</v>
      </c>
      <c r="T1796" t="s">
        <v>109</v>
      </c>
      <c r="U1796" t="s">
        <v>1203</v>
      </c>
    </row>
    <row r="1797" spans="1:21" x14ac:dyDescent="0.25">
      <c r="A1797" t="s">
        <v>3800</v>
      </c>
      <c r="B1797" s="8">
        <v>45832</v>
      </c>
      <c r="C1797" t="s">
        <v>2428</v>
      </c>
      <c r="D1797" t="s">
        <v>1016</v>
      </c>
      <c r="E1797" t="s">
        <v>218</v>
      </c>
      <c r="F1797">
        <v>26</v>
      </c>
      <c r="G1797" t="s">
        <v>4</v>
      </c>
      <c r="H1797" t="s">
        <v>3</v>
      </c>
      <c r="I1797" t="s">
        <v>47</v>
      </c>
      <c r="J1797" t="s">
        <v>52</v>
      </c>
      <c r="K1797" t="s">
        <v>43</v>
      </c>
      <c r="L1797">
        <v>4</v>
      </c>
      <c r="M1797" s="12">
        <v>42999</v>
      </c>
      <c r="N1797" s="12">
        <v>33539.22</v>
      </c>
      <c r="O1797">
        <v>3</v>
      </c>
      <c r="P1797" s="12">
        <v>166836.12</v>
      </c>
      <c r="Q1797" s="12">
        <v>134156.88</v>
      </c>
      <c r="R1797" s="12">
        <v>32679.239999999991</v>
      </c>
      <c r="S1797" t="s">
        <v>1246</v>
      </c>
      <c r="T1797" t="s">
        <v>108</v>
      </c>
      <c r="U1797" t="s">
        <v>1194</v>
      </c>
    </row>
    <row r="1798" spans="1:21" x14ac:dyDescent="0.25">
      <c r="A1798" t="s">
        <v>3801</v>
      </c>
      <c r="B1798" s="8">
        <v>45882</v>
      </c>
      <c r="C1798" t="s">
        <v>1363</v>
      </c>
      <c r="D1798" t="s">
        <v>1117</v>
      </c>
      <c r="E1798" t="s">
        <v>198</v>
      </c>
      <c r="F1798">
        <v>36</v>
      </c>
      <c r="G1798" t="s">
        <v>17</v>
      </c>
      <c r="H1798" t="s">
        <v>15</v>
      </c>
      <c r="I1798" t="s">
        <v>55</v>
      </c>
      <c r="J1798" t="s">
        <v>65</v>
      </c>
      <c r="K1798" t="s">
        <v>64</v>
      </c>
      <c r="L1798">
        <v>3</v>
      </c>
      <c r="M1798" s="12">
        <v>80</v>
      </c>
      <c r="N1798" s="12">
        <v>56</v>
      </c>
      <c r="O1798">
        <v>5</v>
      </c>
      <c r="P1798" s="12">
        <v>228</v>
      </c>
      <c r="Q1798" s="12">
        <v>168</v>
      </c>
      <c r="R1798" s="12">
        <v>60</v>
      </c>
      <c r="S1798" t="s">
        <v>1246</v>
      </c>
      <c r="T1798" t="s">
        <v>108</v>
      </c>
      <c r="U1798" t="s">
        <v>1198</v>
      </c>
    </row>
    <row r="1799" spans="1:21" x14ac:dyDescent="0.25">
      <c r="A1799" t="s">
        <v>3802</v>
      </c>
      <c r="B1799" s="8">
        <v>45915</v>
      </c>
      <c r="C1799" t="s">
        <v>3704</v>
      </c>
      <c r="D1799" t="s">
        <v>609</v>
      </c>
      <c r="E1799" t="s">
        <v>198</v>
      </c>
      <c r="F1799">
        <v>52</v>
      </c>
      <c r="G1799" t="s">
        <v>5</v>
      </c>
      <c r="H1799" t="s">
        <v>3</v>
      </c>
      <c r="I1799" t="s">
        <v>55</v>
      </c>
      <c r="J1799" t="s">
        <v>65</v>
      </c>
      <c r="K1799" t="s">
        <v>64</v>
      </c>
      <c r="L1799">
        <v>1</v>
      </c>
      <c r="M1799" s="12">
        <v>80</v>
      </c>
      <c r="N1799" s="12">
        <v>56</v>
      </c>
      <c r="O1799">
        <v>2</v>
      </c>
      <c r="P1799" s="12">
        <v>78.400000000000006</v>
      </c>
      <c r="Q1799" s="12">
        <v>56</v>
      </c>
      <c r="R1799" s="12">
        <v>22.400000000000006</v>
      </c>
      <c r="S1799" t="s">
        <v>1246</v>
      </c>
      <c r="T1799" t="s">
        <v>108</v>
      </c>
      <c r="U1799" t="s">
        <v>1196</v>
      </c>
    </row>
    <row r="1800" spans="1:21" x14ac:dyDescent="0.25">
      <c r="A1800" t="s">
        <v>3803</v>
      </c>
      <c r="B1800" s="8">
        <v>45800</v>
      </c>
      <c r="C1800" t="s">
        <v>3442</v>
      </c>
      <c r="D1800" t="s">
        <v>1155</v>
      </c>
      <c r="E1800" t="s">
        <v>218</v>
      </c>
      <c r="F1800">
        <v>53</v>
      </c>
      <c r="G1800" t="s">
        <v>290</v>
      </c>
      <c r="H1800" t="s">
        <v>3</v>
      </c>
      <c r="I1800" t="s">
        <v>26</v>
      </c>
      <c r="J1800" t="s">
        <v>27</v>
      </c>
      <c r="K1800" t="s">
        <v>22</v>
      </c>
      <c r="L1800">
        <v>1</v>
      </c>
      <c r="M1800" s="12">
        <v>27499</v>
      </c>
      <c r="N1800" s="12">
        <v>23374.149999999998</v>
      </c>
      <c r="O1800">
        <v>9</v>
      </c>
      <c r="P1800" s="12">
        <v>25024.09</v>
      </c>
      <c r="Q1800" s="12">
        <v>23374.149999999998</v>
      </c>
      <c r="R1800" s="12">
        <v>1649.9400000000023</v>
      </c>
      <c r="S1800" t="s">
        <v>1249</v>
      </c>
      <c r="T1800" t="s">
        <v>111</v>
      </c>
      <c r="U1800" t="s">
        <v>1209</v>
      </c>
    </row>
    <row r="1801" spans="1:21" x14ac:dyDescent="0.25">
      <c r="A1801" t="s">
        <v>3805</v>
      </c>
      <c r="B1801" s="8">
        <v>45961</v>
      </c>
      <c r="C1801" t="s">
        <v>2199</v>
      </c>
      <c r="D1801" t="s">
        <v>1161</v>
      </c>
      <c r="E1801" t="s">
        <v>218</v>
      </c>
      <c r="F1801">
        <v>58</v>
      </c>
      <c r="G1801" t="s">
        <v>7</v>
      </c>
      <c r="H1801" t="s">
        <v>8</v>
      </c>
      <c r="I1801" t="s">
        <v>53</v>
      </c>
      <c r="J1801" t="s">
        <v>48</v>
      </c>
      <c r="K1801" t="s">
        <v>43</v>
      </c>
      <c r="L1801">
        <v>1</v>
      </c>
      <c r="M1801" s="12">
        <v>6499</v>
      </c>
      <c r="N1801" s="12">
        <v>4549.2999999999993</v>
      </c>
      <c r="O1801">
        <v>8</v>
      </c>
      <c r="P1801" s="12">
        <v>5979.08</v>
      </c>
      <c r="Q1801" s="12">
        <v>4549.2999999999993</v>
      </c>
      <c r="R1801" s="12">
        <v>1429.7800000000007</v>
      </c>
      <c r="S1801" t="s">
        <v>1246</v>
      </c>
      <c r="T1801" t="s">
        <v>108</v>
      </c>
      <c r="U1801" t="s">
        <v>1211</v>
      </c>
    </row>
    <row r="1802" spans="1:21" x14ac:dyDescent="0.25">
      <c r="A1802" t="s">
        <v>3806</v>
      </c>
      <c r="B1802" s="8">
        <v>45938</v>
      </c>
      <c r="C1802" t="s">
        <v>3632</v>
      </c>
      <c r="D1802" t="s">
        <v>1081</v>
      </c>
      <c r="E1802" t="s">
        <v>218</v>
      </c>
      <c r="F1802">
        <v>47</v>
      </c>
      <c r="G1802" t="s">
        <v>289</v>
      </c>
      <c r="H1802" t="s">
        <v>3</v>
      </c>
      <c r="I1802" t="s">
        <v>40</v>
      </c>
      <c r="J1802" t="s">
        <v>39</v>
      </c>
      <c r="K1802" t="s">
        <v>22</v>
      </c>
      <c r="L1802">
        <v>4</v>
      </c>
      <c r="M1802" s="12">
        <v>1100</v>
      </c>
      <c r="N1802" s="12">
        <v>715</v>
      </c>
      <c r="O1802">
        <v>8</v>
      </c>
      <c r="P1802" s="12">
        <v>4048</v>
      </c>
      <c r="Q1802" s="12">
        <v>2860</v>
      </c>
      <c r="R1802" s="12">
        <v>1188</v>
      </c>
      <c r="S1802" t="s">
        <v>1246</v>
      </c>
      <c r="T1802" t="s">
        <v>107</v>
      </c>
      <c r="U1802" t="s">
        <v>1209</v>
      </c>
    </row>
    <row r="1803" spans="1:21" x14ac:dyDescent="0.25">
      <c r="A1803" t="s">
        <v>3807</v>
      </c>
      <c r="B1803" s="8">
        <v>45747</v>
      </c>
      <c r="C1803" t="s">
        <v>2088</v>
      </c>
      <c r="D1803" t="s">
        <v>595</v>
      </c>
      <c r="E1803" t="s">
        <v>218</v>
      </c>
      <c r="F1803">
        <v>28</v>
      </c>
      <c r="G1803" t="s">
        <v>14</v>
      </c>
      <c r="H1803" t="s">
        <v>15</v>
      </c>
      <c r="I1803" t="s">
        <v>59</v>
      </c>
      <c r="J1803" t="s">
        <v>73</v>
      </c>
      <c r="K1803" t="s">
        <v>64</v>
      </c>
      <c r="L1803">
        <v>4</v>
      </c>
      <c r="M1803" s="12">
        <v>120</v>
      </c>
      <c r="N1803" s="12">
        <v>81.599999999999994</v>
      </c>
      <c r="O1803">
        <v>0</v>
      </c>
      <c r="P1803" s="12">
        <v>480</v>
      </c>
      <c r="Q1803" s="12">
        <v>326.39999999999998</v>
      </c>
      <c r="R1803" s="12">
        <v>153.60000000000002</v>
      </c>
      <c r="S1803" t="s">
        <v>113</v>
      </c>
      <c r="T1803" t="s">
        <v>109</v>
      </c>
      <c r="U1803" t="s">
        <v>1194</v>
      </c>
    </row>
    <row r="1804" spans="1:21" x14ac:dyDescent="0.25">
      <c r="A1804" t="s">
        <v>3808</v>
      </c>
      <c r="B1804" s="8">
        <v>46021</v>
      </c>
      <c r="C1804" t="s">
        <v>1736</v>
      </c>
      <c r="D1804" t="s">
        <v>524</v>
      </c>
      <c r="E1804" t="s">
        <v>198</v>
      </c>
      <c r="F1804">
        <v>42</v>
      </c>
      <c r="G1804" t="s">
        <v>5</v>
      </c>
      <c r="H1804" t="s">
        <v>3</v>
      </c>
      <c r="I1804" t="s">
        <v>45</v>
      </c>
      <c r="J1804" t="s">
        <v>46</v>
      </c>
      <c r="K1804" t="s">
        <v>43</v>
      </c>
      <c r="L1804">
        <v>1</v>
      </c>
      <c r="M1804" s="12">
        <v>11999</v>
      </c>
      <c r="N1804" s="12">
        <v>8999.25</v>
      </c>
      <c r="O1804">
        <v>14</v>
      </c>
      <c r="P1804" s="12">
        <v>10319.14</v>
      </c>
      <c r="Q1804" s="12">
        <v>8999.25</v>
      </c>
      <c r="R1804" s="12">
        <v>1319.8899999999994</v>
      </c>
      <c r="S1804" t="s">
        <v>113</v>
      </c>
      <c r="T1804" t="s">
        <v>107</v>
      </c>
      <c r="U1804" t="s">
        <v>1198</v>
      </c>
    </row>
    <row r="1805" spans="1:21" x14ac:dyDescent="0.25">
      <c r="A1805" t="s">
        <v>3809</v>
      </c>
      <c r="B1805" s="8">
        <v>45666</v>
      </c>
      <c r="C1805" t="s">
        <v>3018</v>
      </c>
      <c r="D1805" t="s">
        <v>459</v>
      </c>
      <c r="E1805" t="s">
        <v>218</v>
      </c>
      <c r="F1805">
        <v>21</v>
      </c>
      <c r="G1805" t="s">
        <v>5</v>
      </c>
      <c r="H1805" t="s">
        <v>3</v>
      </c>
      <c r="I1805" t="s">
        <v>49</v>
      </c>
      <c r="J1805" t="s">
        <v>56</v>
      </c>
      <c r="K1805" t="s">
        <v>43</v>
      </c>
      <c r="L1805">
        <v>5</v>
      </c>
      <c r="M1805" s="12">
        <v>31999</v>
      </c>
      <c r="N1805" s="12">
        <v>25599.200000000001</v>
      </c>
      <c r="O1805">
        <v>2</v>
      </c>
      <c r="P1805" s="12">
        <v>156795.1</v>
      </c>
      <c r="Q1805" s="12">
        <v>127996</v>
      </c>
      <c r="R1805" s="12">
        <v>28799.100000000006</v>
      </c>
      <c r="S1805" t="s">
        <v>1246</v>
      </c>
      <c r="T1805" t="s">
        <v>107</v>
      </c>
      <c r="U1805" t="s">
        <v>1199</v>
      </c>
    </row>
    <row r="1806" spans="1:21" x14ac:dyDescent="0.25">
      <c r="A1806" t="s">
        <v>3811</v>
      </c>
      <c r="B1806" s="8">
        <v>45730</v>
      </c>
      <c r="C1806" t="s">
        <v>3065</v>
      </c>
      <c r="D1806" t="s">
        <v>447</v>
      </c>
      <c r="E1806" t="s">
        <v>198</v>
      </c>
      <c r="F1806">
        <v>53</v>
      </c>
      <c r="G1806" t="s">
        <v>16</v>
      </c>
      <c r="H1806" t="s">
        <v>15</v>
      </c>
      <c r="I1806" t="s">
        <v>32</v>
      </c>
      <c r="J1806" t="s">
        <v>29</v>
      </c>
      <c r="K1806" t="s">
        <v>22</v>
      </c>
      <c r="L1806">
        <v>4</v>
      </c>
      <c r="M1806" s="12">
        <v>9500</v>
      </c>
      <c r="N1806" s="12">
        <v>6650</v>
      </c>
      <c r="O1806">
        <v>7</v>
      </c>
      <c r="P1806" s="12">
        <v>35340</v>
      </c>
      <c r="Q1806" s="12">
        <v>26600</v>
      </c>
      <c r="R1806" s="12">
        <v>8740</v>
      </c>
      <c r="S1806" t="s">
        <v>113</v>
      </c>
      <c r="T1806" t="s">
        <v>109</v>
      </c>
      <c r="U1806" t="s">
        <v>1205</v>
      </c>
    </row>
    <row r="1807" spans="1:21" x14ac:dyDescent="0.25">
      <c r="A1807" t="s">
        <v>3813</v>
      </c>
      <c r="B1807" s="8">
        <v>45813</v>
      </c>
      <c r="C1807" t="s">
        <v>3035</v>
      </c>
      <c r="D1807" t="s">
        <v>553</v>
      </c>
      <c r="E1807" t="s">
        <v>198</v>
      </c>
      <c r="F1807">
        <v>34</v>
      </c>
      <c r="G1807" t="s">
        <v>9</v>
      </c>
      <c r="H1807" t="s">
        <v>8</v>
      </c>
      <c r="I1807" t="s">
        <v>38</v>
      </c>
      <c r="J1807" t="s">
        <v>37</v>
      </c>
      <c r="K1807" t="s">
        <v>22</v>
      </c>
      <c r="L1807">
        <v>1</v>
      </c>
      <c r="M1807" s="12">
        <v>1650</v>
      </c>
      <c r="N1807" s="12">
        <v>990</v>
      </c>
      <c r="O1807">
        <v>9</v>
      </c>
      <c r="P1807" s="12">
        <v>1501.5</v>
      </c>
      <c r="Q1807" s="12">
        <v>990</v>
      </c>
      <c r="R1807" s="12">
        <v>511.5</v>
      </c>
      <c r="S1807" t="s">
        <v>1246</v>
      </c>
      <c r="T1807" t="s">
        <v>107</v>
      </c>
      <c r="U1807" t="s">
        <v>1194</v>
      </c>
    </row>
    <row r="1808" spans="1:21" x14ac:dyDescent="0.25">
      <c r="A1808" t="s">
        <v>3814</v>
      </c>
      <c r="B1808" s="8">
        <v>45752</v>
      </c>
      <c r="C1808" t="s">
        <v>2541</v>
      </c>
      <c r="D1808" t="s">
        <v>453</v>
      </c>
      <c r="E1808" t="s">
        <v>198</v>
      </c>
      <c r="F1808">
        <v>51</v>
      </c>
      <c r="G1808" t="s">
        <v>7</v>
      </c>
      <c r="H1808" t="s">
        <v>8</v>
      </c>
      <c r="I1808" t="s">
        <v>30</v>
      </c>
      <c r="J1808" t="s">
        <v>41</v>
      </c>
      <c r="K1808" t="s">
        <v>22</v>
      </c>
      <c r="L1808">
        <v>4</v>
      </c>
      <c r="M1808" s="12">
        <v>13749</v>
      </c>
      <c r="N1808" s="12">
        <v>10999.2</v>
      </c>
      <c r="O1808">
        <v>4</v>
      </c>
      <c r="P1808" s="12">
        <v>52796.159999999996</v>
      </c>
      <c r="Q1808" s="12">
        <v>43996.800000000003</v>
      </c>
      <c r="R1808" s="12">
        <v>8799.3599999999933</v>
      </c>
      <c r="S1808" t="s">
        <v>1246</v>
      </c>
      <c r="T1808" t="s">
        <v>108</v>
      </c>
      <c r="U1808" t="s">
        <v>1207</v>
      </c>
    </row>
    <row r="1809" spans="1:21" x14ac:dyDescent="0.25">
      <c r="A1809" t="s">
        <v>3815</v>
      </c>
      <c r="B1809" s="8">
        <v>45867</v>
      </c>
      <c r="C1809" t="s">
        <v>1468</v>
      </c>
      <c r="D1809" t="s">
        <v>643</v>
      </c>
      <c r="E1809" t="s">
        <v>218</v>
      </c>
      <c r="F1809">
        <v>47</v>
      </c>
      <c r="G1809" t="s">
        <v>7</v>
      </c>
      <c r="H1809" t="s">
        <v>8</v>
      </c>
      <c r="I1809" t="s">
        <v>21</v>
      </c>
      <c r="J1809" t="s">
        <v>23</v>
      </c>
      <c r="K1809" t="s">
        <v>22</v>
      </c>
      <c r="L1809">
        <v>4</v>
      </c>
      <c r="M1809" s="12">
        <v>54999</v>
      </c>
      <c r="N1809" s="12">
        <v>45099.18</v>
      </c>
      <c r="O1809">
        <v>8</v>
      </c>
      <c r="P1809" s="12">
        <v>202396.32</v>
      </c>
      <c r="Q1809" s="12">
        <v>180396.72</v>
      </c>
      <c r="R1809" s="12">
        <v>21999.600000000006</v>
      </c>
      <c r="S1809" t="s">
        <v>1246</v>
      </c>
      <c r="T1809" t="s">
        <v>109</v>
      </c>
      <c r="U1809" t="s">
        <v>1203</v>
      </c>
    </row>
    <row r="1810" spans="1:21" x14ac:dyDescent="0.25">
      <c r="A1810" t="s">
        <v>3816</v>
      </c>
      <c r="B1810" s="8">
        <v>45854</v>
      </c>
      <c r="C1810" t="s">
        <v>1372</v>
      </c>
      <c r="D1810" t="s">
        <v>1181</v>
      </c>
      <c r="E1810" t="s">
        <v>218</v>
      </c>
      <c r="F1810">
        <v>29</v>
      </c>
      <c r="G1810" t="s">
        <v>4</v>
      </c>
      <c r="H1810" t="s">
        <v>3</v>
      </c>
      <c r="I1810" t="s">
        <v>61</v>
      </c>
      <c r="J1810" t="s">
        <v>146</v>
      </c>
      <c r="K1810" t="s">
        <v>64</v>
      </c>
      <c r="L1810">
        <v>1</v>
      </c>
      <c r="M1810" s="12">
        <v>250</v>
      </c>
      <c r="N1810" s="12">
        <v>155</v>
      </c>
      <c r="O1810">
        <v>5</v>
      </c>
      <c r="P1810" s="12">
        <v>237.5</v>
      </c>
      <c r="Q1810" s="12">
        <v>155</v>
      </c>
      <c r="R1810" s="12">
        <v>82.5</v>
      </c>
      <c r="S1810" t="s">
        <v>113</v>
      </c>
      <c r="T1810" t="s">
        <v>109</v>
      </c>
      <c r="U1810" t="s">
        <v>1201</v>
      </c>
    </row>
    <row r="1811" spans="1:21" x14ac:dyDescent="0.25">
      <c r="A1811" t="s">
        <v>3817</v>
      </c>
      <c r="B1811" s="8">
        <v>45803</v>
      </c>
      <c r="C1811" t="s">
        <v>5101</v>
      </c>
      <c r="D1811" t="s">
        <v>944</v>
      </c>
      <c r="E1811" t="s">
        <v>218</v>
      </c>
      <c r="F1811">
        <v>50</v>
      </c>
      <c r="G1811" t="s">
        <v>289</v>
      </c>
      <c r="H1811" t="s">
        <v>3</v>
      </c>
      <c r="I1811" t="s">
        <v>63</v>
      </c>
      <c r="J1811" t="s">
        <v>77</v>
      </c>
      <c r="K1811" t="s">
        <v>64</v>
      </c>
      <c r="L1811">
        <v>3</v>
      </c>
      <c r="M1811" s="12">
        <v>650</v>
      </c>
      <c r="N1811" s="12">
        <v>468</v>
      </c>
      <c r="O1811">
        <v>15</v>
      </c>
      <c r="P1811" s="12">
        <v>1657.5</v>
      </c>
      <c r="Q1811" s="12">
        <v>1404</v>
      </c>
      <c r="R1811" s="12">
        <v>253.5</v>
      </c>
      <c r="S1811" t="s">
        <v>113</v>
      </c>
      <c r="T1811" t="s">
        <v>108</v>
      </c>
      <c r="U1811" t="s">
        <v>1199</v>
      </c>
    </row>
    <row r="1812" spans="1:21" x14ac:dyDescent="0.25">
      <c r="A1812" t="s">
        <v>3818</v>
      </c>
      <c r="B1812" s="8">
        <v>45883</v>
      </c>
      <c r="C1812" t="s">
        <v>1707</v>
      </c>
      <c r="D1812" t="s">
        <v>1062</v>
      </c>
      <c r="E1812" t="s">
        <v>218</v>
      </c>
      <c r="F1812">
        <v>44</v>
      </c>
      <c r="G1812" t="s">
        <v>11</v>
      </c>
      <c r="H1812" t="s">
        <v>12</v>
      </c>
      <c r="I1812" t="s">
        <v>21</v>
      </c>
      <c r="J1812" t="s">
        <v>23</v>
      </c>
      <c r="K1812" t="s">
        <v>22</v>
      </c>
      <c r="L1812">
        <v>2</v>
      </c>
      <c r="M1812" s="12">
        <v>54999</v>
      </c>
      <c r="N1812" s="12">
        <v>45099.18</v>
      </c>
      <c r="O1812">
        <v>7</v>
      </c>
      <c r="P1812" s="12">
        <v>102298.14</v>
      </c>
      <c r="Q1812" s="12">
        <v>90198.36</v>
      </c>
      <c r="R1812" s="12">
        <v>12099.779999999999</v>
      </c>
      <c r="S1812" t="s">
        <v>1246</v>
      </c>
      <c r="T1812" t="s">
        <v>109</v>
      </c>
      <c r="U1812" t="s">
        <v>1205</v>
      </c>
    </row>
    <row r="1813" spans="1:21" x14ac:dyDescent="0.25">
      <c r="A1813" t="s">
        <v>3819</v>
      </c>
      <c r="B1813" s="8">
        <v>45675</v>
      </c>
      <c r="C1813" t="s">
        <v>4425</v>
      </c>
      <c r="D1813" t="s">
        <v>705</v>
      </c>
      <c r="E1813" t="s">
        <v>218</v>
      </c>
      <c r="F1813">
        <v>30</v>
      </c>
      <c r="G1813" t="s">
        <v>16</v>
      </c>
      <c r="H1813" t="s">
        <v>15</v>
      </c>
      <c r="I1813" t="s">
        <v>28</v>
      </c>
      <c r="J1813" t="s">
        <v>35</v>
      </c>
      <c r="K1813" t="s">
        <v>22</v>
      </c>
      <c r="L1813">
        <v>1</v>
      </c>
      <c r="M1813" s="12">
        <v>16499</v>
      </c>
      <c r="N1813" s="12">
        <v>14519.12</v>
      </c>
      <c r="O1813">
        <v>7</v>
      </c>
      <c r="P1813" s="12">
        <v>15344.07</v>
      </c>
      <c r="Q1813" s="12">
        <v>14519.12</v>
      </c>
      <c r="R1813" s="12">
        <v>824.94999999999891</v>
      </c>
      <c r="S1813" t="s">
        <v>113</v>
      </c>
      <c r="T1813" t="s">
        <v>109</v>
      </c>
      <c r="U1813" t="s">
        <v>1209</v>
      </c>
    </row>
    <row r="1814" spans="1:21" x14ac:dyDescent="0.25">
      <c r="A1814" t="s">
        <v>3820</v>
      </c>
      <c r="B1814" s="8">
        <v>45768</v>
      </c>
      <c r="C1814" t="s">
        <v>2931</v>
      </c>
      <c r="D1814" t="s">
        <v>839</v>
      </c>
      <c r="E1814" t="s">
        <v>218</v>
      </c>
      <c r="F1814">
        <v>60</v>
      </c>
      <c r="G1814" t="s">
        <v>17</v>
      </c>
      <c r="H1814" t="s">
        <v>15</v>
      </c>
      <c r="I1814" t="s">
        <v>57</v>
      </c>
      <c r="J1814" t="s">
        <v>67</v>
      </c>
      <c r="K1814" t="s">
        <v>64</v>
      </c>
      <c r="L1814">
        <v>3</v>
      </c>
      <c r="M1814" s="12">
        <v>150</v>
      </c>
      <c r="N1814" s="12">
        <v>97.5</v>
      </c>
      <c r="O1814">
        <v>3</v>
      </c>
      <c r="P1814" s="12">
        <v>436.5</v>
      </c>
      <c r="Q1814" s="12">
        <v>292.5</v>
      </c>
      <c r="R1814" s="12">
        <v>144</v>
      </c>
      <c r="S1814" t="s">
        <v>113</v>
      </c>
      <c r="T1814" t="s">
        <v>107</v>
      </c>
      <c r="U1814" t="s">
        <v>1196</v>
      </c>
    </row>
    <row r="1815" spans="1:21" x14ac:dyDescent="0.25">
      <c r="A1815" t="s">
        <v>3821</v>
      </c>
      <c r="B1815" s="8">
        <v>45886</v>
      </c>
      <c r="C1815" t="s">
        <v>3159</v>
      </c>
      <c r="D1815" t="s">
        <v>1065</v>
      </c>
      <c r="E1815" t="s">
        <v>198</v>
      </c>
      <c r="F1815">
        <v>50</v>
      </c>
      <c r="G1815" t="s">
        <v>7</v>
      </c>
      <c r="H1815" t="s">
        <v>8</v>
      </c>
      <c r="I1815" t="s">
        <v>26</v>
      </c>
      <c r="J1815" t="s">
        <v>27</v>
      </c>
      <c r="K1815" t="s">
        <v>22</v>
      </c>
      <c r="L1815">
        <v>3</v>
      </c>
      <c r="M1815" s="12">
        <v>27499</v>
      </c>
      <c r="N1815" s="12">
        <v>23374.149999999998</v>
      </c>
      <c r="O1815">
        <v>5</v>
      </c>
      <c r="P1815" s="12">
        <v>78372.149999999994</v>
      </c>
      <c r="Q1815" s="12">
        <v>70122.45</v>
      </c>
      <c r="R1815" s="12">
        <v>8249.6999999999971</v>
      </c>
      <c r="S1815" t="s">
        <v>1246</v>
      </c>
      <c r="T1815" t="s">
        <v>110</v>
      </c>
      <c r="U1815" t="s">
        <v>1205</v>
      </c>
    </row>
    <row r="1816" spans="1:21" x14ac:dyDescent="0.25">
      <c r="A1816" t="s">
        <v>3822</v>
      </c>
      <c r="B1816" s="8">
        <v>45830</v>
      </c>
      <c r="C1816" t="s">
        <v>2514</v>
      </c>
      <c r="D1816" t="s">
        <v>480</v>
      </c>
      <c r="E1816" t="s">
        <v>218</v>
      </c>
      <c r="F1816">
        <v>43</v>
      </c>
      <c r="G1816" t="s">
        <v>2</v>
      </c>
      <c r="H1816" t="s">
        <v>3</v>
      </c>
      <c r="I1816" t="s">
        <v>49</v>
      </c>
      <c r="J1816" t="s">
        <v>56</v>
      </c>
      <c r="K1816" t="s">
        <v>43</v>
      </c>
      <c r="L1816">
        <v>1</v>
      </c>
      <c r="M1816" s="12">
        <v>31999</v>
      </c>
      <c r="N1816" s="12">
        <v>25599.200000000001</v>
      </c>
      <c r="O1816">
        <v>2</v>
      </c>
      <c r="P1816" s="12">
        <v>31359.02</v>
      </c>
      <c r="Q1816" s="12">
        <v>25599.200000000001</v>
      </c>
      <c r="R1816" s="12">
        <v>5759.82</v>
      </c>
      <c r="S1816" t="s">
        <v>1246</v>
      </c>
      <c r="T1816" t="s">
        <v>108</v>
      </c>
      <c r="U1816" t="s">
        <v>1205</v>
      </c>
    </row>
    <row r="1817" spans="1:21" x14ac:dyDescent="0.25">
      <c r="A1817" t="s">
        <v>3823</v>
      </c>
      <c r="B1817" s="8">
        <v>45875</v>
      </c>
      <c r="C1817" t="s">
        <v>3359</v>
      </c>
      <c r="D1817" t="s">
        <v>592</v>
      </c>
      <c r="E1817" t="s">
        <v>198</v>
      </c>
      <c r="F1817">
        <v>56</v>
      </c>
      <c r="G1817" t="s">
        <v>16</v>
      </c>
      <c r="H1817" t="s">
        <v>15</v>
      </c>
      <c r="I1817" t="s">
        <v>38</v>
      </c>
      <c r="J1817" t="s">
        <v>37</v>
      </c>
      <c r="K1817" t="s">
        <v>22</v>
      </c>
      <c r="L1817">
        <v>3</v>
      </c>
      <c r="M1817" s="12">
        <v>1650</v>
      </c>
      <c r="N1817" s="12">
        <v>990</v>
      </c>
      <c r="O1817">
        <v>7</v>
      </c>
      <c r="P1817" s="12">
        <v>4603.5</v>
      </c>
      <c r="Q1817" s="12">
        <v>2970</v>
      </c>
      <c r="R1817" s="12">
        <v>1633.5</v>
      </c>
      <c r="S1817" t="s">
        <v>1249</v>
      </c>
      <c r="T1817" t="s">
        <v>107</v>
      </c>
      <c r="U1817" t="s">
        <v>1205</v>
      </c>
    </row>
    <row r="1818" spans="1:21" x14ac:dyDescent="0.25">
      <c r="A1818" t="s">
        <v>3824</v>
      </c>
      <c r="B1818" s="8">
        <v>45758</v>
      </c>
      <c r="C1818" t="s">
        <v>3547</v>
      </c>
      <c r="D1818" t="s">
        <v>1071</v>
      </c>
      <c r="E1818" t="s">
        <v>198</v>
      </c>
      <c r="F1818">
        <v>32</v>
      </c>
      <c r="G1818" t="s">
        <v>14</v>
      </c>
      <c r="H1818" t="s">
        <v>15</v>
      </c>
      <c r="I1818" t="s">
        <v>61</v>
      </c>
      <c r="J1818" t="s">
        <v>146</v>
      </c>
      <c r="K1818" t="s">
        <v>64</v>
      </c>
      <c r="L1818">
        <v>2</v>
      </c>
      <c r="M1818" s="12">
        <v>250</v>
      </c>
      <c r="N1818" s="12">
        <v>155</v>
      </c>
      <c r="O1818">
        <v>1</v>
      </c>
      <c r="P1818" s="12">
        <v>495</v>
      </c>
      <c r="Q1818" s="12">
        <v>310</v>
      </c>
      <c r="R1818" s="12">
        <v>185</v>
      </c>
      <c r="S1818" t="s">
        <v>113</v>
      </c>
      <c r="T1818" t="s">
        <v>111</v>
      </c>
      <c r="U1818" t="s">
        <v>1201</v>
      </c>
    </row>
    <row r="1819" spans="1:21" x14ac:dyDescent="0.25">
      <c r="A1819" t="s">
        <v>3825</v>
      </c>
      <c r="B1819" s="8">
        <v>45912</v>
      </c>
      <c r="C1819" t="s">
        <v>1474</v>
      </c>
      <c r="D1819" t="s">
        <v>364</v>
      </c>
      <c r="E1819" t="s">
        <v>198</v>
      </c>
      <c r="F1819">
        <v>61</v>
      </c>
      <c r="G1819" t="s">
        <v>2</v>
      </c>
      <c r="H1819" t="s">
        <v>3</v>
      </c>
      <c r="I1819" t="s">
        <v>55</v>
      </c>
      <c r="J1819" t="s">
        <v>65</v>
      </c>
      <c r="K1819" t="s">
        <v>64</v>
      </c>
      <c r="L1819">
        <v>5</v>
      </c>
      <c r="M1819" s="12">
        <v>80</v>
      </c>
      <c r="N1819" s="12">
        <v>56</v>
      </c>
      <c r="O1819">
        <v>0</v>
      </c>
      <c r="P1819" s="12">
        <v>400</v>
      </c>
      <c r="Q1819" s="12">
        <v>280</v>
      </c>
      <c r="R1819" s="12">
        <v>120</v>
      </c>
      <c r="S1819" t="s">
        <v>113</v>
      </c>
      <c r="T1819" t="s">
        <v>108</v>
      </c>
      <c r="U1819" t="s">
        <v>1196</v>
      </c>
    </row>
    <row r="1820" spans="1:21" x14ac:dyDescent="0.25">
      <c r="A1820" t="s">
        <v>3826</v>
      </c>
      <c r="B1820" s="8">
        <v>45681</v>
      </c>
      <c r="C1820" t="s">
        <v>1574</v>
      </c>
      <c r="D1820" t="s">
        <v>401</v>
      </c>
      <c r="E1820" t="s">
        <v>218</v>
      </c>
      <c r="F1820">
        <v>43</v>
      </c>
      <c r="G1820" t="s">
        <v>289</v>
      </c>
      <c r="H1820" t="s">
        <v>3</v>
      </c>
      <c r="I1820" t="s">
        <v>38</v>
      </c>
      <c r="J1820" t="s">
        <v>37</v>
      </c>
      <c r="K1820" t="s">
        <v>22</v>
      </c>
      <c r="L1820">
        <v>1</v>
      </c>
      <c r="M1820" s="12">
        <v>1650</v>
      </c>
      <c r="N1820" s="12">
        <v>990</v>
      </c>
      <c r="O1820">
        <v>5</v>
      </c>
      <c r="P1820" s="12">
        <v>1567.5</v>
      </c>
      <c r="Q1820" s="12">
        <v>990</v>
      </c>
      <c r="R1820" s="12">
        <v>577.5</v>
      </c>
      <c r="S1820" t="s">
        <v>1246</v>
      </c>
      <c r="T1820" t="s">
        <v>108</v>
      </c>
      <c r="U1820" t="s">
        <v>1205</v>
      </c>
    </row>
    <row r="1821" spans="1:21" x14ac:dyDescent="0.25">
      <c r="A1821" t="s">
        <v>3828</v>
      </c>
      <c r="B1821" s="8">
        <v>45844</v>
      </c>
      <c r="C1821" t="s">
        <v>2084</v>
      </c>
      <c r="D1821" t="s">
        <v>1175</v>
      </c>
      <c r="E1821" t="s">
        <v>198</v>
      </c>
      <c r="F1821">
        <v>50</v>
      </c>
      <c r="G1821" t="s">
        <v>9</v>
      </c>
      <c r="H1821" t="s">
        <v>8</v>
      </c>
      <c r="I1821" t="s">
        <v>57</v>
      </c>
      <c r="J1821" t="s">
        <v>67</v>
      </c>
      <c r="K1821" t="s">
        <v>64</v>
      </c>
      <c r="L1821">
        <v>5</v>
      </c>
      <c r="M1821" s="12">
        <v>150</v>
      </c>
      <c r="N1821" s="12">
        <v>97.5</v>
      </c>
      <c r="O1821">
        <v>3</v>
      </c>
      <c r="P1821" s="12">
        <v>727.5</v>
      </c>
      <c r="Q1821" s="12">
        <v>487.5</v>
      </c>
      <c r="R1821" s="12">
        <v>240</v>
      </c>
      <c r="S1821" t="s">
        <v>1249</v>
      </c>
      <c r="T1821" t="s">
        <v>108</v>
      </c>
      <c r="U1821" t="s">
        <v>1196</v>
      </c>
    </row>
    <row r="1822" spans="1:21" x14ac:dyDescent="0.25">
      <c r="A1822" t="s">
        <v>3829</v>
      </c>
      <c r="B1822" s="8">
        <v>45789</v>
      </c>
      <c r="C1822" t="s">
        <v>1572</v>
      </c>
      <c r="D1822" t="s">
        <v>490</v>
      </c>
      <c r="E1822" t="s">
        <v>218</v>
      </c>
      <c r="F1822">
        <v>40</v>
      </c>
      <c r="G1822" t="s">
        <v>14</v>
      </c>
      <c r="H1822" t="s">
        <v>15</v>
      </c>
      <c r="I1822" t="s">
        <v>42</v>
      </c>
      <c r="J1822" t="s">
        <v>44</v>
      </c>
      <c r="K1822" t="s">
        <v>43</v>
      </c>
      <c r="L1822">
        <v>4</v>
      </c>
      <c r="M1822" s="12">
        <v>8999</v>
      </c>
      <c r="N1822" s="12">
        <v>6479.28</v>
      </c>
      <c r="O1822">
        <v>4</v>
      </c>
      <c r="P1822" s="12">
        <v>34556.159999999996</v>
      </c>
      <c r="Q1822" s="12">
        <v>25917.119999999999</v>
      </c>
      <c r="R1822" s="12">
        <v>8639.0399999999972</v>
      </c>
      <c r="S1822" t="s">
        <v>113</v>
      </c>
      <c r="T1822" t="s">
        <v>107</v>
      </c>
      <c r="U1822" t="s">
        <v>1199</v>
      </c>
    </row>
    <row r="1823" spans="1:21" x14ac:dyDescent="0.25">
      <c r="A1823" t="s">
        <v>3830</v>
      </c>
      <c r="B1823" s="8">
        <v>45765</v>
      </c>
      <c r="C1823" t="s">
        <v>1590</v>
      </c>
      <c r="D1823" t="s">
        <v>562</v>
      </c>
      <c r="E1823" t="s">
        <v>218</v>
      </c>
      <c r="F1823">
        <v>44</v>
      </c>
      <c r="G1823" t="s">
        <v>290</v>
      </c>
      <c r="H1823" t="s">
        <v>3</v>
      </c>
      <c r="I1823" t="s">
        <v>38</v>
      </c>
      <c r="J1823" t="s">
        <v>37</v>
      </c>
      <c r="K1823" t="s">
        <v>22</v>
      </c>
      <c r="L1823">
        <v>1</v>
      </c>
      <c r="M1823" s="12">
        <v>1650</v>
      </c>
      <c r="N1823" s="12">
        <v>990</v>
      </c>
      <c r="O1823">
        <v>3</v>
      </c>
      <c r="P1823" s="12">
        <v>1600.5</v>
      </c>
      <c r="Q1823" s="12">
        <v>990</v>
      </c>
      <c r="R1823" s="12">
        <v>610.5</v>
      </c>
      <c r="S1823" t="s">
        <v>113</v>
      </c>
      <c r="T1823" t="s">
        <v>107</v>
      </c>
      <c r="U1823" t="s">
        <v>1199</v>
      </c>
    </row>
    <row r="1824" spans="1:21" x14ac:dyDescent="0.25">
      <c r="A1824" t="s">
        <v>3831</v>
      </c>
      <c r="B1824" s="8">
        <v>45713</v>
      </c>
      <c r="C1824" t="s">
        <v>2304</v>
      </c>
      <c r="D1824" t="s">
        <v>599</v>
      </c>
      <c r="E1824" t="s">
        <v>218</v>
      </c>
      <c r="F1824">
        <v>50</v>
      </c>
      <c r="G1824" t="s">
        <v>290</v>
      </c>
      <c r="H1824" t="s">
        <v>3</v>
      </c>
      <c r="I1824" t="s">
        <v>59</v>
      </c>
      <c r="J1824" t="s">
        <v>73</v>
      </c>
      <c r="K1824" t="s">
        <v>64</v>
      </c>
      <c r="L1824">
        <v>1</v>
      </c>
      <c r="M1824" s="12">
        <v>120</v>
      </c>
      <c r="N1824" s="12">
        <v>81.599999999999994</v>
      </c>
      <c r="O1824">
        <v>3</v>
      </c>
      <c r="P1824" s="12">
        <v>116.39999999999999</v>
      </c>
      <c r="Q1824" s="12">
        <v>81.599999999999994</v>
      </c>
      <c r="R1824" s="12">
        <v>34.799999999999997</v>
      </c>
      <c r="S1824" t="s">
        <v>1246</v>
      </c>
      <c r="T1824" t="s">
        <v>110</v>
      </c>
      <c r="U1824" t="s">
        <v>1203</v>
      </c>
    </row>
    <row r="1825" spans="1:21" x14ac:dyDescent="0.25">
      <c r="A1825" t="s">
        <v>3832</v>
      </c>
      <c r="B1825" s="8">
        <v>45712</v>
      </c>
      <c r="C1825" t="s">
        <v>2086</v>
      </c>
      <c r="D1825" t="s">
        <v>624</v>
      </c>
      <c r="E1825" t="s">
        <v>198</v>
      </c>
      <c r="F1825">
        <v>56</v>
      </c>
      <c r="G1825" t="s">
        <v>290</v>
      </c>
      <c r="H1825" t="s">
        <v>3</v>
      </c>
      <c r="I1825" t="s">
        <v>51</v>
      </c>
      <c r="J1825" t="s">
        <v>54</v>
      </c>
      <c r="K1825" t="s">
        <v>43</v>
      </c>
      <c r="L1825">
        <v>2</v>
      </c>
      <c r="M1825" s="12">
        <v>27499</v>
      </c>
      <c r="N1825" s="12">
        <v>21724.210000000003</v>
      </c>
      <c r="O1825">
        <v>8</v>
      </c>
      <c r="P1825" s="12">
        <v>50598.16</v>
      </c>
      <c r="Q1825" s="12">
        <v>43448.420000000006</v>
      </c>
      <c r="R1825" s="12">
        <v>7149.739999999998</v>
      </c>
      <c r="S1825" t="s">
        <v>1246</v>
      </c>
      <c r="T1825" t="s">
        <v>109</v>
      </c>
      <c r="U1825" t="s">
        <v>1203</v>
      </c>
    </row>
    <row r="1826" spans="1:21" x14ac:dyDescent="0.25">
      <c r="A1826" t="s">
        <v>3833</v>
      </c>
      <c r="B1826" s="8">
        <v>45936</v>
      </c>
      <c r="C1826" t="s">
        <v>2071</v>
      </c>
      <c r="D1826" t="s">
        <v>549</v>
      </c>
      <c r="E1826" t="s">
        <v>218</v>
      </c>
      <c r="F1826">
        <v>63</v>
      </c>
      <c r="G1826" t="s">
        <v>7</v>
      </c>
      <c r="H1826" t="s">
        <v>8</v>
      </c>
      <c r="I1826" t="s">
        <v>49</v>
      </c>
      <c r="J1826" t="s">
        <v>56</v>
      </c>
      <c r="K1826" t="s">
        <v>43</v>
      </c>
      <c r="L1826">
        <v>4</v>
      </c>
      <c r="M1826" s="12">
        <v>31999</v>
      </c>
      <c r="N1826" s="12">
        <v>25599.200000000001</v>
      </c>
      <c r="O1826">
        <v>9</v>
      </c>
      <c r="P1826" s="12">
        <v>116476.36</v>
      </c>
      <c r="Q1826" s="12">
        <v>102396.8</v>
      </c>
      <c r="R1826" s="12">
        <v>14079.559999999998</v>
      </c>
      <c r="S1826" t="s">
        <v>1246</v>
      </c>
      <c r="T1826" t="s">
        <v>109</v>
      </c>
      <c r="U1826" t="s">
        <v>1205</v>
      </c>
    </row>
    <row r="1827" spans="1:21" x14ac:dyDescent="0.25">
      <c r="A1827" t="s">
        <v>3834</v>
      </c>
      <c r="B1827" s="8">
        <v>45690</v>
      </c>
      <c r="C1827" t="s">
        <v>1370</v>
      </c>
      <c r="D1827" t="s">
        <v>676</v>
      </c>
      <c r="E1827" t="s">
        <v>218</v>
      </c>
      <c r="F1827">
        <v>20</v>
      </c>
      <c r="G1827" t="s">
        <v>14</v>
      </c>
      <c r="H1827" t="s">
        <v>15</v>
      </c>
      <c r="I1827" t="s">
        <v>32</v>
      </c>
      <c r="J1827" t="s">
        <v>29</v>
      </c>
      <c r="K1827" t="s">
        <v>22</v>
      </c>
      <c r="L1827">
        <v>4</v>
      </c>
      <c r="M1827" s="12">
        <v>9500</v>
      </c>
      <c r="N1827" s="12">
        <v>6650</v>
      </c>
      <c r="O1827">
        <v>3</v>
      </c>
      <c r="P1827" s="12">
        <v>36860</v>
      </c>
      <c r="Q1827" s="12">
        <v>26600</v>
      </c>
      <c r="R1827" s="12">
        <v>10260</v>
      </c>
      <c r="S1827" t="s">
        <v>113</v>
      </c>
      <c r="T1827" t="s">
        <v>107</v>
      </c>
      <c r="U1827" t="s">
        <v>1201</v>
      </c>
    </row>
    <row r="1828" spans="1:21" x14ac:dyDescent="0.25">
      <c r="A1828" t="s">
        <v>3835</v>
      </c>
      <c r="B1828" s="8">
        <v>45912</v>
      </c>
      <c r="C1828" t="s">
        <v>3146</v>
      </c>
      <c r="D1828" t="s">
        <v>905</v>
      </c>
      <c r="E1828" t="s">
        <v>218</v>
      </c>
      <c r="F1828">
        <v>63</v>
      </c>
      <c r="G1828" t="s">
        <v>2</v>
      </c>
      <c r="H1828" t="s">
        <v>3</v>
      </c>
      <c r="I1828" t="s">
        <v>45</v>
      </c>
      <c r="J1828" t="s">
        <v>46</v>
      </c>
      <c r="K1828" t="s">
        <v>43</v>
      </c>
      <c r="L1828">
        <v>4</v>
      </c>
      <c r="M1828" s="12">
        <v>11999</v>
      </c>
      <c r="N1828" s="12">
        <v>8999.25</v>
      </c>
      <c r="O1828">
        <v>10</v>
      </c>
      <c r="P1828" s="12">
        <v>43196.4</v>
      </c>
      <c r="Q1828" s="12">
        <v>35997</v>
      </c>
      <c r="R1828" s="12">
        <v>7199.4000000000015</v>
      </c>
      <c r="S1828" t="s">
        <v>1246</v>
      </c>
      <c r="T1828" t="s">
        <v>109</v>
      </c>
      <c r="U1828" t="s">
        <v>1203</v>
      </c>
    </row>
    <row r="1829" spans="1:21" x14ac:dyDescent="0.25">
      <c r="A1829" t="s">
        <v>3836</v>
      </c>
      <c r="B1829" s="8">
        <v>45885</v>
      </c>
      <c r="C1829" t="s">
        <v>1496</v>
      </c>
      <c r="D1829" t="s">
        <v>607</v>
      </c>
      <c r="E1829" t="s">
        <v>198</v>
      </c>
      <c r="F1829">
        <v>28</v>
      </c>
      <c r="G1829" t="s">
        <v>14</v>
      </c>
      <c r="H1829" t="s">
        <v>15</v>
      </c>
      <c r="I1829" t="s">
        <v>45</v>
      </c>
      <c r="J1829" t="s">
        <v>46</v>
      </c>
      <c r="K1829" t="s">
        <v>43</v>
      </c>
      <c r="L1829">
        <v>1</v>
      </c>
      <c r="M1829" s="12">
        <v>11999</v>
      </c>
      <c r="N1829" s="12">
        <v>8999.25</v>
      </c>
      <c r="O1829">
        <v>9</v>
      </c>
      <c r="P1829" s="12">
        <v>10919.09</v>
      </c>
      <c r="Q1829" s="12">
        <v>8999.25</v>
      </c>
      <c r="R1829" s="12">
        <v>1919.8400000000001</v>
      </c>
      <c r="S1829" t="s">
        <v>113</v>
      </c>
      <c r="T1829" t="s">
        <v>110</v>
      </c>
      <c r="U1829" t="s">
        <v>1203</v>
      </c>
    </row>
    <row r="1830" spans="1:21" x14ac:dyDescent="0.25">
      <c r="A1830" t="s">
        <v>3837</v>
      </c>
      <c r="B1830" s="8">
        <v>45996</v>
      </c>
      <c r="C1830" t="s">
        <v>4095</v>
      </c>
      <c r="D1830" t="s">
        <v>1014</v>
      </c>
      <c r="E1830" t="s">
        <v>218</v>
      </c>
      <c r="F1830">
        <v>63</v>
      </c>
      <c r="G1830" t="s">
        <v>290</v>
      </c>
      <c r="H1830" t="s">
        <v>3</v>
      </c>
      <c r="I1830" t="s">
        <v>61</v>
      </c>
      <c r="J1830" t="s">
        <v>146</v>
      </c>
      <c r="K1830" t="s">
        <v>64</v>
      </c>
      <c r="L1830">
        <v>3</v>
      </c>
      <c r="M1830" s="12">
        <v>250</v>
      </c>
      <c r="N1830" s="12">
        <v>155</v>
      </c>
      <c r="O1830">
        <v>5</v>
      </c>
      <c r="P1830" s="12">
        <v>712.5</v>
      </c>
      <c r="Q1830" s="12">
        <v>465</v>
      </c>
      <c r="R1830" s="12">
        <v>247.5</v>
      </c>
      <c r="S1830" t="s">
        <v>1246</v>
      </c>
      <c r="T1830" t="s">
        <v>110</v>
      </c>
      <c r="U1830" t="s">
        <v>1194</v>
      </c>
    </row>
    <row r="1831" spans="1:21" x14ac:dyDescent="0.25">
      <c r="A1831" t="s">
        <v>3838</v>
      </c>
      <c r="B1831" s="8">
        <v>45835</v>
      </c>
      <c r="C1831" t="s">
        <v>5093</v>
      </c>
      <c r="D1831" t="s">
        <v>638</v>
      </c>
      <c r="E1831" t="s">
        <v>218</v>
      </c>
      <c r="F1831">
        <v>46</v>
      </c>
      <c r="G1831" t="s">
        <v>289</v>
      </c>
      <c r="H1831" t="s">
        <v>3</v>
      </c>
      <c r="I1831" t="s">
        <v>57</v>
      </c>
      <c r="J1831" t="s">
        <v>67</v>
      </c>
      <c r="K1831" t="s">
        <v>64</v>
      </c>
      <c r="L1831">
        <v>1</v>
      </c>
      <c r="M1831" s="12">
        <v>150</v>
      </c>
      <c r="N1831" s="12">
        <v>97.5</v>
      </c>
      <c r="O1831">
        <v>13</v>
      </c>
      <c r="P1831" s="12">
        <v>130.5</v>
      </c>
      <c r="Q1831" s="12">
        <v>97.5</v>
      </c>
      <c r="R1831" s="12">
        <v>33</v>
      </c>
      <c r="S1831" t="s">
        <v>1246</v>
      </c>
      <c r="T1831" t="s">
        <v>109</v>
      </c>
      <c r="U1831" t="s">
        <v>1194</v>
      </c>
    </row>
    <row r="1832" spans="1:21" x14ac:dyDescent="0.25">
      <c r="A1832" t="s">
        <v>3839</v>
      </c>
      <c r="B1832" s="8">
        <v>45815</v>
      </c>
      <c r="C1832" t="s">
        <v>2804</v>
      </c>
      <c r="D1832" t="s">
        <v>1070</v>
      </c>
      <c r="E1832" t="s">
        <v>198</v>
      </c>
      <c r="F1832">
        <v>34</v>
      </c>
      <c r="G1832" t="s">
        <v>5</v>
      </c>
      <c r="H1832" t="s">
        <v>3</v>
      </c>
      <c r="I1832" t="s">
        <v>63</v>
      </c>
      <c r="J1832" t="s">
        <v>77</v>
      </c>
      <c r="K1832" t="s">
        <v>64</v>
      </c>
      <c r="L1832">
        <v>1</v>
      </c>
      <c r="M1832" s="12">
        <v>650</v>
      </c>
      <c r="N1832" s="12">
        <v>468</v>
      </c>
      <c r="O1832">
        <v>10</v>
      </c>
      <c r="P1832" s="12">
        <v>585</v>
      </c>
      <c r="Q1832" s="12">
        <v>468</v>
      </c>
      <c r="R1832" s="12">
        <v>117</v>
      </c>
      <c r="S1832" t="s">
        <v>113</v>
      </c>
      <c r="T1832" t="s">
        <v>107</v>
      </c>
      <c r="U1832" t="s">
        <v>1199</v>
      </c>
    </row>
    <row r="1833" spans="1:21" x14ac:dyDescent="0.25">
      <c r="A1833" t="s">
        <v>3840</v>
      </c>
      <c r="B1833" s="8">
        <v>45707</v>
      </c>
      <c r="C1833" t="s">
        <v>1517</v>
      </c>
      <c r="D1833" t="s">
        <v>495</v>
      </c>
      <c r="E1833" t="s">
        <v>198</v>
      </c>
      <c r="F1833">
        <v>45</v>
      </c>
      <c r="G1833" t="s">
        <v>4</v>
      </c>
      <c r="H1833" t="s">
        <v>3</v>
      </c>
      <c r="I1833" t="s">
        <v>40</v>
      </c>
      <c r="J1833" t="s">
        <v>39</v>
      </c>
      <c r="K1833" t="s">
        <v>22</v>
      </c>
      <c r="L1833">
        <v>3</v>
      </c>
      <c r="M1833" s="12">
        <v>1100</v>
      </c>
      <c r="N1833" s="12">
        <v>715</v>
      </c>
      <c r="O1833">
        <v>7</v>
      </c>
      <c r="P1833" s="12">
        <v>3069</v>
      </c>
      <c r="Q1833" s="12">
        <v>2145</v>
      </c>
      <c r="R1833" s="12">
        <v>924</v>
      </c>
      <c r="S1833" t="s">
        <v>113</v>
      </c>
      <c r="T1833" t="s">
        <v>109</v>
      </c>
      <c r="U1833" t="s">
        <v>1198</v>
      </c>
    </row>
    <row r="1834" spans="1:21" x14ac:dyDescent="0.25">
      <c r="A1834" t="s">
        <v>3841</v>
      </c>
      <c r="B1834" s="8">
        <v>45942</v>
      </c>
      <c r="C1834" t="s">
        <v>1536</v>
      </c>
      <c r="D1834" t="s">
        <v>931</v>
      </c>
      <c r="E1834" t="s">
        <v>218</v>
      </c>
      <c r="F1834">
        <v>53</v>
      </c>
      <c r="G1834" t="s">
        <v>10</v>
      </c>
      <c r="H1834" t="s">
        <v>8</v>
      </c>
      <c r="I1834" t="s">
        <v>21</v>
      </c>
      <c r="J1834" t="s">
        <v>23</v>
      </c>
      <c r="K1834" t="s">
        <v>22</v>
      </c>
      <c r="L1834">
        <v>1</v>
      </c>
      <c r="M1834" s="12">
        <v>54999</v>
      </c>
      <c r="N1834" s="12">
        <v>45099.18</v>
      </c>
      <c r="O1834">
        <v>8</v>
      </c>
      <c r="P1834" s="12">
        <v>50599.08</v>
      </c>
      <c r="Q1834" s="12">
        <v>45099.18</v>
      </c>
      <c r="R1834" s="12">
        <v>5499.9000000000015</v>
      </c>
      <c r="S1834" t="s">
        <v>113</v>
      </c>
      <c r="T1834" t="s">
        <v>107</v>
      </c>
      <c r="U1834" t="s">
        <v>1199</v>
      </c>
    </row>
    <row r="1835" spans="1:21" x14ac:dyDescent="0.25">
      <c r="A1835" t="s">
        <v>3842</v>
      </c>
      <c r="B1835" s="8">
        <v>45881</v>
      </c>
      <c r="C1835" t="s">
        <v>3333</v>
      </c>
      <c r="D1835" t="s">
        <v>392</v>
      </c>
      <c r="E1835" t="s">
        <v>198</v>
      </c>
      <c r="F1835">
        <v>19</v>
      </c>
      <c r="G1835" t="s">
        <v>14</v>
      </c>
      <c r="H1835" t="s">
        <v>15</v>
      </c>
      <c r="I1835" t="s">
        <v>53</v>
      </c>
      <c r="J1835" t="s">
        <v>48</v>
      </c>
      <c r="K1835" t="s">
        <v>43</v>
      </c>
      <c r="L1835">
        <v>1</v>
      </c>
      <c r="M1835" s="12">
        <v>6499</v>
      </c>
      <c r="N1835" s="12">
        <v>4549.2999999999993</v>
      </c>
      <c r="O1835">
        <v>9</v>
      </c>
      <c r="P1835" s="12">
        <v>5914.09</v>
      </c>
      <c r="Q1835" s="12">
        <v>4549.2999999999993</v>
      </c>
      <c r="R1835" s="12">
        <v>1364.7900000000009</v>
      </c>
      <c r="S1835" t="s">
        <v>1246</v>
      </c>
      <c r="T1835" t="s">
        <v>109</v>
      </c>
      <c r="U1835" t="s">
        <v>1203</v>
      </c>
    </row>
    <row r="1836" spans="1:21" x14ac:dyDescent="0.25">
      <c r="A1836" t="s">
        <v>3843</v>
      </c>
      <c r="B1836" s="8">
        <v>45869</v>
      </c>
      <c r="C1836" t="s">
        <v>2216</v>
      </c>
      <c r="D1836" t="s">
        <v>876</v>
      </c>
      <c r="E1836" t="s">
        <v>198</v>
      </c>
      <c r="F1836">
        <v>61</v>
      </c>
      <c r="G1836" t="s">
        <v>2</v>
      </c>
      <c r="H1836" t="s">
        <v>3</v>
      </c>
      <c r="I1836" t="s">
        <v>57</v>
      </c>
      <c r="J1836" t="s">
        <v>67</v>
      </c>
      <c r="K1836" t="s">
        <v>64</v>
      </c>
      <c r="L1836">
        <v>3</v>
      </c>
      <c r="M1836" s="12">
        <v>150</v>
      </c>
      <c r="N1836" s="12">
        <v>97.5</v>
      </c>
      <c r="O1836">
        <v>4</v>
      </c>
      <c r="P1836" s="12">
        <v>432</v>
      </c>
      <c r="Q1836" s="12">
        <v>292.5</v>
      </c>
      <c r="R1836" s="12">
        <v>139.5</v>
      </c>
      <c r="S1836" t="s">
        <v>1246</v>
      </c>
      <c r="T1836" t="s">
        <v>107</v>
      </c>
      <c r="U1836" t="s">
        <v>1199</v>
      </c>
    </row>
    <row r="1837" spans="1:21" x14ac:dyDescent="0.25">
      <c r="A1837" t="s">
        <v>3844</v>
      </c>
      <c r="B1837" s="8">
        <v>45872</v>
      </c>
      <c r="C1837" t="s">
        <v>1285</v>
      </c>
      <c r="D1837" t="s">
        <v>694</v>
      </c>
      <c r="E1837" t="s">
        <v>218</v>
      </c>
      <c r="F1837">
        <v>28</v>
      </c>
      <c r="G1837" t="s">
        <v>7</v>
      </c>
      <c r="H1837" t="s">
        <v>8</v>
      </c>
      <c r="I1837" t="s">
        <v>47</v>
      </c>
      <c r="J1837" t="s">
        <v>52</v>
      </c>
      <c r="K1837" t="s">
        <v>43</v>
      </c>
      <c r="L1837">
        <v>2</v>
      </c>
      <c r="M1837" s="12">
        <v>42999</v>
      </c>
      <c r="N1837" s="12">
        <v>33539.22</v>
      </c>
      <c r="O1837">
        <v>5</v>
      </c>
      <c r="P1837" s="12">
        <v>81698.099999999991</v>
      </c>
      <c r="Q1837" s="12">
        <v>67078.44</v>
      </c>
      <c r="R1837" s="12">
        <v>14619.659999999989</v>
      </c>
      <c r="S1837" t="s">
        <v>113</v>
      </c>
      <c r="T1837" t="s">
        <v>107</v>
      </c>
      <c r="U1837" t="s">
        <v>1199</v>
      </c>
    </row>
    <row r="1838" spans="1:21" x14ac:dyDescent="0.25">
      <c r="A1838" t="s">
        <v>3845</v>
      </c>
      <c r="B1838" s="8">
        <v>45858</v>
      </c>
      <c r="C1838" t="s">
        <v>2832</v>
      </c>
      <c r="D1838" t="s">
        <v>810</v>
      </c>
      <c r="E1838" t="s">
        <v>198</v>
      </c>
      <c r="F1838">
        <v>31</v>
      </c>
      <c r="G1838" t="s">
        <v>11</v>
      </c>
      <c r="H1838" t="s">
        <v>12</v>
      </c>
      <c r="I1838" t="s">
        <v>40</v>
      </c>
      <c r="J1838" t="s">
        <v>39</v>
      </c>
      <c r="K1838" t="s">
        <v>22</v>
      </c>
      <c r="L1838">
        <v>4</v>
      </c>
      <c r="M1838" s="12">
        <v>1100</v>
      </c>
      <c r="N1838" s="12">
        <v>715</v>
      </c>
      <c r="O1838">
        <v>6</v>
      </c>
      <c r="P1838" s="12">
        <v>4136</v>
      </c>
      <c r="Q1838" s="12">
        <v>2860</v>
      </c>
      <c r="R1838" s="12">
        <v>1276</v>
      </c>
      <c r="S1838" t="s">
        <v>1246</v>
      </c>
      <c r="T1838" t="s">
        <v>109</v>
      </c>
      <c r="U1838" t="s">
        <v>1207</v>
      </c>
    </row>
    <row r="1839" spans="1:21" x14ac:dyDescent="0.25">
      <c r="A1839" t="s">
        <v>3846</v>
      </c>
      <c r="B1839" s="8">
        <v>45660</v>
      </c>
      <c r="C1839" t="s">
        <v>4001</v>
      </c>
      <c r="D1839" t="s">
        <v>777</v>
      </c>
      <c r="E1839" t="s">
        <v>218</v>
      </c>
      <c r="F1839">
        <v>19</v>
      </c>
      <c r="G1839" t="s">
        <v>4</v>
      </c>
      <c r="H1839" t="s">
        <v>3</v>
      </c>
      <c r="I1839" t="s">
        <v>36</v>
      </c>
      <c r="J1839" t="s">
        <v>136</v>
      </c>
      <c r="K1839" t="s">
        <v>22</v>
      </c>
      <c r="L1839">
        <v>4</v>
      </c>
      <c r="M1839" s="12">
        <v>3590</v>
      </c>
      <c r="N1839" s="12">
        <v>2333.5</v>
      </c>
      <c r="O1839">
        <v>8</v>
      </c>
      <c r="P1839" s="12">
        <v>13211.2</v>
      </c>
      <c r="Q1839" s="12">
        <v>9334</v>
      </c>
      <c r="R1839" s="12">
        <v>3877.2000000000007</v>
      </c>
      <c r="S1839" t="s">
        <v>113</v>
      </c>
      <c r="T1839" t="s">
        <v>110</v>
      </c>
      <c r="U1839" t="s">
        <v>1209</v>
      </c>
    </row>
    <row r="1840" spans="1:21" x14ac:dyDescent="0.25">
      <c r="A1840" t="s">
        <v>3847</v>
      </c>
      <c r="B1840" s="8">
        <v>45885</v>
      </c>
      <c r="C1840" t="s">
        <v>2563</v>
      </c>
      <c r="D1840" t="s">
        <v>815</v>
      </c>
      <c r="E1840" t="s">
        <v>218</v>
      </c>
      <c r="F1840">
        <v>37</v>
      </c>
      <c r="G1840" t="s">
        <v>9</v>
      </c>
      <c r="H1840" t="s">
        <v>8</v>
      </c>
      <c r="I1840" t="s">
        <v>38</v>
      </c>
      <c r="J1840" t="s">
        <v>37</v>
      </c>
      <c r="K1840" t="s">
        <v>22</v>
      </c>
      <c r="L1840">
        <v>4</v>
      </c>
      <c r="M1840" s="12">
        <v>1650</v>
      </c>
      <c r="N1840" s="12">
        <v>990</v>
      </c>
      <c r="O1840">
        <v>3</v>
      </c>
      <c r="P1840" s="12">
        <v>6402</v>
      </c>
      <c r="Q1840" s="12">
        <v>3960</v>
      </c>
      <c r="R1840" s="12">
        <v>2442</v>
      </c>
      <c r="S1840" t="s">
        <v>1246</v>
      </c>
      <c r="T1840" t="s">
        <v>111</v>
      </c>
      <c r="U1840" t="s">
        <v>1207</v>
      </c>
    </row>
    <row r="1841" spans="1:21" x14ac:dyDescent="0.25">
      <c r="A1841" t="s">
        <v>3848</v>
      </c>
      <c r="B1841" s="8">
        <v>45697</v>
      </c>
      <c r="C1841" t="s">
        <v>1502</v>
      </c>
      <c r="D1841" t="s">
        <v>492</v>
      </c>
      <c r="E1841" t="s">
        <v>198</v>
      </c>
      <c r="F1841">
        <v>31</v>
      </c>
      <c r="G1841" t="s">
        <v>289</v>
      </c>
      <c r="H1841" t="s">
        <v>3</v>
      </c>
      <c r="I1841" t="s">
        <v>59</v>
      </c>
      <c r="J1841" t="s">
        <v>73</v>
      </c>
      <c r="K1841" t="s">
        <v>64</v>
      </c>
      <c r="L1841">
        <v>2</v>
      </c>
      <c r="M1841" s="12">
        <v>120</v>
      </c>
      <c r="N1841" s="12">
        <v>81.599999999999994</v>
      </c>
      <c r="O1841">
        <v>5</v>
      </c>
      <c r="P1841" s="12">
        <v>228</v>
      </c>
      <c r="Q1841" s="12">
        <v>163.19999999999999</v>
      </c>
      <c r="R1841" s="12">
        <v>64.800000000000011</v>
      </c>
      <c r="S1841" t="s">
        <v>1249</v>
      </c>
      <c r="T1841" t="s">
        <v>108</v>
      </c>
      <c r="U1841" t="s">
        <v>1203</v>
      </c>
    </row>
    <row r="1842" spans="1:21" x14ac:dyDescent="0.25">
      <c r="A1842" t="s">
        <v>3849</v>
      </c>
      <c r="B1842" s="8">
        <v>45970</v>
      </c>
      <c r="C1842" t="s">
        <v>1378</v>
      </c>
      <c r="D1842" t="s">
        <v>993</v>
      </c>
      <c r="E1842" t="s">
        <v>218</v>
      </c>
      <c r="F1842">
        <v>23</v>
      </c>
      <c r="G1842" t="s">
        <v>4</v>
      </c>
      <c r="H1842" t="s">
        <v>3</v>
      </c>
      <c r="I1842" t="s">
        <v>30</v>
      </c>
      <c r="J1842" t="s">
        <v>41</v>
      </c>
      <c r="K1842" t="s">
        <v>22</v>
      </c>
      <c r="L1842">
        <v>2</v>
      </c>
      <c r="M1842" s="12">
        <v>13749</v>
      </c>
      <c r="N1842" s="12">
        <v>10999.2</v>
      </c>
      <c r="O1842">
        <v>10</v>
      </c>
      <c r="P1842" s="12">
        <v>24748.2</v>
      </c>
      <c r="Q1842" s="12">
        <v>21998.400000000001</v>
      </c>
      <c r="R1842" s="12">
        <v>2749.7999999999993</v>
      </c>
      <c r="S1842" t="s">
        <v>1246</v>
      </c>
      <c r="T1842" t="s">
        <v>109</v>
      </c>
      <c r="U1842" t="s">
        <v>1211</v>
      </c>
    </row>
    <row r="1843" spans="1:21" x14ac:dyDescent="0.25">
      <c r="A1843" t="s">
        <v>3850</v>
      </c>
      <c r="B1843" s="8">
        <v>45750</v>
      </c>
      <c r="C1843" t="s">
        <v>3580</v>
      </c>
      <c r="D1843" t="s">
        <v>859</v>
      </c>
      <c r="E1843" t="s">
        <v>218</v>
      </c>
      <c r="F1843">
        <v>61</v>
      </c>
      <c r="G1843" t="s">
        <v>11</v>
      </c>
      <c r="H1843" t="s">
        <v>12</v>
      </c>
      <c r="I1843" t="s">
        <v>45</v>
      </c>
      <c r="J1843" t="s">
        <v>46</v>
      </c>
      <c r="K1843" t="s">
        <v>43</v>
      </c>
      <c r="L1843">
        <v>2</v>
      </c>
      <c r="M1843" s="12">
        <v>11999</v>
      </c>
      <c r="N1843" s="12">
        <v>8999.25</v>
      </c>
      <c r="O1843">
        <v>10</v>
      </c>
      <c r="P1843" s="12">
        <v>21598.2</v>
      </c>
      <c r="Q1843" s="12">
        <v>17998.5</v>
      </c>
      <c r="R1843" s="12">
        <v>3599.7000000000007</v>
      </c>
      <c r="S1843" t="s">
        <v>113</v>
      </c>
      <c r="T1843" t="s">
        <v>107</v>
      </c>
      <c r="U1843" t="s">
        <v>1209</v>
      </c>
    </row>
    <row r="1844" spans="1:21" x14ac:dyDescent="0.25">
      <c r="A1844" t="s">
        <v>3851</v>
      </c>
      <c r="B1844" s="8">
        <v>45900</v>
      </c>
      <c r="C1844" t="s">
        <v>4698</v>
      </c>
      <c r="D1844" t="s">
        <v>1108</v>
      </c>
      <c r="E1844" t="s">
        <v>218</v>
      </c>
      <c r="F1844">
        <v>42</v>
      </c>
      <c r="G1844" t="s">
        <v>2</v>
      </c>
      <c r="H1844" t="s">
        <v>3</v>
      </c>
      <c r="I1844" t="s">
        <v>61</v>
      </c>
      <c r="J1844" t="s">
        <v>146</v>
      </c>
      <c r="K1844" t="s">
        <v>64</v>
      </c>
      <c r="L1844">
        <v>1</v>
      </c>
      <c r="M1844" s="12">
        <v>250</v>
      </c>
      <c r="N1844" s="12">
        <v>155</v>
      </c>
      <c r="O1844">
        <v>4</v>
      </c>
      <c r="P1844" s="12">
        <v>240</v>
      </c>
      <c r="Q1844" s="12">
        <v>155</v>
      </c>
      <c r="R1844" s="12">
        <v>85</v>
      </c>
      <c r="S1844" t="s">
        <v>1246</v>
      </c>
      <c r="T1844" t="s">
        <v>108</v>
      </c>
      <c r="U1844" t="s">
        <v>1203</v>
      </c>
    </row>
    <row r="1845" spans="1:21" x14ac:dyDescent="0.25">
      <c r="A1845" t="s">
        <v>3852</v>
      </c>
      <c r="B1845" s="8">
        <v>45722</v>
      </c>
      <c r="C1845" t="s">
        <v>1279</v>
      </c>
      <c r="D1845" t="s">
        <v>451</v>
      </c>
      <c r="E1845" t="s">
        <v>198</v>
      </c>
      <c r="F1845">
        <v>41</v>
      </c>
      <c r="G1845" t="s">
        <v>290</v>
      </c>
      <c r="H1845" t="s">
        <v>3</v>
      </c>
      <c r="I1845" t="s">
        <v>21</v>
      </c>
      <c r="J1845" t="s">
        <v>23</v>
      </c>
      <c r="K1845" t="s">
        <v>22</v>
      </c>
      <c r="L1845">
        <v>5</v>
      </c>
      <c r="M1845" s="12">
        <v>54999</v>
      </c>
      <c r="N1845" s="12">
        <v>45099.18</v>
      </c>
      <c r="O1845">
        <v>5</v>
      </c>
      <c r="P1845" s="12">
        <v>261245.25</v>
      </c>
      <c r="Q1845" s="12">
        <v>225495.9</v>
      </c>
      <c r="R1845" s="12">
        <v>35749.350000000006</v>
      </c>
      <c r="S1845" t="s">
        <v>113</v>
      </c>
      <c r="T1845" t="s">
        <v>109</v>
      </c>
      <c r="U1845" t="s">
        <v>1194</v>
      </c>
    </row>
    <row r="1846" spans="1:21" x14ac:dyDescent="0.25">
      <c r="A1846" t="s">
        <v>3854</v>
      </c>
      <c r="B1846" s="8">
        <v>45997</v>
      </c>
      <c r="C1846" t="s">
        <v>1947</v>
      </c>
      <c r="D1846" t="s">
        <v>826</v>
      </c>
      <c r="E1846" t="s">
        <v>198</v>
      </c>
      <c r="F1846">
        <v>56</v>
      </c>
      <c r="G1846" t="s">
        <v>289</v>
      </c>
      <c r="H1846" t="s">
        <v>3</v>
      </c>
      <c r="I1846" t="s">
        <v>59</v>
      </c>
      <c r="J1846" t="s">
        <v>73</v>
      </c>
      <c r="K1846" t="s">
        <v>64</v>
      </c>
      <c r="L1846">
        <v>3</v>
      </c>
      <c r="M1846" s="12">
        <v>120</v>
      </c>
      <c r="N1846" s="12">
        <v>81.599999999999994</v>
      </c>
      <c r="O1846">
        <v>6</v>
      </c>
      <c r="P1846" s="12">
        <v>338.4</v>
      </c>
      <c r="Q1846" s="12">
        <v>244.79999999999998</v>
      </c>
      <c r="R1846" s="12">
        <v>93.6</v>
      </c>
      <c r="S1846" t="s">
        <v>1246</v>
      </c>
      <c r="T1846" t="s">
        <v>107</v>
      </c>
      <c r="U1846" t="s">
        <v>1199</v>
      </c>
    </row>
    <row r="1847" spans="1:21" x14ac:dyDescent="0.25">
      <c r="A1847" t="s">
        <v>3855</v>
      </c>
      <c r="B1847" s="8">
        <v>45703</v>
      </c>
      <c r="C1847" t="s">
        <v>1248</v>
      </c>
      <c r="D1847" t="s">
        <v>540</v>
      </c>
      <c r="E1847" t="s">
        <v>218</v>
      </c>
      <c r="F1847">
        <v>18</v>
      </c>
      <c r="G1847" t="s">
        <v>16</v>
      </c>
      <c r="H1847" t="s">
        <v>15</v>
      </c>
      <c r="I1847" t="s">
        <v>38</v>
      </c>
      <c r="J1847" t="s">
        <v>37</v>
      </c>
      <c r="K1847" t="s">
        <v>22</v>
      </c>
      <c r="L1847">
        <v>3</v>
      </c>
      <c r="M1847" s="12">
        <v>1650</v>
      </c>
      <c r="N1847" s="12">
        <v>990</v>
      </c>
      <c r="O1847">
        <v>3</v>
      </c>
      <c r="P1847" s="12">
        <v>4801.5</v>
      </c>
      <c r="Q1847" s="12">
        <v>2970</v>
      </c>
      <c r="R1847" s="12">
        <v>1831.5</v>
      </c>
      <c r="S1847" t="s">
        <v>1246</v>
      </c>
      <c r="T1847" t="s">
        <v>108</v>
      </c>
      <c r="U1847" t="s">
        <v>1207</v>
      </c>
    </row>
    <row r="1848" spans="1:21" x14ac:dyDescent="0.25">
      <c r="A1848" t="s">
        <v>3856</v>
      </c>
      <c r="B1848" s="8">
        <v>45778</v>
      </c>
      <c r="C1848" t="s">
        <v>2371</v>
      </c>
      <c r="D1848" t="s">
        <v>681</v>
      </c>
      <c r="E1848" t="s">
        <v>218</v>
      </c>
      <c r="F1848">
        <v>24</v>
      </c>
      <c r="G1848" t="s">
        <v>11</v>
      </c>
      <c r="H1848" t="s">
        <v>12</v>
      </c>
      <c r="I1848" t="s">
        <v>49</v>
      </c>
      <c r="J1848" t="s">
        <v>56</v>
      </c>
      <c r="K1848" t="s">
        <v>43</v>
      </c>
      <c r="L1848">
        <v>4</v>
      </c>
      <c r="M1848" s="12">
        <v>31999</v>
      </c>
      <c r="N1848" s="12">
        <v>25599.200000000001</v>
      </c>
      <c r="O1848">
        <v>2</v>
      </c>
      <c r="P1848" s="12">
        <v>125436.08</v>
      </c>
      <c r="Q1848" s="12">
        <v>102396.8</v>
      </c>
      <c r="R1848" s="12">
        <v>23039.279999999999</v>
      </c>
      <c r="S1848" t="s">
        <v>113</v>
      </c>
      <c r="T1848" t="s">
        <v>107</v>
      </c>
      <c r="U1848" t="s">
        <v>1205</v>
      </c>
    </row>
    <row r="1849" spans="1:21" x14ac:dyDescent="0.25">
      <c r="A1849" t="s">
        <v>3857</v>
      </c>
      <c r="B1849" s="8">
        <v>45809</v>
      </c>
      <c r="C1849" t="s">
        <v>1864</v>
      </c>
      <c r="D1849" t="s">
        <v>845</v>
      </c>
      <c r="E1849" t="s">
        <v>218</v>
      </c>
      <c r="F1849">
        <v>52</v>
      </c>
      <c r="G1849" t="s">
        <v>14</v>
      </c>
      <c r="H1849" t="s">
        <v>15</v>
      </c>
      <c r="I1849" t="s">
        <v>51</v>
      </c>
      <c r="J1849" t="s">
        <v>54</v>
      </c>
      <c r="K1849" t="s">
        <v>43</v>
      </c>
      <c r="L1849">
        <v>4</v>
      </c>
      <c r="M1849" s="12">
        <v>27499</v>
      </c>
      <c r="N1849" s="12">
        <v>21724.210000000003</v>
      </c>
      <c r="O1849">
        <v>3</v>
      </c>
      <c r="P1849" s="12">
        <v>106696.12</v>
      </c>
      <c r="Q1849" s="12">
        <v>86896.840000000011</v>
      </c>
      <c r="R1849" s="12">
        <v>19799.279999999984</v>
      </c>
      <c r="S1849" t="s">
        <v>1246</v>
      </c>
      <c r="T1849" t="s">
        <v>109</v>
      </c>
      <c r="U1849" t="s">
        <v>1207</v>
      </c>
    </row>
    <row r="1850" spans="1:21" x14ac:dyDescent="0.25">
      <c r="A1850" t="s">
        <v>3858</v>
      </c>
      <c r="B1850" s="8">
        <v>46021</v>
      </c>
      <c r="C1850" t="s">
        <v>3487</v>
      </c>
      <c r="D1850" t="s">
        <v>455</v>
      </c>
      <c r="E1850" t="s">
        <v>198</v>
      </c>
      <c r="F1850">
        <v>39</v>
      </c>
      <c r="G1850" t="s">
        <v>10</v>
      </c>
      <c r="H1850" t="s">
        <v>8</v>
      </c>
      <c r="I1850" t="s">
        <v>24</v>
      </c>
      <c r="J1850" t="s">
        <v>25</v>
      </c>
      <c r="K1850" t="s">
        <v>22</v>
      </c>
      <c r="L1850">
        <v>5</v>
      </c>
      <c r="M1850" s="12">
        <v>35800</v>
      </c>
      <c r="N1850" s="12">
        <v>28640</v>
      </c>
      <c r="O1850">
        <v>16</v>
      </c>
      <c r="P1850" s="12">
        <v>150360</v>
      </c>
      <c r="Q1850" s="12">
        <v>143200</v>
      </c>
      <c r="R1850" s="12">
        <v>7160</v>
      </c>
      <c r="S1850" t="s">
        <v>1246</v>
      </c>
      <c r="T1850" t="s">
        <v>109</v>
      </c>
      <c r="U1850" t="s">
        <v>1196</v>
      </c>
    </row>
    <row r="1851" spans="1:21" x14ac:dyDescent="0.25">
      <c r="A1851" t="s">
        <v>3859</v>
      </c>
      <c r="B1851" s="8">
        <v>45923</v>
      </c>
      <c r="C1851" t="s">
        <v>2163</v>
      </c>
      <c r="D1851" t="s">
        <v>378</v>
      </c>
      <c r="E1851" t="s">
        <v>198</v>
      </c>
      <c r="F1851">
        <v>21</v>
      </c>
      <c r="G1851" t="s">
        <v>17</v>
      </c>
      <c r="H1851" t="s">
        <v>15</v>
      </c>
      <c r="I1851" t="s">
        <v>38</v>
      </c>
      <c r="J1851" t="s">
        <v>37</v>
      </c>
      <c r="K1851" t="s">
        <v>22</v>
      </c>
      <c r="L1851">
        <v>2</v>
      </c>
      <c r="M1851" s="12">
        <v>1650</v>
      </c>
      <c r="N1851" s="12">
        <v>990</v>
      </c>
      <c r="O1851">
        <v>8</v>
      </c>
      <c r="P1851" s="12">
        <v>3036</v>
      </c>
      <c r="Q1851" s="12">
        <v>1980</v>
      </c>
      <c r="R1851" s="12">
        <v>1056</v>
      </c>
      <c r="S1851" t="s">
        <v>113</v>
      </c>
      <c r="T1851" t="s">
        <v>108</v>
      </c>
      <c r="U1851" t="s">
        <v>1209</v>
      </c>
    </row>
    <row r="1852" spans="1:21" x14ac:dyDescent="0.25">
      <c r="A1852" t="s">
        <v>3860</v>
      </c>
      <c r="B1852" s="8">
        <v>45743</v>
      </c>
      <c r="C1852" t="s">
        <v>1829</v>
      </c>
      <c r="D1852" t="s">
        <v>657</v>
      </c>
      <c r="E1852" t="s">
        <v>198</v>
      </c>
      <c r="F1852">
        <v>49</v>
      </c>
      <c r="G1852" t="s">
        <v>14</v>
      </c>
      <c r="H1852" t="s">
        <v>15</v>
      </c>
      <c r="I1852" t="s">
        <v>36</v>
      </c>
      <c r="J1852" t="s">
        <v>136</v>
      </c>
      <c r="K1852" t="s">
        <v>22</v>
      </c>
      <c r="L1852">
        <v>2</v>
      </c>
      <c r="M1852" s="12">
        <v>3590</v>
      </c>
      <c r="N1852" s="12">
        <v>2333.5</v>
      </c>
      <c r="O1852">
        <v>8</v>
      </c>
      <c r="P1852" s="12">
        <v>6605.6</v>
      </c>
      <c r="Q1852" s="12">
        <v>4667</v>
      </c>
      <c r="R1852" s="12">
        <v>1938.6000000000004</v>
      </c>
      <c r="S1852" t="s">
        <v>1249</v>
      </c>
      <c r="T1852" t="s">
        <v>107</v>
      </c>
      <c r="U1852" t="s">
        <v>1203</v>
      </c>
    </row>
    <row r="1853" spans="1:21" x14ac:dyDescent="0.25">
      <c r="A1853" t="s">
        <v>3861</v>
      </c>
      <c r="B1853" s="8">
        <v>45755</v>
      </c>
      <c r="C1853" t="s">
        <v>4001</v>
      </c>
      <c r="D1853" t="s">
        <v>777</v>
      </c>
      <c r="E1853" t="s">
        <v>218</v>
      </c>
      <c r="F1853">
        <v>19</v>
      </c>
      <c r="G1853" t="s">
        <v>4</v>
      </c>
      <c r="H1853" t="s">
        <v>3</v>
      </c>
      <c r="I1853" t="s">
        <v>38</v>
      </c>
      <c r="J1853" t="s">
        <v>37</v>
      </c>
      <c r="K1853" t="s">
        <v>22</v>
      </c>
      <c r="L1853">
        <v>5</v>
      </c>
      <c r="M1853" s="12">
        <v>1650</v>
      </c>
      <c r="N1853" s="12">
        <v>990</v>
      </c>
      <c r="O1853">
        <v>5</v>
      </c>
      <c r="P1853" s="12">
        <v>7837.5</v>
      </c>
      <c r="Q1853" s="12">
        <v>4950</v>
      </c>
      <c r="R1853" s="12">
        <v>2887.5</v>
      </c>
      <c r="S1853" t="s">
        <v>113</v>
      </c>
      <c r="T1853" t="s">
        <v>108</v>
      </c>
      <c r="U1853" t="s">
        <v>1201</v>
      </c>
    </row>
    <row r="1854" spans="1:21" x14ac:dyDescent="0.25">
      <c r="A1854" t="s">
        <v>3862</v>
      </c>
      <c r="B1854" s="8">
        <v>45785</v>
      </c>
      <c r="C1854" t="s">
        <v>1772</v>
      </c>
      <c r="D1854" t="s">
        <v>695</v>
      </c>
      <c r="E1854" t="s">
        <v>198</v>
      </c>
      <c r="F1854">
        <v>21</v>
      </c>
      <c r="G1854" t="s">
        <v>14</v>
      </c>
      <c r="H1854" t="s">
        <v>15</v>
      </c>
      <c r="I1854" t="s">
        <v>26</v>
      </c>
      <c r="J1854" t="s">
        <v>27</v>
      </c>
      <c r="K1854" t="s">
        <v>22</v>
      </c>
      <c r="L1854">
        <v>1</v>
      </c>
      <c r="M1854" s="12">
        <v>27499</v>
      </c>
      <c r="N1854" s="12">
        <v>23374.149999999998</v>
      </c>
      <c r="O1854">
        <v>10</v>
      </c>
      <c r="P1854" s="12">
        <v>24749.100000000002</v>
      </c>
      <c r="Q1854" s="12">
        <v>23374.149999999998</v>
      </c>
      <c r="R1854" s="12">
        <v>1374.9500000000044</v>
      </c>
      <c r="S1854" t="s">
        <v>1246</v>
      </c>
      <c r="T1854" t="s">
        <v>109</v>
      </c>
      <c r="U1854" t="s">
        <v>1199</v>
      </c>
    </row>
    <row r="1855" spans="1:21" x14ac:dyDescent="0.25">
      <c r="A1855" t="s">
        <v>3863</v>
      </c>
      <c r="B1855" s="8">
        <v>45986</v>
      </c>
      <c r="C1855" t="s">
        <v>1440</v>
      </c>
      <c r="D1855" t="s">
        <v>979</v>
      </c>
      <c r="E1855" t="s">
        <v>218</v>
      </c>
      <c r="F1855">
        <v>23</v>
      </c>
      <c r="G1855" t="s">
        <v>289</v>
      </c>
      <c r="H1855" t="s">
        <v>3</v>
      </c>
      <c r="I1855" t="s">
        <v>47</v>
      </c>
      <c r="J1855" t="s">
        <v>52</v>
      </c>
      <c r="K1855" t="s">
        <v>43</v>
      </c>
      <c r="L1855">
        <v>5</v>
      </c>
      <c r="M1855" s="12">
        <v>42999</v>
      </c>
      <c r="N1855" s="12">
        <v>33539.22</v>
      </c>
      <c r="O1855">
        <v>14</v>
      </c>
      <c r="P1855" s="12">
        <v>184895.7</v>
      </c>
      <c r="Q1855" s="12">
        <v>167696.1</v>
      </c>
      <c r="R1855" s="12">
        <v>17199.600000000006</v>
      </c>
      <c r="S1855" t="s">
        <v>113</v>
      </c>
      <c r="T1855" t="s">
        <v>109</v>
      </c>
      <c r="U1855" t="s">
        <v>1199</v>
      </c>
    </row>
    <row r="1856" spans="1:21" x14ac:dyDescent="0.25">
      <c r="A1856" t="s">
        <v>3864</v>
      </c>
      <c r="B1856" s="8">
        <v>45847</v>
      </c>
      <c r="C1856" t="s">
        <v>3596</v>
      </c>
      <c r="D1856" t="s">
        <v>1000</v>
      </c>
      <c r="E1856" t="s">
        <v>198</v>
      </c>
      <c r="F1856">
        <v>48</v>
      </c>
      <c r="G1856" t="s">
        <v>290</v>
      </c>
      <c r="H1856" t="s">
        <v>3</v>
      </c>
      <c r="I1856" t="s">
        <v>59</v>
      </c>
      <c r="J1856" t="s">
        <v>73</v>
      </c>
      <c r="K1856" t="s">
        <v>64</v>
      </c>
      <c r="L1856">
        <v>1</v>
      </c>
      <c r="M1856" s="12">
        <v>120</v>
      </c>
      <c r="N1856" s="12">
        <v>81.599999999999994</v>
      </c>
      <c r="O1856">
        <v>5</v>
      </c>
      <c r="P1856" s="12">
        <v>114</v>
      </c>
      <c r="Q1856" s="12">
        <v>81.599999999999994</v>
      </c>
      <c r="R1856" s="12">
        <v>32.400000000000006</v>
      </c>
      <c r="S1856" t="s">
        <v>113</v>
      </c>
      <c r="T1856" t="s">
        <v>108</v>
      </c>
      <c r="U1856" t="s">
        <v>1201</v>
      </c>
    </row>
    <row r="1857" spans="1:21" x14ac:dyDescent="0.25">
      <c r="A1857" t="s">
        <v>3865</v>
      </c>
      <c r="B1857" s="8">
        <v>45886</v>
      </c>
      <c r="C1857" t="s">
        <v>2329</v>
      </c>
      <c r="D1857" t="s">
        <v>634</v>
      </c>
      <c r="E1857" t="s">
        <v>218</v>
      </c>
      <c r="F1857">
        <v>62</v>
      </c>
      <c r="G1857" t="s">
        <v>16</v>
      </c>
      <c r="H1857" t="s">
        <v>15</v>
      </c>
      <c r="I1857" t="s">
        <v>51</v>
      </c>
      <c r="J1857" t="s">
        <v>54</v>
      </c>
      <c r="K1857" t="s">
        <v>43</v>
      </c>
      <c r="L1857">
        <v>1</v>
      </c>
      <c r="M1857" s="12">
        <v>27499</v>
      </c>
      <c r="N1857" s="12">
        <v>21724.210000000003</v>
      </c>
      <c r="O1857">
        <v>10</v>
      </c>
      <c r="P1857" s="12">
        <v>24749.100000000002</v>
      </c>
      <c r="Q1857" s="12">
        <v>21724.210000000003</v>
      </c>
      <c r="R1857" s="12">
        <v>3024.8899999999994</v>
      </c>
      <c r="S1857" t="s">
        <v>1246</v>
      </c>
      <c r="T1857" t="s">
        <v>109</v>
      </c>
      <c r="U1857" t="s">
        <v>1194</v>
      </c>
    </row>
    <row r="1858" spans="1:21" x14ac:dyDescent="0.25">
      <c r="A1858" t="s">
        <v>3867</v>
      </c>
      <c r="B1858" s="8">
        <v>45922</v>
      </c>
      <c r="C1858" t="s">
        <v>2509</v>
      </c>
      <c r="D1858" t="s">
        <v>832</v>
      </c>
      <c r="E1858" t="s">
        <v>218</v>
      </c>
      <c r="F1858">
        <v>55</v>
      </c>
      <c r="G1858" t="s">
        <v>10</v>
      </c>
      <c r="H1858" t="s">
        <v>8</v>
      </c>
      <c r="I1858" t="s">
        <v>49</v>
      </c>
      <c r="J1858" t="s">
        <v>56</v>
      </c>
      <c r="K1858" t="s">
        <v>43</v>
      </c>
      <c r="L1858">
        <v>2</v>
      </c>
      <c r="M1858" s="12">
        <v>31999</v>
      </c>
      <c r="N1858" s="12">
        <v>25599.200000000001</v>
      </c>
      <c r="O1858">
        <v>5</v>
      </c>
      <c r="P1858" s="12">
        <v>60798.1</v>
      </c>
      <c r="Q1858" s="12">
        <v>51198.400000000001</v>
      </c>
      <c r="R1858" s="12">
        <v>9599.6999999999971</v>
      </c>
      <c r="S1858" t="s">
        <v>113</v>
      </c>
      <c r="T1858" t="s">
        <v>108</v>
      </c>
      <c r="U1858" t="s">
        <v>1207</v>
      </c>
    </row>
    <row r="1859" spans="1:21" x14ac:dyDescent="0.25">
      <c r="A1859" t="s">
        <v>3868</v>
      </c>
      <c r="B1859" s="8">
        <v>45663</v>
      </c>
      <c r="C1859" t="s">
        <v>2852</v>
      </c>
      <c r="D1859" t="s">
        <v>1008</v>
      </c>
      <c r="E1859" t="s">
        <v>198</v>
      </c>
      <c r="F1859">
        <v>56</v>
      </c>
      <c r="G1859" t="s">
        <v>290</v>
      </c>
      <c r="H1859" t="s">
        <v>3</v>
      </c>
      <c r="I1859" t="s">
        <v>49</v>
      </c>
      <c r="J1859" t="s">
        <v>56</v>
      </c>
      <c r="K1859" t="s">
        <v>43</v>
      </c>
      <c r="L1859">
        <v>4</v>
      </c>
      <c r="M1859" s="12">
        <v>31999</v>
      </c>
      <c r="N1859" s="12">
        <v>25599.200000000001</v>
      </c>
      <c r="O1859">
        <v>2</v>
      </c>
      <c r="P1859" s="12">
        <v>125436.08</v>
      </c>
      <c r="Q1859" s="12">
        <v>102396.8</v>
      </c>
      <c r="R1859" s="12">
        <v>23039.279999999999</v>
      </c>
      <c r="S1859" t="s">
        <v>1246</v>
      </c>
      <c r="T1859" t="s">
        <v>109</v>
      </c>
      <c r="U1859" t="s">
        <v>1194</v>
      </c>
    </row>
    <row r="1860" spans="1:21" x14ac:dyDescent="0.25">
      <c r="A1860" t="s">
        <v>3869</v>
      </c>
      <c r="B1860" s="8">
        <v>45674</v>
      </c>
      <c r="C1860" t="s">
        <v>1304</v>
      </c>
      <c r="D1860" t="s">
        <v>1152</v>
      </c>
      <c r="E1860" t="s">
        <v>198</v>
      </c>
      <c r="F1860">
        <v>21</v>
      </c>
      <c r="G1860" t="s">
        <v>5</v>
      </c>
      <c r="H1860" t="s">
        <v>3</v>
      </c>
      <c r="I1860" t="s">
        <v>36</v>
      </c>
      <c r="J1860" t="s">
        <v>136</v>
      </c>
      <c r="K1860" t="s">
        <v>22</v>
      </c>
      <c r="L1860">
        <v>2</v>
      </c>
      <c r="M1860" s="12">
        <v>3590</v>
      </c>
      <c r="N1860" s="12">
        <v>2333.5</v>
      </c>
      <c r="O1860">
        <v>10</v>
      </c>
      <c r="P1860" s="12">
        <v>6462</v>
      </c>
      <c r="Q1860" s="12">
        <v>4667</v>
      </c>
      <c r="R1860" s="12">
        <v>1795</v>
      </c>
      <c r="S1860" t="s">
        <v>1246</v>
      </c>
      <c r="T1860" t="s">
        <v>111</v>
      </c>
      <c r="U1860" t="s">
        <v>1199</v>
      </c>
    </row>
    <row r="1861" spans="1:21" x14ac:dyDescent="0.25">
      <c r="A1861" t="s">
        <v>3870</v>
      </c>
      <c r="B1861" s="8">
        <v>45989</v>
      </c>
      <c r="C1861" t="s">
        <v>2149</v>
      </c>
      <c r="D1861" t="s">
        <v>1018</v>
      </c>
      <c r="E1861" t="s">
        <v>218</v>
      </c>
      <c r="F1861">
        <v>37</v>
      </c>
      <c r="G1861" t="s">
        <v>290</v>
      </c>
      <c r="H1861" t="s">
        <v>3</v>
      </c>
      <c r="I1861" t="s">
        <v>40</v>
      </c>
      <c r="J1861" t="s">
        <v>39</v>
      </c>
      <c r="K1861" t="s">
        <v>22</v>
      </c>
      <c r="L1861">
        <v>4</v>
      </c>
      <c r="M1861" s="12">
        <v>1100</v>
      </c>
      <c r="N1861" s="12">
        <v>715</v>
      </c>
      <c r="O1861">
        <v>10</v>
      </c>
      <c r="P1861" s="12">
        <v>3960</v>
      </c>
      <c r="Q1861" s="12">
        <v>2860</v>
      </c>
      <c r="R1861" s="12">
        <v>1100</v>
      </c>
      <c r="S1861" t="s">
        <v>1246</v>
      </c>
      <c r="T1861" t="s">
        <v>108</v>
      </c>
      <c r="U1861" t="s">
        <v>1205</v>
      </c>
    </row>
    <row r="1862" spans="1:21" x14ac:dyDescent="0.25">
      <c r="A1862" t="s">
        <v>3871</v>
      </c>
      <c r="B1862" s="8">
        <v>46021</v>
      </c>
      <c r="C1862" t="s">
        <v>3357</v>
      </c>
      <c r="D1862" t="s">
        <v>656</v>
      </c>
      <c r="E1862" t="s">
        <v>198</v>
      </c>
      <c r="F1862">
        <v>36</v>
      </c>
      <c r="G1862" t="s">
        <v>10</v>
      </c>
      <c r="H1862" t="s">
        <v>8</v>
      </c>
      <c r="I1862" t="s">
        <v>26</v>
      </c>
      <c r="J1862" t="s">
        <v>27</v>
      </c>
      <c r="K1862" t="s">
        <v>22</v>
      </c>
      <c r="L1862">
        <v>2</v>
      </c>
      <c r="M1862" s="12">
        <v>27499</v>
      </c>
      <c r="N1862" s="12">
        <v>23374.149999999998</v>
      </c>
      <c r="O1862">
        <v>17</v>
      </c>
      <c r="P1862" s="12">
        <v>45648.34</v>
      </c>
      <c r="Q1862" s="12">
        <v>46748.299999999996</v>
      </c>
      <c r="R1862" s="12">
        <v>-1099.9599999999991</v>
      </c>
      <c r="S1862" t="s">
        <v>113</v>
      </c>
      <c r="T1862" t="s">
        <v>109</v>
      </c>
      <c r="U1862" t="s">
        <v>1198</v>
      </c>
    </row>
    <row r="1863" spans="1:21" x14ac:dyDescent="0.25">
      <c r="A1863" t="s">
        <v>3872</v>
      </c>
      <c r="B1863" s="8">
        <v>45866</v>
      </c>
      <c r="C1863" t="s">
        <v>1450</v>
      </c>
      <c r="D1863" t="s">
        <v>627</v>
      </c>
      <c r="E1863" t="s">
        <v>218</v>
      </c>
      <c r="F1863">
        <v>34</v>
      </c>
      <c r="G1863" t="s">
        <v>4</v>
      </c>
      <c r="H1863" t="s">
        <v>3</v>
      </c>
      <c r="I1863" t="s">
        <v>57</v>
      </c>
      <c r="J1863" t="s">
        <v>67</v>
      </c>
      <c r="K1863" t="s">
        <v>64</v>
      </c>
      <c r="L1863">
        <v>2</v>
      </c>
      <c r="M1863" s="12">
        <v>150</v>
      </c>
      <c r="N1863" s="12">
        <v>97.5</v>
      </c>
      <c r="O1863">
        <v>4</v>
      </c>
      <c r="P1863" s="12">
        <v>288</v>
      </c>
      <c r="Q1863" s="12">
        <v>195</v>
      </c>
      <c r="R1863" s="12">
        <v>93</v>
      </c>
      <c r="S1863" t="s">
        <v>1246</v>
      </c>
      <c r="T1863" t="s">
        <v>107</v>
      </c>
      <c r="U1863" t="s">
        <v>1209</v>
      </c>
    </row>
    <row r="1864" spans="1:21" x14ac:dyDescent="0.25">
      <c r="A1864" t="s">
        <v>3873</v>
      </c>
      <c r="B1864" s="8">
        <v>45976</v>
      </c>
      <c r="C1864" t="s">
        <v>2914</v>
      </c>
      <c r="D1864" t="s">
        <v>1184</v>
      </c>
      <c r="E1864" t="s">
        <v>198</v>
      </c>
      <c r="F1864">
        <v>31</v>
      </c>
      <c r="G1864" t="s">
        <v>9</v>
      </c>
      <c r="H1864" t="s">
        <v>8</v>
      </c>
      <c r="I1864" t="s">
        <v>36</v>
      </c>
      <c r="J1864" t="s">
        <v>136</v>
      </c>
      <c r="K1864" t="s">
        <v>22</v>
      </c>
      <c r="L1864">
        <v>1</v>
      </c>
      <c r="M1864" s="12">
        <v>3590</v>
      </c>
      <c r="N1864" s="12">
        <v>2333.5</v>
      </c>
      <c r="O1864">
        <v>13</v>
      </c>
      <c r="P1864" s="12">
        <v>3123.3</v>
      </c>
      <c r="Q1864" s="12">
        <v>2333.5</v>
      </c>
      <c r="R1864" s="12">
        <v>789.80000000000018</v>
      </c>
      <c r="S1864" t="s">
        <v>113</v>
      </c>
      <c r="T1864" t="s">
        <v>107</v>
      </c>
      <c r="U1864" t="s">
        <v>1199</v>
      </c>
    </row>
    <row r="1865" spans="1:21" x14ac:dyDescent="0.25">
      <c r="A1865" t="s">
        <v>3874</v>
      </c>
      <c r="B1865" s="8">
        <v>45795</v>
      </c>
      <c r="C1865" t="s">
        <v>1770</v>
      </c>
      <c r="D1865" t="s">
        <v>1063</v>
      </c>
      <c r="E1865" t="s">
        <v>218</v>
      </c>
      <c r="F1865">
        <v>57</v>
      </c>
      <c r="G1865" t="s">
        <v>14</v>
      </c>
      <c r="H1865" t="s">
        <v>15</v>
      </c>
      <c r="I1865" t="s">
        <v>21</v>
      </c>
      <c r="J1865" t="s">
        <v>23</v>
      </c>
      <c r="K1865" t="s">
        <v>22</v>
      </c>
      <c r="L1865">
        <v>1</v>
      </c>
      <c r="M1865" s="12">
        <v>54999</v>
      </c>
      <c r="N1865" s="12">
        <v>45099.18</v>
      </c>
      <c r="O1865">
        <v>6</v>
      </c>
      <c r="P1865" s="12">
        <v>51699.06</v>
      </c>
      <c r="Q1865" s="12">
        <v>45099.18</v>
      </c>
      <c r="R1865" s="12">
        <v>6599.8799999999974</v>
      </c>
      <c r="S1865" t="s">
        <v>1246</v>
      </c>
      <c r="T1865" t="s">
        <v>108</v>
      </c>
      <c r="U1865" t="s">
        <v>1203</v>
      </c>
    </row>
    <row r="1866" spans="1:21" x14ac:dyDescent="0.25">
      <c r="A1866" t="s">
        <v>3875</v>
      </c>
      <c r="B1866" s="8">
        <v>45751</v>
      </c>
      <c r="C1866" t="s">
        <v>1667</v>
      </c>
      <c r="D1866" t="s">
        <v>898</v>
      </c>
      <c r="E1866" t="s">
        <v>218</v>
      </c>
      <c r="F1866">
        <v>65</v>
      </c>
      <c r="G1866" t="s">
        <v>11</v>
      </c>
      <c r="H1866" t="s">
        <v>12</v>
      </c>
      <c r="I1866" t="s">
        <v>34</v>
      </c>
      <c r="J1866" t="s">
        <v>137</v>
      </c>
      <c r="K1866" t="s">
        <v>22</v>
      </c>
      <c r="L1866">
        <v>2</v>
      </c>
      <c r="M1866" s="12">
        <v>6900</v>
      </c>
      <c r="N1866" s="12">
        <v>5727</v>
      </c>
      <c r="O1866">
        <v>8</v>
      </c>
      <c r="P1866" s="12">
        <v>12696</v>
      </c>
      <c r="Q1866" s="12">
        <v>11454</v>
      </c>
      <c r="R1866" s="12">
        <v>1242</v>
      </c>
      <c r="S1866" t="s">
        <v>1249</v>
      </c>
      <c r="T1866" t="s">
        <v>110</v>
      </c>
      <c r="U1866" t="s">
        <v>1207</v>
      </c>
    </row>
    <row r="1867" spans="1:21" x14ac:dyDescent="0.25">
      <c r="A1867" t="s">
        <v>3876</v>
      </c>
      <c r="B1867" s="8">
        <v>45925</v>
      </c>
      <c r="C1867" t="s">
        <v>1335</v>
      </c>
      <c r="D1867" t="s">
        <v>521</v>
      </c>
      <c r="E1867" t="s">
        <v>218</v>
      </c>
      <c r="F1867">
        <v>59</v>
      </c>
      <c r="G1867" t="s">
        <v>9</v>
      </c>
      <c r="H1867" t="s">
        <v>8</v>
      </c>
      <c r="I1867" t="s">
        <v>59</v>
      </c>
      <c r="J1867" t="s">
        <v>73</v>
      </c>
      <c r="K1867" t="s">
        <v>64</v>
      </c>
      <c r="L1867">
        <v>5</v>
      </c>
      <c r="M1867" s="12">
        <v>120</v>
      </c>
      <c r="N1867" s="12">
        <v>81.599999999999994</v>
      </c>
      <c r="O1867">
        <v>3</v>
      </c>
      <c r="P1867" s="12">
        <v>582</v>
      </c>
      <c r="Q1867" s="12">
        <v>408</v>
      </c>
      <c r="R1867" s="12">
        <v>174</v>
      </c>
      <c r="S1867" t="s">
        <v>1246</v>
      </c>
      <c r="T1867" t="s">
        <v>108</v>
      </c>
      <c r="U1867" t="s">
        <v>1194</v>
      </c>
    </row>
    <row r="1868" spans="1:21" x14ac:dyDescent="0.25">
      <c r="A1868" t="s">
        <v>3877</v>
      </c>
      <c r="B1868" s="8">
        <v>45857</v>
      </c>
      <c r="C1868" t="s">
        <v>4091</v>
      </c>
      <c r="D1868" t="s">
        <v>759</v>
      </c>
      <c r="E1868" t="s">
        <v>198</v>
      </c>
      <c r="F1868">
        <v>45</v>
      </c>
      <c r="G1868" t="s">
        <v>289</v>
      </c>
      <c r="H1868" t="s">
        <v>3</v>
      </c>
      <c r="I1868" t="s">
        <v>63</v>
      </c>
      <c r="J1868" t="s">
        <v>77</v>
      </c>
      <c r="K1868" t="s">
        <v>64</v>
      </c>
      <c r="L1868">
        <v>4</v>
      </c>
      <c r="M1868" s="12">
        <v>650</v>
      </c>
      <c r="N1868" s="12">
        <v>468</v>
      </c>
      <c r="O1868">
        <v>2</v>
      </c>
      <c r="P1868" s="12">
        <v>2548</v>
      </c>
      <c r="Q1868" s="12">
        <v>1872</v>
      </c>
      <c r="R1868" s="12">
        <v>676</v>
      </c>
      <c r="S1868" t="s">
        <v>1249</v>
      </c>
      <c r="T1868" t="s">
        <v>107</v>
      </c>
      <c r="U1868" t="s">
        <v>1207</v>
      </c>
    </row>
    <row r="1869" spans="1:21" x14ac:dyDescent="0.25">
      <c r="A1869" t="s">
        <v>3878</v>
      </c>
      <c r="B1869" s="8">
        <v>45689</v>
      </c>
      <c r="C1869" t="s">
        <v>1331</v>
      </c>
      <c r="D1869" t="s">
        <v>931</v>
      </c>
      <c r="E1869" t="s">
        <v>218</v>
      </c>
      <c r="F1869">
        <v>23</v>
      </c>
      <c r="G1869" t="s">
        <v>17</v>
      </c>
      <c r="H1869" t="s">
        <v>15</v>
      </c>
      <c r="I1869" t="s">
        <v>26</v>
      </c>
      <c r="J1869" t="s">
        <v>27</v>
      </c>
      <c r="K1869" t="s">
        <v>22</v>
      </c>
      <c r="L1869">
        <v>3</v>
      </c>
      <c r="M1869" s="12">
        <v>27499</v>
      </c>
      <c r="N1869" s="12">
        <v>23374.149999999998</v>
      </c>
      <c r="O1869">
        <v>3</v>
      </c>
      <c r="P1869" s="12">
        <v>80022.09</v>
      </c>
      <c r="Q1869" s="12">
        <v>70122.45</v>
      </c>
      <c r="R1869" s="12">
        <v>9899.64</v>
      </c>
      <c r="S1869" t="s">
        <v>113</v>
      </c>
      <c r="T1869" t="s">
        <v>107</v>
      </c>
      <c r="U1869" t="s">
        <v>1207</v>
      </c>
    </row>
    <row r="1870" spans="1:21" x14ac:dyDescent="0.25">
      <c r="A1870" t="s">
        <v>3879</v>
      </c>
      <c r="B1870" s="8">
        <v>45856</v>
      </c>
      <c r="C1870" t="s">
        <v>1993</v>
      </c>
      <c r="D1870" t="s">
        <v>469</v>
      </c>
      <c r="E1870" t="s">
        <v>218</v>
      </c>
      <c r="F1870">
        <v>37</v>
      </c>
      <c r="G1870" t="s">
        <v>17</v>
      </c>
      <c r="H1870" t="s">
        <v>15</v>
      </c>
      <c r="I1870" t="s">
        <v>59</v>
      </c>
      <c r="J1870" t="s">
        <v>73</v>
      </c>
      <c r="K1870" t="s">
        <v>64</v>
      </c>
      <c r="L1870">
        <v>5</v>
      </c>
      <c r="M1870" s="12">
        <v>120</v>
      </c>
      <c r="N1870" s="12">
        <v>81.599999999999994</v>
      </c>
      <c r="O1870">
        <v>4</v>
      </c>
      <c r="P1870" s="12">
        <v>576</v>
      </c>
      <c r="Q1870" s="12">
        <v>408</v>
      </c>
      <c r="R1870" s="12">
        <v>168</v>
      </c>
      <c r="S1870" t="s">
        <v>1246</v>
      </c>
      <c r="T1870" t="s">
        <v>110</v>
      </c>
      <c r="U1870" t="s">
        <v>1209</v>
      </c>
    </row>
    <row r="1871" spans="1:21" x14ac:dyDescent="0.25">
      <c r="A1871" t="s">
        <v>3880</v>
      </c>
      <c r="B1871" s="8">
        <v>45806</v>
      </c>
      <c r="C1871" t="s">
        <v>1843</v>
      </c>
      <c r="D1871" t="s">
        <v>985</v>
      </c>
      <c r="E1871" t="s">
        <v>218</v>
      </c>
      <c r="F1871">
        <v>21</v>
      </c>
      <c r="G1871" t="s">
        <v>7</v>
      </c>
      <c r="H1871" t="s">
        <v>8</v>
      </c>
      <c r="I1871" t="s">
        <v>53</v>
      </c>
      <c r="J1871" t="s">
        <v>48</v>
      </c>
      <c r="K1871" t="s">
        <v>43</v>
      </c>
      <c r="L1871">
        <v>3</v>
      </c>
      <c r="M1871" s="12">
        <v>6499</v>
      </c>
      <c r="N1871" s="12">
        <v>4549.2999999999993</v>
      </c>
      <c r="O1871">
        <v>5</v>
      </c>
      <c r="P1871" s="12">
        <v>18522.149999999998</v>
      </c>
      <c r="Q1871" s="12">
        <v>13647.899999999998</v>
      </c>
      <c r="R1871" s="12">
        <v>4874.25</v>
      </c>
      <c r="S1871" t="s">
        <v>1246</v>
      </c>
      <c r="T1871" t="s">
        <v>111</v>
      </c>
      <c r="U1871" t="s">
        <v>1201</v>
      </c>
    </row>
    <row r="1872" spans="1:21" x14ac:dyDescent="0.25">
      <c r="A1872" t="s">
        <v>3881</v>
      </c>
      <c r="B1872" s="8">
        <v>45917</v>
      </c>
      <c r="C1872" t="s">
        <v>3975</v>
      </c>
      <c r="D1872" t="s">
        <v>533</v>
      </c>
      <c r="E1872" t="s">
        <v>218</v>
      </c>
      <c r="F1872">
        <v>24</v>
      </c>
      <c r="G1872" t="s">
        <v>289</v>
      </c>
      <c r="H1872" t="s">
        <v>3</v>
      </c>
      <c r="I1872" t="s">
        <v>61</v>
      </c>
      <c r="J1872" t="s">
        <v>146</v>
      </c>
      <c r="K1872" t="s">
        <v>64</v>
      </c>
      <c r="L1872">
        <v>4</v>
      </c>
      <c r="M1872" s="12">
        <v>250</v>
      </c>
      <c r="N1872" s="12">
        <v>155</v>
      </c>
      <c r="O1872">
        <v>2</v>
      </c>
      <c r="P1872" s="12">
        <v>980</v>
      </c>
      <c r="Q1872" s="12">
        <v>620</v>
      </c>
      <c r="R1872" s="12">
        <v>360</v>
      </c>
      <c r="S1872" t="s">
        <v>1246</v>
      </c>
      <c r="T1872" t="s">
        <v>107</v>
      </c>
      <c r="U1872" t="s">
        <v>1207</v>
      </c>
    </row>
    <row r="1873" spans="1:21" x14ac:dyDescent="0.25">
      <c r="A1873" t="s">
        <v>3883</v>
      </c>
      <c r="B1873" s="8">
        <v>45706</v>
      </c>
      <c r="C1873" t="s">
        <v>1957</v>
      </c>
      <c r="D1873" t="s">
        <v>523</v>
      </c>
      <c r="E1873" t="s">
        <v>218</v>
      </c>
      <c r="F1873">
        <v>63</v>
      </c>
      <c r="G1873" t="s">
        <v>11</v>
      </c>
      <c r="H1873" t="s">
        <v>12</v>
      </c>
      <c r="I1873" t="s">
        <v>36</v>
      </c>
      <c r="J1873" t="s">
        <v>136</v>
      </c>
      <c r="K1873" t="s">
        <v>22</v>
      </c>
      <c r="L1873">
        <v>1</v>
      </c>
      <c r="M1873" s="12">
        <v>3590</v>
      </c>
      <c r="N1873" s="12">
        <v>2333.5</v>
      </c>
      <c r="O1873">
        <v>4</v>
      </c>
      <c r="P1873" s="12">
        <v>3446.4</v>
      </c>
      <c r="Q1873" s="12">
        <v>2333.5</v>
      </c>
      <c r="R1873" s="12">
        <v>1112.9000000000001</v>
      </c>
      <c r="S1873" t="s">
        <v>113</v>
      </c>
      <c r="T1873" t="s">
        <v>111</v>
      </c>
      <c r="U1873" t="s">
        <v>1209</v>
      </c>
    </row>
    <row r="1874" spans="1:21" x14ac:dyDescent="0.25">
      <c r="A1874" t="s">
        <v>3884</v>
      </c>
      <c r="B1874" s="8">
        <v>45707</v>
      </c>
      <c r="C1874" t="s">
        <v>1464</v>
      </c>
      <c r="D1874" t="s">
        <v>897</v>
      </c>
      <c r="E1874" t="s">
        <v>218</v>
      </c>
      <c r="F1874">
        <v>55</v>
      </c>
      <c r="G1874" t="s">
        <v>17</v>
      </c>
      <c r="H1874" t="s">
        <v>15</v>
      </c>
      <c r="I1874" t="s">
        <v>32</v>
      </c>
      <c r="J1874" t="s">
        <v>29</v>
      </c>
      <c r="K1874" t="s">
        <v>22</v>
      </c>
      <c r="L1874">
        <v>4</v>
      </c>
      <c r="M1874" s="12">
        <v>9500</v>
      </c>
      <c r="N1874" s="12">
        <v>6650</v>
      </c>
      <c r="O1874">
        <v>4</v>
      </c>
      <c r="P1874" s="12">
        <v>36480</v>
      </c>
      <c r="Q1874" s="12">
        <v>26600</v>
      </c>
      <c r="R1874" s="12">
        <v>9880</v>
      </c>
      <c r="S1874" t="s">
        <v>1249</v>
      </c>
      <c r="T1874" t="s">
        <v>109</v>
      </c>
      <c r="U1874" t="s">
        <v>1201</v>
      </c>
    </row>
    <row r="1875" spans="1:21" x14ac:dyDescent="0.25">
      <c r="A1875" t="s">
        <v>3885</v>
      </c>
      <c r="B1875" s="8">
        <v>45684</v>
      </c>
      <c r="C1875" t="s">
        <v>2359</v>
      </c>
      <c r="D1875" t="s">
        <v>428</v>
      </c>
      <c r="E1875" t="s">
        <v>218</v>
      </c>
      <c r="F1875">
        <v>32</v>
      </c>
      <c r="G1875" t="s">
        <v>11</v>
      </c>
      <c r="H1875" t="s">
        <v>12</v>
      </c>
      <c r="I1875" t="s">
        <v>49</v>
      </c>
      <c r="J1875" t="s">
        <v>56</v>
      </c>
      <c r="K1875" t="s">
        <v>43</v>
      </c>
      <c r="L1875">
        <v>3</v>
      </c>
      <c r="M1875" s="12">
        <v>31999</v>
      </c>
      <c r="N1875" s="12">
        <v>25599.200000000001</v>
      </c>
      <c r="O1875">
        <v>4</v>
      </c>
      <c r="P1875" s="12">
        <v>92157.119999999995</v>
      </c>
      <c r="Q1875" s="12">
        <v>76797.600000000006</v>
      </c>
      <c r="R1875" s="12">
        <v>15359.51999999999</v>
      </c>
      <c r="S1875" t="s">
        <v>1246</v>
      </c>
      <c r="T1875" t="s">
        <v>107</v>
      </c>
      <c r="U1875" t="s">
        <v>1194</v>
      </c>
    </row>
    <row r="1876" spans="1:21" x14ac:dyDescent="0.25">
      <c r="A1876" t="s">
        <v>3886</v>
      </c>
      <c r="B1876" s="8">
        <v>45670</v>
      </c>
      <c r="C1876" t="s">
        <v>1859</v>
      </c>
      <c r="D1876" t="s">
        <v>1188</v>
      </c>
      <c r="E1876" t="s">
        <v>198</v>
      </c>
      <c r="F1876">
        <v>32</v>
      </c>
      <c r="G1876" t="s">
        <v>9</v>
      </c>
      <c r="H1876" t="s">
        <v>8</v>
      </c>
      <c r="I1876" t="s">
        <v>55</v>
      </c>
      <c r="J1876" t="s">
        <v>65</v>
      </c>
      <c r="K1876" t="s">
        <v>64</v>
      </c>
      <c r="L1876">
        <v>3</v>
      </c>
      <c r="M1876" s="12">
        <v>80</v>
      </c>
      <c r="N1876" s="12">
        <v>56</v>
      </c>
      <c r="O1876">
        <v>10</v>
      </c>
      <c r="P1876" s="12">
        <v>216</v>
      </c>
      <c r="Q1876" s="12">
        <v>168</v>
      </c>
      <c r="R1876" s="12">
        <v>48</v>
      </c>
      <c r="S1876" t="s">
        <v>1246</v>
      </c>
      <c r="T1876" t="s">
        <v>110</v>
      </c>
      <c r="U1876" t="s">
        <v>1196</v>
      </c>
    </row>
    <row r="1877" spans="1:21" x14ac:dyDescent="0.25">
      <c r="A1877" t="s">
        <v>3887</v>
      </c>
      <c r="B1877" s="8">
        <v>45670</v>
      </c>
      <c r="C1877" t="s">
        <v>4666</v>
      </c>
      <c r="D1877" t="s">
        <v>1173</v>
      </c>
      <c r="E1877" t="s">
        <v>218</v>
      </c>
      <c r="F1877">
        <v>18</v>
      </c>
      <c r="G1877" t="s">
        <v>11</v>
      </c>
      <c r="H1877" t="s">
        <v>12</v>
      </c>
      <c r="I1877" t="s">
        <v>57</v>
      </c>
      <c r="J1877" t="s">
        <v>67</v>
      </c>
      <c r="K1877" t="s">
        <v>64</v>
      </c>
      <c r="L1877">
        <v>5</v>
      </c>
      <c r="M1877" s="12">
        <v>150</v>
      </c>
      <c r="N1877" s="12">
        <v>97.5</v>
      </c>
      <c r="O1877">
        <v>13</v>
      </c>
      <c r="P1877" s="12">
        <v>652.5</v>
      </c>
      <c r="Q1877" s="12">
        <v>487.5</v>
      </c>
      <c r="R1877" s="12">
        <v>165</v>
      </c>
      <c r="S1877" t="s">
        <v>1246</v>
      </c>
      <c r="T1877" t="s">
        <v>109</v>
      </c>
      <c r="U1877" t="s">
        <v>1201</v>
      </c>
    </row>
    <row r="1878" spans="1:21" x14ac:dyDescent="0.25">
      <c r="A1878" t="s">
        <v>3888</v>
      </c>
      <c r="B1878" s="8">
        <v>45868</v>
      </c>
      <c r="C1878" t="s">
        <v>1248</v>
      </c>
      <c r="D1878" t="s">
        <v>540</v>
      </c>
      <c r="E1878" t="s">
        <v>218</v>
      </c>
      <c r="F1878">
        <v>18</v>
      </c>
      <c r="G1878" t="s">
        <v>16</v>
      </c>
      <c r="H1878" t="s">
        <v>15</v>
      </c>
      <c r="I1878" t="s">
        <v>55</v>
      </c>
      <c r="J1878" t="s">
        <v>65</v>
      </c>
      <c r="K1878" t="s">
        <v>64</v>
      </c>
      <c r="L1878">
        <v>1</v>
      </c>
      <c r="M1878" s="12">
        <v>80</v>
      </c>
      <c r="N1878" s="12">
        <v>56</v>
      </c>
      <c r="O1878">
        <v>2</v>
      </c>
      <c r="P1878" s="12">
        <v>78.400000000000006</v>
      </c>
      <c r="Q1878" s="12">
        <v>56</v>
      </c>
      <c r="R1878" s="12">
        <v>22.400000000000006</v>
      </c>
      <c r="S1878" t="s">
        <v>1246</v>
      </c>
      <c r="T1878" t="s">
        <v>109</v>
      </c>
      <c r="U1878" t="s">
        <v>1198</v>
      </c>
    </row>
    <row r="1879" spans="1:21" x14ac:dyDescent="0.25">
      <c r="A1879" t="s">
        <v>3889</v>
      </c>
      <c r="B1879" s="8">
        <v>45825</v>
      </c>
      <c r="C1879" t="s">
        <v>2068</v>
      </c>
      <c r="D1879" t="s">
        <v>775</v>
      </c>
      <c r="E1879" t="s">
        <v>218</v>
      </c>
      <c r="F1879">
        <v>60</v>
      </c>
      <c r="G1879" t="s">
        <v>14</v>
      </c>
      <c r="H1879" t="s">
        <v>15</v>
      </c>
      <c r="I1879" t="s">
        <v>26</v>
      </c>
      <c r="J1879" t="s">
        <v>27</v>
      </c>
      <c r="K1879" t="s">
        <v>22</v>
      </c>
      <c r="L1879">
        <v>4</v>
      </c>
      <c r="M1879" s="12">
        <v>27499</v>
      </c>
      <c r="N1879" s="12">
        <v>23374.149999999998</v>
      </c>
      <c r="O1879">
        <v>5</v>
      </c>
      <c r="P1879" s="12">
        <v>104496.2</v>
      </c>
      <c r="Q1879" s="12">
        <v>93496.599999999991</v>
      </c>
      <c r="R1879" s="12">
        <v>10999.600000000006</v>
      </c>
      <c r="S1879" t="s">
        <v>1246</v>
      </c>
      <c r="T1879" t="s">
        <v>107</v>
      </c>
      <c r="U1879" t="s">
        <v>1199</v>
      </c>
    </row>
    <row r="1880" spans="1:21" x14ac:dyDescent="0.25">
      <c r="A1880" t="s">
        <v>3890</v>
      </c>
      <c r="B1880" s="8">
        <v>45716</v>
      </c>
      <c r="C1880" t="s">
        <v>1596</v>
      </c>
      <c r="D1880" t="s">
        <v>1120</v>
      </c>
      <c r="E1880" t="s">
        <v>218</v>
      </c>
      <c r="F1880">
        <v>50</v>
      </c>
      <c r="G1880" t="s">
        <v>5</v>
      </c>
      <c r="H1880" t="s">
        <v>3</v>
      </c>
      <c r="I1880" t="s">
        <v>30</v>
      </c>
      <c r="J1880" t="s">
        <v>41</v>
      </c>
      <c r="K1880" t="s">
        <v>22</v>
      </c>
      <c r="L1880">
        <v>4</v>
      </c>
      <c r="M1880" s="12">
        <v>13749</v>
      </c>
      <c r="N1880" s="12">
        <v>10999.2</v>
      </c>
      <c r="O1880">
        <v>4</v>
      </c>
      <c r="P1880" s="12">
        <v>52796.159999999996</v>
      </c>
      <c r="Q1880" s="12">
        <v>43996.800000000003</v>
      </c>
      <c r="R1880" s="12">
        <v>8799.3599999999933</v>
      </c>
      <c r="S1880" t="s">
        <v>113</v>
      </c>
      <c r="T1880" t="s">
        <v>108</v>
      </c>
      <c r="U1880" t="s">
        <v>1201</v>
      </c>
    </row>
    <row r="1881" spans="1:21" x14ac:dyDescent="0.25">
      <c r="A1881" t="s">
        <v>3891</v>
      </c>
      <c r="B1881" s="8">
        <v>45858</v>
      </c>
      <c r="C1881" t="s">
        <v>2388</v>
      </c>
      <c r="D1881" t="s">
        <v>933</v>
      </c>
      <c r="E1881" t="s">
        <v>218</v>
      </c>
      <c r="F1881">
        <v>26</v>
      </c>
      <c r="G1881" t="s">
        <v>4</v>
      </c>
      <c r="H1881" t="s">
        <v>3</v>
      </c>
      <c r="I1881" t="s">
        <v>40</v>
      </c>
      <c r="J1881" t="s">
        <v>39</v>
      </c>
      <c r="K1881" t="s">
        <v>22</v>
      </c>
      <c r="L1881">
        <v>1</v>
      </c>
      <c r="M1881" s="12">
        <v>1100</v>
      </c>
      <c r="N1881" s="12">
        <v>715</v>
      </c>
      <c r="O1881">
        <v>6</v>
      </c>
      <c r="P1881" s="12">
        <v>1034</v>
      </c>
      <c r="Q1881" s="12">
        <v>715</v>
      </c>
      <c r="R1881" s="12">
        <v>319</v>
      </c>
      <c r="S1881" t="s">
        <v>1246</v>
      </c>
      <c r="T1881" t="s">
        <v>107</v>
      </c>
      <c r="U1881" t="s">
        <v>1194</v>
      </c>
    </row>
    <row r="1882" spans="1:21" x14ac:dyDescent="0.25">
      <c r="A1882" t="s">
        <v>3892</v>
      </c>
      <c r="B1882" s="8">
        <v>45897</v>
      </c>
      <c r="C1882" t="s">
        <v>2169</v>
      </c>
      <c r="D1882" t="s">
        <v>575</v>
      </c>
      <c r="E1882" t="s">
        <v>198</v>
      </c>
      <c r="F1882">
        <v>46</v>
      </c>
      <c r="G1882" t="s">
        <v>17</v>
      </c>
      <c r="H1882" t="s">
        <v>15</v>
      </c>
      <c r="I1882" t="s">
        <v>30</v>
      </c>
      <c r="J1882" t="s">
        <v>41</v>
      </c>
      <c r="K1882" t="s">
        <v>22</v>
      </c>
      <c r="L1882">
        <v>3</v>
      </c>
      <c r="M1882" s="12">
        <v>13749</v>
      </c>
      <c r="N1882" s="12">
        <v>10999.2</v>
      </c>
      <c r="O1882">
        <v>6</v>
      </c>
      <c r="P1882" s="12">
        <v>38772.18</v>
      </c>
      <c r="Q1882" s="12">
        <v>32997.600000000006</v>
      </c>
      <c r="R1882" s="12">
        <v>5774.5799999999945</v>
      </c>
      <c r="S1882" t="s">
        <v>1246</v>
      </c>
      <c r="T1882" t="s">
        <v>108</v>
      </c>
      <c r="U1882" t="s">
        <v>1211</v>
      </c>
    </row>
    <row r="1883" spans="1:21" x14ac:dyDescent="0.25">
      <c r="A1883" t="s">
        <v>3893</v>
      </c>
      <c r="B1883" s="8">
        <v>45806</v>
      </c>
      <c r="C1883" t="s">
        <v>2279</v>
      </c>
      <c r="D1883" t="s">
        <v>1150</v>
      </c>
      <c r="E1883" t="s">
        <v>218</v>
      </c>
      <c r="F1883">
        <v>26</v>
      </c>
      <c r="G1883" t="s">
        <v>11</v>
      </c>
      <c r="H1883" t="s">
        <v>12</v>
      </c>
      <c r="I1883" t="s">
        <v>34</v>
      </c>
      <c r="J1883" t="s">
        <v>137</v>
      </c>
      <c r="K1883" t="s">
        <v>22</v>
      </c>
      <c r="L1883">
        <v>3</v>
      </c>
      <c r="M1883" s="12">
        <v>6900</v>
      </c>
      <c r="N1883" s="12">
        <v>5727</v>
      </c>
      <c r="O1883">
        <v>8</v>
      </c>
      <c r="P1883" s="12">
        <v>19044</v>
      </c>
      <c r="Q1883" s="12">
        <v>17181</v>
      </c>
      <c r="R1883" s="12">
        <v>1863</v>
      </c>
      <c r="S1883" t="s">
        <v>113</v>
      </c>
      <c r="T1883" t="s">
        <v>108</v>
      </c>
      <c r="U1883" t="s">
        <v>1201</v>
      </c>
    </row>
    <row r="1884" spans="1:21" x14ac:dyDescent="0.25">
      <c r="A1884" t="s">
        <v>3894</v>
      </c>
      <c r="B1884" s="8">
        <v>45906</v>
      </c>
      <c r="C1884" t="s">
        <v>2951</v>
      </c>
      <c r="D1884" t="s">
        <v>594</v>
      </c>
      <c r="E1884" t="s">
        <v>218</v>
      </c>
      <c r="F1884">
        <v>60</v>
      </c>
      <c r="G1884" t="s">
        <v>7</v>
      </c>
      <c r="H1884" t="s">
        <v>8</v>
      </c>
      <c r="I1884" t="s">
        <v>45</v>
      </c>
      <c r="J1884" t="s">
        <v>46</v>
      </c>
      <c r="K1884" t="s">
        <v>43</v>
      </c>
      <c r="L1884">
        <v>3</v>
      </c>
      <c r="M1884" s="12">
        <v>11999</v>
      </c>
      <c r="N1884" s="12">
        <v>8999.25</v>
      </c>
      <c r="O1884">
        <v>6</v>
      </c>
      <c r="P1884" s="12">
        <v>33837.18</v>
      </c>
      <c r="Q1884" s="12">
        <v>26997.75</v>
      </c>
      <c r="R1884" s="12">
        <v>6839.43</v>
      </c>
      <c r="S1884" t="s">
        <v>1249</v>
      </c>
      <c r="T1884" t="s">
        <v>107</v>
      </c>
      <c r="U1884" t="s">
        <v>1198</v>
      </c>
    </row>
    <row r="1885" spans="1:21" x14ac:dyDescent="0.25">
      <c r="A1885" t="s">
        <v>3896</v>
      </c>
      <c r="B1885" s="8">
        <v>45840</v>
      </c>
      <c r="C1885" t="s">
        <v>3640</v>
      </c>
      <c r="D1885" t="s">
        <v>742</v>
      </c>
      <c r="E1885" t="s">
        <v>218</v>
      </c>
      <c r="F1885">
        <v>63</v>
      </c>
      <c r="G1885" t="s">
        <v>4</v>
      </c>
      <c r="H1885" t="s">
        <v>3</v>
      </c>
      <c r="I1885" t="s">
        <v>32</v>
      </c>
      <c r="J1885" t="s">
        <v>29</v>
      </c>
      <c r="K1885" t="s">
        <v>22</v>
      </c>
      <c r="L1885">
        <v>4</v>
      </c>
      <c r="M1885" s="12">
        <v>9500</v>
      </c>
      <c r="N1885" s="12">
        <v>6650</v>
      </c>
      <c r="O1885">
        <v>6</v>
      </c>
      <c r="P1885" s="12">
        <v>35720</v>
      </c>
      <c r="Q1885" s="12">
        <v>26600</v>
      </c>
      <c r="R1885" s="12">
        <v>9120</v>
      </c>
      <c r="S1885" t="s">
        <v>113</v>
      </c>
      <c r="T1885" t="s">
        <v>111</v>
      </c>
      <c r="U1885" t="s">
        <v>1196</v>
      </c>
    </row>
    <row r="1886" spans="1:21" x14ac:dyDescent="0.25">
      <c r="A1886" t="s">
        <v>3897</v>
      </c>
      <c r="B1886" s="8">
        <v>45713</v>
      </c>
      <c r="C1886" t="s">
        <v>3267</v>
      </c>
      <c r="D1886" t="s">
        <v>636</v>
      </c>
      <c r="E1886" t="s">
        <v>198</v>
      </c>
      <c r="F1886">
        <v>46</v>
      </c>
      <c r="G1886" t="s">
        <v>14</v>
      </c>
      <c r="H1886" t="s">
        <v>15</v>
      </c>
      <c r="I1886" t="s">
        <v>53</v>
      </c>
      <c r="J1886" t="s">
        <v>48</v>
      </c>
      <c r="K1886" t="s">
        <v>43</v>
      </c>
      <c r="L1886">
        <v>4</v>
      </c>
      <c r="M1886" s="12">
        <v>6499</v>
      </c>
      <c r="N1886" s="12">
        <v>4549.2999999999993</v>
      </c>
      <c r="O1886">
        <v>8</v>
      </c>
      <c r="P1886" s="12">
        <v>23916.32</v>
      </c>
      <c r="Q1886" s="12">
        <v>18197.199999999997</v>
      </c>
      <c r="R1886" s="12">
        <v>5719.1200000000026</v>
      </c>
      <c r="S1886" t="s">
        <v>113</v>
      </c>
      <c r="T1886" t="s">
        <v>109</v>
      </c>
      <c r="U1886" t="s">
        <v>1211</v>
      </c>
    </row>
    <row r="1887" spans="1:21" x14ac:dyDescent="0.25">
      <c r="A1887" t="s">
        <v>3898</v>
      </c>
      <c r="B1887" s="8">
        <v>45724</v>
      </c>
      <c r="C1887" t="s">
        <v>2223</v>
      </c>
      <c r="D1887" t="s">
        <v>872</v>
      </c>
      <c r="E1887" t="s">
        <v>198</v>
      </c>
      <c r="F1887">
        <v>34</v>
      </c>
      <c r="G1887" t="s">
        <v>7</v>
      </c>
      <c r="H1887" t="s">
        <v>8</v>
      </c>
      <c r="I1887" t="s">
        <v>51</v>
      </c>
      <c r="J1887" t="s">
        <v>54</v>
      </c>
      <c r="K1887" t="s">
        <v>43</v>
      </c>
      <c r="L1887">
        <v>3</v>
      </c>
      <c r="M1887" s="12">
        <v>27499</v>
      </c>
      <c r="N1887" s="12">
        <v>21724.210000000003</v>
      </c>
      <c r="O1887">
        <v>6</v>
      </c>
      <c r="P1887" s="12">
        <v>77547.179999999993</v>
      </c>
      <c r="Q1887" s="12">
        <v>65172.630000000005</v>
      </c>
      <c r="R1887" s="12">
        <v>12374.549999999988</v>
      </c>
      <c r="S1887" t="s">
        <v>1246</v>
      </c>
      <c r="T1887" t="s">
        <v>107</v>
      </c>
      <c r="U1887" t="s">
        <v>1194</v>
      </c>
    </row>
    <row r="1888" spans="1:21" x14ac:dyDescent="0.25">
      <c r="A1888" t="s">
        <v>3899</v>
      </c>
      <c r="B1888" s="8">
        <v>45954</v>
      </c>
      <c r="C1888" t="s">
        <v>2263</v>
      </c>
      <c r="D1888" t="s">
        <v>796</v>
      </c>
      <c r="E1888" t="s">
        <v>218</v>
      </c>
      <c r="F1888">
        <v>60</v>
      </c>
      <c r="G1888" t="s">
        <v>290</v>
      </c>
      <c r="H1888" t="s">
        <v>3</v>
      </c>
      <c r="I1888" t="s">
        <v>30</v>
      </c>
      <c r="J1888" t="s">
        <v>41</v>
      </c>
      <c r="K1888" t="s">
        <v>22</v>
      </c>
      <c r="L1888">
        <v>3</v>
      </c>
      <c r="M1888" s="12">
        <v>13749</v>
      </c>
      <c r="N1888" s="12">
        <v>10999.2</v>
      </c>
      <c r="O1888">
        <v>7</v>
      </c>
      <c r="P1888" s="12">
        <v>38359.71</v>
      </c>
      <c r="Q1888" s="12">
        <v>32997.600000000006</v>
      </c>
      <c r="R1888" s="12">
        <v>5362.1099999999933</v>
      </c>
      <c r="S1888" t="s">
        <v>1249</v>
      </c>
      <c r="T1888" t="s">
        <v>107</v>
      </c>
      <c r="U1888" t="s">
        <v>1194</v>
      </c>
    </row>
    <row r="1889" spans="1:21" x14ac:dyDescent="0.25">
      <c r="A1889" t="s">
        <v>3900</v>
      </c>
      <c r="B1889" s="8">
        <v>45921</v>
      </c>
      <c r="C1889" t="s">
        <v>3632</v>
      </c>
      <c r="D1889" t="s">
        <v>1081</v>
      </c>
      <c r="E1889" t="s">
        <v>218</v>
      </c>
      <c r="F1889">
        <v>47</v>
      </c>
      <c r="G1889" t="s">
        <v>289</v>
      </c>
      <c r="H1889" t="s">
        <v>3</v>
      </c>
      <c r="I1889" t="s">
        <v>53</v>
      </c>
      <c r="J1889" t="s">
        <v>48</v>
      </c>
      <c r="K1889" t="s">
        <v>43</v>
      </c>
      <c r="L1889">
        <v>5</v>
      </c>
      <c r="M1889" s="12">
        <v>6499</v>
      </c>
      <c r="N1889" s="12">
        <v>4549.2999999999993</v>
      </c>
      <c r="O1889">
        <v>6</v>
      </c>
      <c r="P1889" s="12">
        <v>30545.3</v>
      </c>
      <c r="Q1889" s="12">
        <v>22746.499999999996</v>
      </c>
      <c r="R1889" s="12">
        <v>7798.8000000000029</v>
      </c>
      <c r="S1889" t="s">
        <v>1246</v>
      </c>
      <c r="T1889" t="s">
        <v>107</v>
      </c>
      <c r="U1889" t="s">
        <v>1199</v>
      </c>
    </row>
    <row r="1890" spans="1:21" x14ac:dyDescent="0.25">
      <c r="A1890" t="s">
        <v>3901</v>
      </c>
      <c r="B1890" s="8">
        <v>45864</v>
      </c>
      <c r="C1890" t="s">
        <v>3827</v>
      </c>
      <c r="D1890" t="s">
        <v>982</v>
      </c>
      <c r="E1890" t="s">
        <v>218</v>
      </c>
      <c r="F1890">
        <v>29</v>
      </c>
      <c r="G1890" t="s">
        <v>14</v>
      </c>
      <c r="H1890" t="s">
        <v>15</v>
      </c>
      <c r="I1890" t="s">
        <v>59</v>
      </c>
      <c r="J1890" t="s">
        <v>73</v>
      </c>
      <c r="K1890" t="s">
        <v>64</v>
      </c>
      <c r="L1890">
        <v>2</v>
      </c>
      <c r="M1890" s="12">
        <v>120</v>
      </c>
      <c r="N1890" s="12">
        <v>81.599999999999994</v>
      </c>
      <c r="O1890">
        <v>3</v>
      </c>
      <c r="P1890" s="12">
        <v>232.79999999999998</v>
      </c>
      <c r="Q1890" s="12">
        <v>163.19999999999999</v>
      </c>
      <c r="R1890" s="12">
        <v>69.599999999999994</v>
      </c>
      <c r="S1890" t="s">
        <v>113</v>
      </c>
      <c r="T1890" t="s">
        <v>107</v>
      </c>
      <c r="U1890" t="s">
        <v>1211</v>
      </c>
    </row>
    <row r="1891" spans="1:21" x14ac:dyDescent="0.25">
      <c r="A1891" t="s">
        <v>3902</v>
      </c>
      <c r="B1891" s="8">
        <v>45781</v>
      </c>
      <c r="C1891" t="s">
        <v>2820</v>
      </c>
      <c r="D1891" t="s">
        <v>770</v>
      </c>
      <c r="E1891" t="s">
        <v>218</v>
      </c>
      <c r="F1891">
        <v>29</v>
      </c>
      <c r="G1891" t="s">
        <v>2</v>
      </c>
      <c r="H1891" t="s">
        <v>3</v>
      </c>
      <c r="I1891" t="s">
        <v>55</v>
      </c>
      <c r="J1891" t="s">
        <v>65</v>
      </c>
      <c r="K1891" t="s">
        <v>64</v>
      </c>
      <c r="L1891">
        <v>2</v>
      </c>
      <c r="M1891" s="12">
        <v>80</v>
      </c>
      <c r="N1891" s="12">
        <v>56</v>
      </c>
      <c r="O1891">
        <v>12</v>
      </c>
      <c r="P1891" s="12">
        <v>140.80000000000001</v>
      </c>
      <c r="Q1891" s="12">
        <v>112</v>
      </c>
      <c r="R1891" s="12">
        <v>28.800000000000011</v>
      </c>
      <c r="S1891" t="s">
        <v>113</v>
      </c>
      <c r="T1891" t="s">
        <v>110</v>
      </c>
      <c r="U1891" t="s">
        <v>1198</v>
      </c>
    </row>
    <row r="1892" spans="1:21" x14ac:dyDescent="0.25">
      <c r="A1892" t="s">
        <v>3903</v>
      </c>
      <c r="B1892" s="8">
        <v>46017</v>
      </c>
      <c r="C1892" t="s">
        <v>2780</v>
      </c>
      <c r="D1892" t="s">
        <v>779</v>
      </c>
      <c r="E1892" t="s">
        <v>218</v>
      </c>
      <c r="F1892">
        <v>38</v>
      </c>
      <c r="G1892" t="s">
        <v>9</v>
      </c>
      <c r="H1892" t="s">
        <v>8</v>
      </c>
      <c r="I1892" t="s">
        <v>47</v>
      </c>
      <c r="J1892" t="s">
        <v>52</v>
      </c>
      <c r="K1892" t="s">
        <v>43</v>
      </c>
      <c r="L1892">
        <v>3</v>
      </c>
      <c r="M1892" s="12">
        <v>42999</v>
      </c>
      <c r="N1892" s="12">
        <v>33539.22</v>
      </c>
      <c r="O1892">
        <v>12</v>
      </c>
      <c r="P1892" s="12">
        <v>113517.36</v>
      </c>
      <c r="Q1892" s="12">
        <v>100617.66</v>
      </c>
      <c r="R1892" s="12">
        <v>12899.699999999997</v>
      </c>
      <c r="S1892" t="s">
        <v>1246</v>
      </c>
      <c r="T1892" t="s">
        <v>107</v>
      </c>
      <c r="U1892" t="s">
        <v>1194</v>
      </c>
    </row>
    <row r="1893" spans="1:21" x14ac:dyDescent="0.25">
      <c r="A1893" t="s">
        <v>3904</v>
      </c>
      <c r="B1893" s="8">
        <v>45861</v>
      </c>
      <c r="C1893" t="s">
        <v>1616</v>
      </c>
      <c r="D1893" t="s">
        <v>582</v>
      </c>
      <c r="E1893" t="s">
        <v>198</v>
      </c>
      <c r="F1893">
        <v>61</v>
      </c>
      <c r="G1893" t="s">
        <v>14</v>
      </c>
      <c r="H1893" t="s">
        <v>15</v>
      </c>
      <c r="I1893" t="s">
        <v>61</v>
      </c>
      <c r="J1893" t="s">
        <v>146</v>
      </c>
      <c r="K1893" t="s">
        <v>64</v>
      </c>
      <c r="L1893">
        <v>1</v>
      </c>
      <c r="M1893" s="12">
        <v>250</v>
      </c>
      <c r="N1893" s="12">
        <v>155</v>
      </c>
      <c r="O1893">
        <v>3</v>
      </c>
      <c r="P1893" s="12">
        <v>242.5</v>
      </c>
      <c r="Q1893" s="12">
        <v>155</v>
      </c>
      <c r="R1893" s="12">
        <v>87.5</v>
      </c>
      <c r="S1893" t="s">
        <v>113</v>
      </c>
      <c r="T1893" t="s">
        <v>107</v>
      </c>
      <c r="U1893" t="s">
        <v>1199</v>
      </c>
    </row>
    <row r="1894" spans="1:21" x14ac:dyDescent="0.25">
      <c r="A1894" t="s">
        <v>3905</v>
      </c>
      <c r="B1894" s="8">
        <v>46012</v>
      </c>
      <c r="C1894" t="s">
        <v>3765</v>
      </c>
      <c r="D1894" t="s">
        <v>591</v>
      </c>
      <c r="E1894" t="s">
        <v>218</v>
      </c>
      <c r="F1894">
        <v>29</v>
      </c>
      <c r="G1894" t="s">
        <v>290</v>
      </c>
      <c r="H1894" t="s">
        <v>3</v>
      </c>
      <c r="I1894" t="s">
        <v>51</v>
      </c>
      <c r="J1894" t="s">
        <v>54</v>
      </c>
      <c r="K1894" t="s">
        <v>43</v>
      </c>
      <c r="L1894">
        <v>5</v>
      </c>
      <c r="M1894" s="12">
        <v>27499</v>
      </c>
      <c r="N1894" s="12">
        <v>21724.210000000003</v>
      </c>
      <c r="O1894">
        <v>17</v>
      </c>
      <c r="P1894" s="12">
        <v>114120.84999999999</v>
      </c>
      <c r="Q1894" s="12">
        <v>108621.05000000002</v>
      </c>
      <c r="R1894" s="12">
        <v>5499.7999999999738</v>
      </c>
      <c r="S1894" t="s">
        <v>113</v>
      </c>
      <c r="T1894" t="s">
        <v>107</v>
      </c>
      <c r="U1894" t="s">
        <v>1198</v>
      </c>
    </row>
    <row r="1895" spans="1:21" x14ac:dyDescent="0.25">
      <c r="A1895" t="s">
        <v>3906</v>
      </c>
      <c r="B1895" s="8">
        <v>45754</v>
      </c>
      <c r="C1895" t="s">
        <v>2167</v>
      </c>
      <c r="D1895" t="s">
        <v>569</v>
      </c>
      <c r="E1895" t="s">
        <v>218</v>
      </c>
      <c r="F1895">
        <v>21</v>
      </c>
      <c r="G1895" t="s">
        <v>14</v>
      </c>
      <c r="H1895" t="s">
        <v>15</v>
      </c>
      <c r="I1895" t="s">
        <v>24</v>
      </c>
      <c r="J1895" t="s">
        <v>25</v>
      </c>
      <c r="K1895" t="s">
        <v>22</v>
      </c>
      <c r="L1895">
        <v>5</v>
      </c>
      <c r="M1895" s="12">
        <v>35800</v>
      </c>
      <c r="N1895" s="12">
        <v>28640</v>
      </c>
      <c r="O1895">
        <v>6</v>
      </c>
      <c r="P1895" s="12">
        <v>168260</v>
      </c>
      <c r="Q1895" s="12">
        <v>143200</v>
      </c>
      <c r="R1895" s="12">
        <v>25060</v>
      </c>
      <c r="S1895" t="s">
        <v>1246</v>
      </c>
      <c r="T1895" t="s">
        <v>107</v>
      </c>
      <c r="U1895" t="s">
        <v>1205</v>
      </c>
    </row>
    <row r="1896" spans="1:21" x14ac:dyDescent="0.25">
      <c r="A1896" t="s">
        <v>3908</v>
      </c>
      <c r="B1896" s="8">
        <v>45916</v>
      </c>
      <c r="C1896" t="s">
        <v>1500</v>
      </c>
      <c r="D1896" t="s">
        <v>636</v>
      </c>
      <c r="E1896" t="s">
        <v>198</v>
      </c>
      <c r="F1896">
        <v>43</v>
      </c>
      <c r="G1896" t="s">
        <v>2</v>
      </c>
      <c r="H1896" t="s">
        <v>3</v>
      </c>
      <c r="I1896" t="s">
        <v>55</v>
      </c>
      <c r="J1896" t="s">
        <v>65</v>
      </c>
      <c r="K1896" t="s">
        <v>64</v>
      </c>
      <c r="L1896">
        <v>3</v>
      </c>
      <c r="M1896" s="12">
        <v>80</v>
      </c>
      <c r="N1896" s="12">
        <v>56</v>
      </c>
      <c r="O1896">
        <v>3</v>
      </c>
      <c r="P1896" s="12">
        <v>232.79999999999998</v>
      </c>
      <c r="Q1896" s="12">
        <v>168</v>
      </c>
      <c r="R1896" s="12">
        <v>64.799999999999983</v>
      </c>
      <c r="S1896" t="s">
        <v>1246</v>
      </c>
      <c r="T1896" t="s">
        <v>109</v>
      </c>
      <c r="U1896" t="s">
        <v>1209</v>
      </c>
    </row>
    <row r="1897" spans="1:21" x14ac:dyDescent="0.25">
      <c r="A1897" t="s">
        <v>3909</v>
      </c>
      <c r="B1897" s="8">
        <v>45966</v>
      </c>
      <c r="C1897" t="s">
        <v>2079</v>
      </c>
      <c r="D1897" t="s">
        <v>612</v>
      </c>
      <c r="E1897" t="s">
        <v>198</v>
      </c>
      <c r="F1897">
        <v>23</v>
      </c>
      <c r="G1897" t="s">
        <v>14</v>
      </c>
      <c r="H1897" t="s">
        <v>15</v>
      </c>
      <c r="I1897" t="s">
        <v>61</v>
      </c>
      <c r="J1897" t="s">
        <v>146</v>
      </c>
      <c r="K1897" t="s">
        <v>64</v>
      </c>
      <c r="L1897">
        <v>4</v>
      </c>
      <c r="M1897" s="12">
        <v>250</v>
      </c>
      <c r="N1897" s="12">
        <v>155</v>
      </c>
      <c r="O1897">
        <v>4</v>
      </c>
      <c r="P1897" s="12">
        <v>960</v>
      </c>
      <c r="Q1897" s="12">
        <v>620</v>
      </c>
      <c r="R1897" s="12">
        <v>340</v>
      </c>
      <c r="S1897" t="s">
        <v>1246</v>
      </c>
      <c r="T1897" t="s">
        <v>108</v>
      </c>
      <c r="U1897" t="s">
        <v>1196</v>
      </c>
    </row>
    <row r="1898" spans="1:21" x14ac:dyDescent="0.25">
      <c r="A1898" t="s">
        <v>3910</v>
      </c>
      <c r="B1898" s="8">
        <v>46012</v>
      </c>
      <c r="C1898" t="s">
        <v>1646</v>
      </c>
      <c r="D1898" t="s">
        <v>1078</v>
      </c>
      <c r="E1898" t="s">
        <v>218</v>
      </c>
      <c r="F1898">
        <v>58</v>
      </c>
      <c r="G1898" t="s">
        <v>11</v>
      </c>
      <c r="H1898" t="s">
        <v>12</v>
      </c>
      <c r="I1898" t="s">
        <v>53</v>
      </c>
      <c r="J1898" t="s">
        <v>48</v>
      </c>
      <c r="K1898" t="s">
        <v>43</v>
      </c>
      <c r="L1898">
        <v>3</v>
      </c>
      <c r="M1898" s="12">
        <v>6499</v>
      </c>
      <c r="N1898" s="12">
        <v>4549.2999999999993</v>
      </c>
      <c r="O1898">
        <v>20</v>
      </c>
      <c r="P1898" s="12">
        <v>15597.6</v>
      </c>
      <c r="Q1898" s="12">
        <v>13647.899999999998</v>
      </c>
      <c r="R1898" s="12">
        <v>1949.7000000000025</v>
      </c>
      <c r="S1898" t="s">
        <v>1246</v>
      </c>
      <c r="T1898" t="s">
        <v>110</v>
      </c>
      <c r="U1898" t="s">
        <v>1198</v>
      </c>
    </row>
    <row r="1899" spans="1:21" x14ac:dyDescent="0.25">
      <c r="A1899" t="s">
        <v>3911</v>
      </c>
      <c r="B1899" s="8">
        <v>45848</v>
      </c>
      <c r="C1899" t="s">
        <v>1766</v>
      </c>
      <c r="D1899" t="s">
        <v>974</v>
      </c>
      <c r="E1899" t="s">
        <v>198</v>
      </c>
      <c r="F1899">
        <v>42</v>
      </c>
      <c r="G1899" t="s">
        <v>9</v>
      </c>
      <c r="H1899" t="s">
        <v>8</v>
      </c>
      <c r="I1899" t="s">
        <v>24</v>
      </c>
      <c r="J1899" t="s">
        <v>25</v>
      </c>
      <c r="K1899" t="s">
        <v>22</v>
      </c>
      <c r="L1899">
        <v>1</v>
      </c>
      <c r="M1899" s="12">
        <v>35800</v>
      </c>
      <c r="N1899" s="12">
        <v>28640</v>
      </c>
      <c r="O1899">
        <v>4</v>
      </c>
      <c r="P1899" s="12">
        <v>34368</v>
      </c>
      <c r="Q1899" s="12">
        <v>28640</v>
      </c>
      <c r="R1899" s="12">
        <v>5728</v>
      </c>
      <c r="S1899" t="s">
        <v>113</v>
      </c>
      <c r="T1899" t="s">
        <v>108</v>
      </c>
      <c r="U1899" t="s">
        <v>1207</v>
      </c>
    </row>
    <row r="1900" spans="1:21" x14ac:dyDescent="0.25">
      <c r="A1900" t="s">
        <v>3912</v>
      </c>
      <c r="B1900" s="8">
        <v>45744</v>
      </c>
      <c r="C1900" t="s">
        <v>1275</v>
      </c>
      <c r="D1900" t="s">
        <v>710</v>
      </c>
      <c r="E1900" t="s">
        <v>218</v>
      </c>
      <c r="F1900">
        <v>31</v>
      </c>
      <c r="G1900" t="s">
        <v>16</v>
      </c>
      <c r="H1900" t="s">
        <v>15</v>
      </c>
      <c r="I1900" t="s">
        <v>30</v>
      </c>
      <c r="J1900" t="s">
        <v>41</v>
      </c>
      <c r="K1900" t="s">
        <v>22</v>
      </c>
      <c r="L1900">
        <v>4</v>
      </c>
      <c r="M1900" s="12">
        <v>13749</v>
      </c>
      <c r="N1900" s="12">
        <v>10999.2</v>
      </c>
      <c r="O1900">
        <v>8</v>
      </c>
      <c r="P1900" s="12">
        <v>50596.32</v>
      </c>
      <c r="Q1900" s="12">
        <v>43996.800000000003</v>
      </c>
      <c r="R1900" s="12">
        <v>6599.5199999999968</v>
      </c>
      <c r="S1900" t="s">
        <v>1249</v>
      </c>
      <c r="T1900" t="s">
        <v>109</v>
      </c>
      <c r="U1900" t="s">
        <v>1199</v>
      </c>
    </row>
    <row r="1901" spans="1:21" x14ac:dyDescent="0.25">
      <c r="A1901" t="s">
        <v>3913</v>
      </c>
      <c r="B1901" s="8">
        <v>45702</v>
      </c>
      <c r="C1901" t="s">
        <v>2667</v>
      </c>
      <c r="D1901" t="s">
        <v>751</v>
      </c>
      <c r="E1901" t="s">
        <v>198</v>
      </c>
      <c r="F1901">
        <v>62</v>
      </c>
      <c r="G1901" t="s">
        <v>290</v>
      </c>
      <c r="H1901" t="s">
        <v>3</v>
      </c>
      <c r="I1901" t="s">
        <v>49</v>
      </c>
      <c r="J1901" t="s">
        <v>56</v>
      </c>
      <c r="K1901" t="s">
        <v>43</v>
      </c>
      <c r="L1901">
        <v>3</v>
      </c>
      <c r="M1901" s="12">
        <v>31999</v>
      </c>
      <c r="N1901" s="12">
        <v>25599.200000000001</v>
      </c>
      <c r="O1901">
        <v>6</v>
      </c>
      <c r="P1901" s="12">
        <v>90237.18</v>
      </c>
      <c r="Q1901" s="12">
        <v>76797.600000000006</v>
      </c>
      <c r="R1901" s="12">
        <v>13439.579999999987</v>
      </c>
      <c r="S1901" t="s">
        <v>1246</v>
      </c>
      <c r="T1901" t="s">
        <v>107</v>
      </c>
      <c r="U1901" t="s">
        <v>1203</v>
      </c>
    </row>
    <row r="1902" spans="1:21" x14ac:dyDescent="0.25">
      <c r="A1902" t="s">
        <v>3914</v>
      </c>
      <c r="B1902" s="8">
        <v>45696</v>
      </c>
      <c r="C1902" t="s">
        <v>1875</v>
      </c>
      <c r="D1902" t="s">
        <v>675</v>
      </c>
      <c r="E1902" t="s">
        <v>198</v>
      </c>
      <c r="F1902">
        <v>40</v>
      </c>
      <c r="G1902" t="s">
        <v>14</v>
      </c>
      <c r="H1902" t="s">
        <v>15</v>
      </c>
      <c r="I1902" t="s">
        <v>30</v>
      </c>
      <c r="J1902" t="s">
        <v>41</v>
      </c>
      <c r="K1902" t="s">
        <v>22</v>
      </c>
      <c r="L1902">
        <v>4</v>
      </c>
      <c r="M1902" s="12">
        <v>13749</v>
      </c>
      <c r="N1902" s="12">
        <v>10999.2</v>
      </c>
      <c r="O1902">
        <v>4</v>
      </c>
      <c r="P1902" s="12">
        <v>52796.159999999996</v>
      </c>
      <c r="Q1902" s="12">
        <v>43996.800000000003</v>
      </c>
      <c r="R1902" s="12">
        <v>8799.3599999999933</v>
      </c>
      <c r="S1902" t="s">
        <v>113</v>
      </c>
      <c r="T1902" t="s">
        <v>107</v>
      </c>
      <c r="U1902" t="s">
        <v>1209</v>
      </c>
    </row>
    <row r="1903" spans="1:21" x14ac:dyDescent="0.25">
      <c r="A1903" t="s">
        <v>3915</v>
      </c>
      <c r="B1903" s="8">
        <v>45715</v>
      </c>
      <c r="C1903" t="s">
        <v>1650</v>
      </c>
      <c r="D1903" t="s">
        <v>476</v>
      </c>
      <c r="E1903" t="s">
        <v>198</v>
      </c>
      <c r="F1903">
        <v>57</v>
      </c>
      <c r="G1903" t="s">
        <v>290</v>
      </c>
      <c r="H1903" t="s">
        <v>3</v>
      </c>
      <c r="I1903" t="s">
        <v>59</v>
      </c>
      <c r="J1903" t="s">
        <v>73</v>
      </c>
      <c r="K1903" t="s">
        <v>64</v>
      </c>
      <c r="L1903">
        <v>5</v>
      </c>
      <c r="M1903" s="12">
        <v>120</v>
      </c>
      <c r="N1903" s="12">
        <v>81.599999999999994</v>
      </c>
      <c r="O1903">
        <v>2</v>
      </c>
      <c r="P1903" s="12">
        <v>588</v>
      </c>
      <c r="Q1903" s="12">
        <v>408</v>
      </c>
      <c r="R1903" s="12">
        <v>180</v>
      </c>
      <c r="S1903" t="s">
        <v>1246</v>
      </c>
      <c r="T1903" t="s">
        <v>108</v>
      </c>
      <c r="U1903" t="s">
        <v>1203</v>
      </c>
    </row>
    <row r="1904" spans="1:21" x14ac:dyDescent="0.25">
      <c r="A1904" t="s">
        <v>3916</v>
      </c>
      <c r="B1904" s="8">
        <v>45685</v>
      </c>
      <c r="C1904" t="s">
        <v>1427</v>
      </c>
      <c r="D1904" t="s">
        <v>744</v>
      </c>
      <c r="E1904" t="s">
        <v>198</v>
      </c>
      <c r="F1904">
        <v>42</v>
      </c>
      <c r="G1904" t="s">
        <v>16</v>
      </c>
      <c r="H1904" t="s">
        <v>15</v>
      </c>
      <c r="I1904" t="s">
        <v>28</v>
      </c>
      <c r="J1904" t="s">
        <v>35</v>
      </c>
      <c r="K1904" t="s">
        <v>22</v>
      </c>
      <c r="L1904">
        <v>3</v>
      </c>
      <c r="M1904" s="12">
        <v>16499</v>
      </c>
      <c r="N1904" s="12">
        <v>14519.12</v>
      </c>
      <c r="O1904">
        <v>6</v>
      </c>
      <c r="P1904" s="12">
        <v>46527.18</v>
      </c>
      <c r="Q1904" s="12">
        <v>43557.36</v>
      </c>
      <c r="R1904" s="12">
        <v>2969.8199999999997</v>
      </c>
      <c r="S1904" t="s">
        <v>1246</v>
      </c>
      <c r="T1904" t="s">
        <v>107</v>
      </c>
      <c r="U1904" t="s">
        <v>1196</v>
      </c>
    </row>
    <row r="1905" spans="1:21" x14ac:dyDescent="0.25">
      <c r="A1905" t="s">
        <v>3917</v>
      </c>
      <c r="B1905" s="8">
        <v>45942</v>
      </c>
      <c r="C1905" t="s">
        <v>1502</v>
      </c>
      <c r="D1905" t="s">
        <v>492</v>
      </c>
      <c r="E1905" t="s">
        <v>198</v>
      </c>
      <c r="F1905">
        <v>31</v>
      </c>
      <c r="G1905" t="s">
        <v>289</v>
      </c>
      <c r="H1905" t="s">
        <v>3</v>
      </c>
      <c r="I1905" t="s">
        <v>47</v>
      </c>
      <c r="J1905" t="s">
        <v>52</v>
      </c>
      <c r="K1905" t="s">
        <v>43</v>
      </c>
      <c r="L1905">
        <v>4</v>
      </c>
      <c r="M1905" s="12">
        <v>42999</v>
      </c>
      <c r="N1905" s="12">
        <v>33539.22</v>
      </c>
      <c r="O1905">
        <v>5</v>
      </c>
      <c r="P1905" s="12">
        <v>163396.19999999998</v>
      </c>
      <c r="Q1905" s="12">
        <v>134156.88</v>
      </c>
      <c r="R1905" s="12">
        <v>29239.319999999978</v>
      </c>
      <c r="S1905" t="s">
        <v>1246</v>
      </c>
      <c r="T1905" t="s">
        <v>111</v>
      </c>
      <c r="U1905" t="s">
        <v>1211</v>
      </c>
    </row>
    <row r="1906" spans="1:21" x14ac:dyDescent="0.25">
      <c r="A1906" t="s">
        <v>3918</v>
      </c>
      <c r="B1906" s="8">
        <v>45907</v>
      </c>
      <c r="C1906" t="s">
        <v>3347</v>
      </c>
      <c r="D1906" t="s">
        <v>442</v>
      </c>
      <c r="E1906" t="s">
        <v>218</v>
      </c>
      <c r="F1906">
        <v>45</v>
      </c>
      <c r="G1906" t="s">
        <v>2</v>
      </c>
      <c r="H1906" t="s">
        <v>3</v>
      </c>
      <c r="I1906" t="s">
        <v>53</v>
      </c>
      <c r="J1906" t="s">
        <v>48</v>
      </c>
      <c r="K1906" t="s">
        <v>43</v>
      </c>
      <c r="L1906">
        <v>2</v>
      </c>
      <c r="M1906" s="12">
        <v>6499</v>
      </c>
      <c r="N1906" s="12">
        <v>4549.2999999999993</v>
      </c>
      <c r="O1906">
        <v>9</v>
      </c>
      <c r="P1906" s="12">
        <v>11828.18</v>
      </c>
      <c r="Q1906" s="12">
        <v>9098.5999999999985</v>
      </c>
      <c r="R1906" s="12">
        <v>2729.5800000000017</v>
      </c>
      <c r="S1906" t="s">
        <v>1246</v>
      </c>
      <c r="T1906" t="s">
        <v>109</v>
      </c>
      <c r="U1906" t="s">
        <v>1209</v>
      </c>
    </row>
    <row r="1907" spans="1:21" x14ac:dyDescent="0.25">
      <c r="A1907" t="s">
        <v>3919</v>
      </c>
      <c r="B1907" s="8">
        <v>45998</v>
      </c>
      <c r="C1907" t="s">
        <v>2042</v>
      </c>
      <c r="D1907" t="s">
        <v>509</v>
      </c>
      <c r="E1907" t="s">
        <v>198</v>
      </c>
      <c r="F1907">
        <v>32</v>
      </c>
      <c r="G1907" t="s">
        <v>7</v>
      </c>
      <c r="H1907" t="s">
        <v>8</v>
      </c>
      <c r="I1907" t="s">
        <v>30</v>
      </c>
      <c r="J1907" t="s">
        <v>41</v>
      </c>
      <c r="K1907" t="s">
        <v>22</v>
      </c>
      <c r="L1907">
        <v>2</v>
      </c>
      <c r="M1907" s="12">
        <v>13749</v>
      </c>
      <c r="N1907" s="12">
        <v>10999.2</v>
      </c>
      <c r="O1907">
        <v>11</v>
      </c>
      <c r="P1907" s="12">
        <v>24473.22</v>
      </c>
      <c r="Q1907" s="12">
        <v>21998.400000000001</v>
      </c>
      <c r="R1907" s="12">
        <v>2474.8199999999997</v>
      </c>
      <c r="S1907" t="s">
        <v>113</v>
      </c>
      <c r="T1907" t="s">
        <v>109</v>
      </c>
      <c r="U1907" t="s">
        <v>1205</v>
      </c>
    </row>
    <row r="1908" spans="1:21" x14ac:dyDescent="0.25">
      <c r="A1908" t="s">
        <v>3920</v>
      </c>
      <c r="B1908" s="8">
        <v>45856</v>
      </c>
      <c r="C1908" t="s">
        <v>5097</v>
      </c>
      <c r="D1908" t="s">
        <v>1109</v>
      </c>
      <c r="E1908" t="s">
        <v>218</v>
      </c>
      <c r="F1908">
        <v>44</v>
      </c>
      <c r="G1908" t="s">
        <v>16</v>
      </c>
      <c r="H1908" t="s">
        <v>15</v>
      </c>
      <c r="I1908" t="s">
        <v>26</v>
      </c>
      <c r="J1908" t="s">
        <v>27</v>
      </c>
      <c r="K1908" t="s">
        <v>22</v>
      </c>
      <c r="L1908">
        <v>4</v>
      </c>
      <c r="M1908" s="12">
        <v>27499</v>
      </c>
      <c r="N1908" s="12">
        <v>23374.149999999998</v>
      </c>
      <c r="O1908">
        <v>3</v>
      </c>
      <c r="P1908" s="12">
        <v>106696.12</v>
      </c>
      <c r="Q1908" s="12">
        <v>93496.599999999991</v>
      </c>
      <c r="R1908" s="12">
        <v>13199.520000000004</v>
      </c>
      <c r="S1908" t="s">
        <v>1246</v>
      </c>
      <c r="T1908" t="s">
        <v>107</v>
      </c>
      <c r="U1908" t="s">
        <v>1211</v>
      </c>
    </row>
    <row r="1909" spans="1:21" x14ac:dyDescent="0.25">
      <c r="A1909" t="s">
        <v>3921</v>
      </c>
      <c r="B1909" s="8">
        <v>45722</v>
      </c>
      <c r="C1909" t="s">
        <v>2780</v>
      </c>
      <c r="D1909" t="s">
        <v>779</v>
      </c>
      <c r="E1909" t="s">
        <v>218</v>
      </c>
      <c r="F1909">
        <v>38</v>
      </c>
      <c r="G1909" t="s">
        <v>9</v>
      </c>
      <c r="H1909" t="s">
        <v>8</v>
      </c>
      <c r="I1909" t="s">
        <v>51</v>
      </c>
      <c r="J1909" t="s">
        <v>54</v>
      </c>
      <c r="K1909" t="s">
        <v>43</v>
      </c>
      <c r="L1909">
        <v>4</v>
      </c>
      <c r="M1909" s="12">
        <v>27499</v>
      </c>
      <c r="N1909" s="12">
        <v>21724.210000000003</v>
      </c>
      <c r="O1909">
        <v>10</v>
      </c>
      <c r="P1909" s="12">
        <v>98996.400000000009</v>
      </c>
      <c r="Q1909" s="12">
        <v>86896.840000000011</v>
      </c>
      <c r="R1909" s="12">
        <v>12099.559999999998</v>
      </c>
      <c r="S1909" t="s">
        <v>1246</v>
      </c>
      <c r="T1909" t="s">
        <v>107</v>
      </c>
      <c r="U1909" t="s">
        <v>1205</v>
      </c>
    </row>
    <row r="1910" spans="1:21" x14ac:dyDescent="0.25">
      <c r="A1910" t="s">
        <v>3922</v>
      </c>
      <c r="B1910" s="8">
        <v>45749</v>
      </c>
      <c r="C1910" t="s">
        <v>2750</v>
      </c>
      <c r="D1910" t="s">
        <v>622</v>
      </c>
      <c r="E1910" t="s">
        <v>218</v>
      </c>
      <c r="F1910">
        <v>29</v>
      </c>
      <c r="G1910" t="s">
        <v>16</v>
      </c>
      <c r="H1910" t="s">
        <v>15</v>
      </c>
      <c r="I1910" t="s">
        <v>36</v>
      </c>
      <c r="J1910" t="s">
        <v>136</v>
      </c>
      <c r="K1910" t="s">
        <v>22</v>
      </c>
      <c r="L1910">
        <v>1</v>
      </c>
      <c r="M1910" s="12">
        <v>3590</v>
      </c>
      <c r="N1910" s="12">
        <v>2333.5</v>
      </c>
      <c r="O1910">
        <v>5</v>
      </c>
      <c r="P1910" s="12">
        <v>3410.5</v>
      </c>
      <c r="Q1910" s="12">
        <v>2333.5</v>
      </c>
      <c r="R1910" s="12">
        <v>1077</v>
      </c>
      <c r="S1910" t="s">
        <v>1246</v>
      </c>
      <c r="T1910" t="s">
        <v>109</v>
      </c>
      <c r="U1910" t="s">
        <v>1198</v>
      </c>
    </row>
    <row r="1911" spans="1:21" x14ac:dyDescent="0.25">
      <c r="A1911" t="s">
        <v>3923</v>
      </c>
      <c r="B1911" s="8">
        <v>45809</v>
      </c>
      <c r="C1911" t="s">
        <v>2036</v>
      </c>
      <c r="D1911" t="s">
        <v>1077</v>
      </c>
      <c r="E1911" t="s">
        <v>218</v>
      </c>
      <c r="F1911">
        <v>32</v>
      </c>
      <c r="G1911" t="s">
        <v>16</v>
      </c>
      <c r="H1911" t="s">
        <v>15</v>
      </c>
      <c r="I1911" t="s">
        <v>45</v>
      </c>
      <c r="J1911" t="s">
        <v>46</v>
      </c>
      <c r="K1911" t="s">
        <v>43</v>
      </c>
      <c r="L1911">
        <v>4</v>
      </c>
      <c r="M1911" s="12">
        <v>11999</v>
      </c>
      <c r="N1911" s="12">
        <v>8999.25</v>
      </c>
      <c r="O1911">
        <v>3</v>
      </c>
      <c r="P1911" s="12">
        <v>46556.119999999995</v>
      </c>
      <c r="Q1911" s="12">
        <v>35997</v>
      </c>
      <c r="R1911" s="12">
        <v>10559.119999999995</v>
      </c>
      <c r="S1911" t="s">
        <v>1246</v>
      </c>
      <c r="T1911" t="s">
        <v>107</v>
      </c>
      <c r="U1911" t="s">
        <v>1209</v>
      </c>
    </row>
    <row r="1912" spans="1:21" x14ac:dyDescent="0.25">
      <c r="A1912" t="s">
        <v>3924</v>
      </c>
      <c r="B1912" s="8">
        <v>45960</v>
      </c>
      <c r="C1912" t="s">
        <v>2472</v>
      </c>
      <c r="D1912" t="s">
        <v>1128</v>
      </c>
      <c r="E1912" t="s">
        <v>218</v>
      </c>
      <c r="F1912">
        <v>34</v>
      </c>
      <c r="G1912" t="s">
        <v>17</v>
      </c>
      <c r="H1912" t="s">
        <v>15</v>
      </c>
      <c r="I1912" t="s">
        <v>36</v>
      </c>
      <c r="J1912" t="s">
        <v>136</v>
      </c>
      <c r="K1912" t="s">
        <v>22</v>
      </c>
      <c r="L1912">
        <v>4</v>
      </c>
      <c r="M1912" s="12">
        <v>3590</v>
      </c>
      <c r="N1912" s="12">
        <v>2333.5</v>
      </c>
      <c r="O1912">
        <v>3</v>
      </c>
      <c r="P1912" s="12">
        <v>13929.199999999999</v>
      </c>
      <c r="Q1912" s="12">
        <v>9334</v>
      </c>
      <c r="R1912" s="12">
        <v>4595.1999999999989</v>
      </c>
      <c r="S1912" t="s">
        <v>113</v>
      </c>
      <c r="T1912" t="s">
        <v>109</v>
      </c>
      <c r="U1912" t="s">
        <v>1199</v>
      </c>
    </row>
    <row r="1913" spans="1:21" x14ac:dyDescent="0.25">
      <c r="A1913" t="s">
        <v>3925</v>
      </c>
      <c r="B1913" s="8">
        <v>45780</v>
      </c>
      <c r="C1913" t="s">
        <v>1291</v>
      </c>
      <c r="D1913" t="s">
        <v>904</v>
      </c>
      <c r="E1913" t="s">
        <v>198</v>
      </c>
      <c r="F1913">
        <v>22</v>
      </c>
      <c r="G1913" t="s">
        <v>2</v>
      </c>
      <c r="H1913" t="s">
        <v>3</v>
      </c>
      <c r="I1913" t="s">
        <v>26</v>
      </c>
      <c r="J1913" t="s">
        <v>27</v>
      </c>
      <c r="K1913" t="s">
        <v>22</v>
      </c>
      <c r="L1913">
        <v>1</v>
      </c>
      <c r="M1913" s="12">
        <v>27499</v>
      </c>
      <c r="N1913" s="12">
        <v>23374.149999999998</v>
      </c>
      <c r="O1913">
        <v>9</v>
      </c>
      <c r="P1913" s="12">
        <v>25024.09</v>
      </c>
      <c r="Q1913" s="12">
        <v>23374.149999999998</v>
      </c>
      <c r="R1913" s="12">
        <v>1649.9400000000023</v>
      </c>
      <c r="S1913" t="s">
        <v>113</v>
      </c>
      <c r="T1913" t="s">
        <v>108</v>
      </c>
      <c r="U1913" t="s">
        <v>1203</v>
      </c>
    </row>
    <row r="1914" spans="1:21" x14ac:dyDescent="0.25">
      <c r="A1914" t="s">
        <v>3926</v>
      </c>
      <c r="B1914" s="8">
        <v>45782</v>
      </c>
      <c r="C1914" t="s">
        <v>1677</v>
      </c>
      <c r="D1914" t="s">
        <v>988</v>
      </c>
      <c r="E1914" t="s">
        <v>218</v>
      </c>
      <c r="F1914">
        <v>49</v>
      </c>
      <c r="G1914" t="s">
        <v>7</v>
      </c>
      <c r="H1914" t="s">
        <v>8</v>
      </c>
      <c r="I1914" t="s">
        <v>53</v>
      </c>
      <c r="J1914" t="s">
        <v>48</v>
      </c>
      <c r="K1914" t="s">
        <v>43</v>
      </c>
      <c r="L1914">
        <v>4</v>
      </c>
      <c r="M1914" s="12">
        <v>6499</v>
      </c>
      <c r="N1914" s="12">
        <v>4549.2999999999993</v>
      </c>
      <c r="O1914">
        <v>4</v>
      </c>
      <c r="P1914" s="12">
        <v>24956.16</v>
      </c>
      <c r="Q1914" s="12">
        <v>18197.199999999997</v>
      </c>
      <c r="R1914" s="12">
        <v>6758.9600000000028</v>
      </c>
      <c r="S1914" t="s">
        <v>1246</v>
      </c>
      <c r="T1914" t="s">
        <v>109</v>
      </c>
      <c r="U1914" t="s">
        <v>1203</v>
      </c>
    </row>
    <row r="1915" spans="1:21" x14ac:dyDescent="0.25">
      <c r="A1915" t="s">
        <v>3927</v>
      </c>
      <c r="B1915" s="8">
        <v>46011</v>
      </c>
      <c r="C1915" t="s">
        <v>2855</v>
      </c>
      <c r="D1915" t="s">
        <v>651</v>
      </c>
      <c r="E1915" t="s">
        <v>218</v>
      </c>
      <c r="F1915">
        <v>55</v>
      </c>
      <c r="G1915" t="s">
        <v>17</v>
      </c>
      <c r="H1915" t="s">
        <v>15</v>
      </c>
      <c r="I1915" t="s">
        <v>57</v>
      </c>
      <c r="J1915" t="s">
        <v>67</v>
      </c>
      <c r="K1915" t="s">
        <v>64</v>
      </c>
      <c r="L1915">
        <v>2</v>
      </c>
      <c r="M1915" s="12">
        <v>150</v>
      </c>
      <c r="N1915" s="12">
        <v>97.5</v>
      </c>
      <c r="O1915">
        <v>6</v>
      </c>
      <c r="P1915" s="12">
        <v>282</v>
      </c>
      <c r="Q1915" s="12">
        <v>195</v>
      </c>
      <c r="R1915" s="12">
        <v>87</v>
      </c>
      <c r="S1915" t="s">
        <v>1246</v>
      </c>
      <c r="T1915" t="s">
        <v>107</v>
      </c>
      <c r="U1915" t="s">
        <v>1203</v>
      </c>
    </row>
    <row r="1916" spans="1:21" x14ac:dyDescent="0.25">
      <c r="A1916" t="s">
        <v>3928</v>
      </c>
      <c r="B1916" s="8">
        <v>45706</v>
      </c>
      <c r="C1916" t="s">
        <v>1528</v>
      </c>
      <c r="D1916" t="s">
        <v>954</v>
      </c>
      <c r="E1916" t="s">
        <v>218</v>
      </c>
      <c r="F1916">
        <v>26</v>
      </c>
      <c r="G1916" t="s">
        <v>4</v>
      </c>
      <c r="H1916" t="s">
        <v>3</v>
      </c>
      <c r="I1916" t="s">
        <v>40</v>
      </c>
      <c r="J1916" t="s">
        <v>39</v>
      </c>
      <c r="K1916" t="s">
        <v>22</v>
      </c>
      <c r="L1916">
        <v>5</v>
      </c>
      <c r="M1916" s="12">
        <v>1100</v>
      </c>
      <c r="N1916" s="12">
        <v>715</v>
      </c>
      <c r="O1916">
        <v>6</v>
      </c>
      <c r="P1916" s="12">
        <v>5170</v>
      </c>
      <c r="Q1916" s="12">
        <v>3575</v>
      </c>
      <c r="R1916" s="12">
        <v>1595</v>
      </c>
      <c r="S1916" t="s">
        <v>113</v>
      </c>
      <c r="T1916" t="s">
        <v>109</v>
      </c>
      <c r="U1916" t="s">
        <v>1205</v>
      </c>
    </row>
    <row r="1917" spans="1:21" x14ac:dyDescent="0.25">
      <c r="A1917" t="s">
        <v>3930</v>
      </c>
      <c r="B1917" s="8">
        <v>45704</v>
      </c>
      <c r="C1917" t="s">
        <v>1932</v>
      </c>
      <c r="D1917" t="s">
        <v>794</v>
      </c>
      <c r="E1917" t="s">
        <v>218</v>
      </c>
      <c r="F1917">
        <v>64</v>
      </c>
      <c r="G1917" t="s">
        <v>14</v>
      </c>
      <c r="H1917" t="s">
        <v>15</v>
      </c>
      <c r="I1917" t="s">
        <v>36</v>
      </c>
      <c r="J1917" t="s">
        <v>136</v>
      </c>
      <c r="K1917" t="s">
        <v>22</v>
      </c>
      <c r="L1917">
        <v>1</v>
      </c>
      <c r="M1917" s="12">
        <v>3590</v>
      </c>
      <c r="N1917" s="12">
        <v>2333.5</v>
      </c>
      <c r="O1917">
        <v>3</v>
      </c>
      <c r="P1917" s="12">
        <v>3482.2999999999997</v>
      </c>
      <c r="Q1917" s="12">
        <v>2333.5</v>
      </c>
      <c r="R1917" s="12">
        <v>1148.7999999999997</v>
      </c>
      <c r="S1917" t="s">
        <v>1246</v>
      </c>
      <c r="T1917" t="s">
        <v>107</v>
      </c>
      <c r="U1917" t="s">
        <v>1199</v>
      </c>
    </row>
    <row r="1918" spans="1:21" x14ac:dyDescent="0.25">
      <c r="A1918" t="s">
        <v>3931</v>
      </c>
      <c r="B1918" s="8">
        <v>46012</v>
      </c>
      <c r="C1918" t="s">
        <v>3398</v>
      </c>
      <c r="D1918" t="s">
        <v>641</v>
      </c>
      <c r="E1918" t="s">
        <v>198</v>
      </c>
      <c r="F1918">
        <v>45</v>
      </c>
      <c r="G1918" t="s">
        <v>17</v>
      </c>
      <c r="H1918" t="s">
        <v>15</v>
      </c>
      <c r="I1918" t="s">
        <v>26</v>
      </c>
      <c r="J1918" t="s">
        <v>27</v>
      </c>
      <c r="K1918" t="s">
        <v>22</v>
      </c>
      <c r="L1918">
        <v>4</v>
      </c>
      <c r="M1918" s="12">
        <v>27499</v>
      </c>
      <c r="N1918" s="12">
        <v>23374.149999999998</v>
      </c>
      <c r="O1918">
        <v>13</v>
      </c>
      <c r="P1918" s="12">
        <v>95696.52</v>
      </c>
      <c r="Q1918" s="12">
        <v>93496.599999999991</v>
      </c>
      <c r="R1918" s="12">
        <v>2199.9200000000128</v>
      </c>
      <c r="S1918" t="s">
        <v>113</v>
      </c>
      <c r="T1918" t="s">
        <v>107</v>
      </c>
      <c r="U1918" t="s">
        <v>1211</v>
      </c>
    </row>
    <row r="1919" spans="1:21" x14ac:dyDescent="0.25">
      <c r="A1919" t="s">
        <v>3932</v>
      </c>
      <c r="B1919" s="8">
        <v>45851</v>
      </c>
      <c r="C1919" t="s">
        <v>2870</v>
      </c>
      <c r="D1919" t="s">
        <v>990</v>
      </c>
      <c r="E1919" t="s">
        <v>198</v>
      </c>
      <c r="F1919">
        <v>63</v>
      </c>
      <c r="G1919" t="s">
        <v>290</v>
      </c>
      <c r="H1919" t="s">
        <v>3</v>
      </c>
      <c r="I1919" t="s">
        <v>40</v>
      </c>
      <c r="J1919" t="s">
        <v>39</v>
      </c>
      <c r="K1919" t="s">
        <v>22</v>
      </c>
      <c r="L1919">
        <v>3</v>
      </c>
      <c r="M1919" s="12">
        <v>1100</v>
      </c>
      <c r="N1919" s="12">
        <v>715</v>
      </c>
      <c r="O1919">
        <v>6</v>
      </c>
      <c r="P1919" s="12">
        <v>3102</v>
      </c>
      <c r="Q1919" s="12">
        <v>2145</v>
      </c>
      <c r="R1919" s="12">
        <v>957</v>
      </c>
      <c r="S1919" t="s">
        <v>113</v>
      </c>
      <c r="T1919" t="s">
        <v>111</v>
      </c>
      <c r="U1919" t="s">
        <v>1196</v>
      </c>
    </row>
    <row r="1920" spans="1:21" x14ac:dyDescent="0.25">
      <c r="A1920" t="s">
        <v>3933</v>
      </c>
      <c r="B1920" s="8">
        <v>45885</v>
      </c>
      <c r="C1920" t="s">
        <v>5103</v>
      </c>
      <c r="D1920" t="s">
        <v>610</v>
      </c>
      <c r="E1920" t="s">
        <v>198</v>
      </c>
      <c r="F1920">
        <v>39</v>
      </c>
      <c r="G1920" t="s">
        <v>5</v>
      </c>
      <c r="H1920" t="s">
        <v>3</v>
      </c>
      <c r="I1920" t="s">
        <v>47</v>
      </c>
      <c r="J1920" t="s">
        <v>52</v>
      </c>
      <c r="K1920" t="s">
        <v>43</v>
      </c>
      <c r="L1920">
        <v>3</v>
      </c>
      <c r="M1920" s="12">
        <v>42999</v>
      </c>
      <c r="N1920" s="12">
        <v>33539.22</v>
      </c>
      <c r="O1920">
        <v>7</v>
      </c>
      <c r="P1920" s="12">
        <v>119967.20999999999</v>
      </c>
      <c r="Q1920" s="12">
        <v>100617.66</v>
      </c>
      <c r="R1920" s="12">
        <v>19349.549999999988</v>
      </c>
      <c r="S1920" t="s">
        <v>1246</v>
      </c>
      <c r="T1920" t="s">
        <v>107</v>
      </c>
      <c r="U1920" t="s">
        <v>1209</v>
      </c>
    </row>
    <row r="1921" spans="1:21" x14ac:dyDescent="0.25">
      <c r="A1921" t="s">
        <v>3934</v>
      </c>
      <c r="B1921" s="8">
        <v>45848</v>
      </c>
      <c r="C1921" t="s">
        <v>1661</v>
      </c>
      <c r="D1921" t="s">
        <v>1149</v>
      </c>
      <c r="E1921" t="s">
        <v>198</v>
      </c>
      <c r="F1921">
        <v>28</v>
      </c>
      <c r="G1921" t="s">
        <v>2</v>
      </c>
      <c r="H1921" t="s">
        <v>3</v>
      </c>
      <c r="I1921" t="s">
        <v>28</v>
      </c>
      <c r="J1921" t="s">
        <v>35</v>
      </c>
      <c r="K1921" t="s">
        <v>22</v>
      </c>
      <c r="L1921">
        <v>3</v>
      </c>
      <c r="M1921" s="12">
        <v>16499</v>
      </c>
      <c r="N1921" s="12">
        <v>14519.12</v>
      </c>
      <c r="O1921">
        <v>4</v>
      </c>
      <c r="P1921" s="12">
        <v>47517.119999999995</v>
      </c>
      <c r="Q1921" s="12">
        <v>43557.36</v>
      </c>
      <c r="R1921" s="12">
        <v>3959.7599999999948</v>
      </c>
      <c r="S1921" t="s">
        <v>1246</v>
      </c>
      <c r="T1921" t="s">
        <v>107</v>
      </c>
      <c r="U1921" t="s">
        <v>1199</v>
      </c>
    </row>
    <row r="1922" spans="1:21" x14ac:dyDescent="0.25">
      <c r="A1922" t="s">
        <v>3935</v>
      </c>
      <c r="B1922" s="8">
        <v>45952</v>
      </c>
      <c r="C1922" t="s">
        <v>2245</v>
      </c>
      <c r="D1922" t="s">
        <v>732</v>
      </c>
      <c r="E1922" t="s">
        <v>198</v>
      </c>
      <c r="F1922">
        <v>24</v>
      </c>
      <c r="G1922" t="s">
        <v>290</v>
      </c>
      <c r="H1922" t="s">
        <v>3</v>
      </c>
      <c r="I1922" t="s">
        <v>38</v>
      </c>
      <c r="J1922" t="s">
        <v>37</v>
      </c>
      <c r="K1922" t="s">
        <v>22</v>
      </c>
      <c r="L1922">
        <v>3</v>
      </c>
      <c r="M1922" s="12">
        <v>1650</v>
      </c>
      <c r="N1922" s="12">
        <v>990</v>
      </c>
      <c r="O1922">
        <v>7</v>
      </c>
      <c r="P1922" s="12">
        <v>4603.5</v>
      </c>
      <c r="Q1922" s="12">
        <v>2970</v>
      </c>
      <c r="R1922" s="12">
        <v>1633.5</v>
      </c>
      <c r="S1922" t="s">
        <v>1246</v>
      </c>
      <c r="T1922" t="s">
        <v>108</v>
      </c>
      <c r="U1922" t="s">
        <v>1199</v>
      </c>
    </row>
    <row r="1923" spans="1:21" x14ac:dyDescent="0.25">
      <c r="A1923" t="s">
        <v>3936</v>
      </c>
      <c r="B1923" s="8">
        <v>45768</v>
      </c>
      <c r="C1923" t="s">
        <v>3274</v>
      </c>
      <c r="D1923" t="s">
        <v>1030</v>
      </c>
      <c r="E1923" t="s">
        <v>198</v>
      </c>
      <c r="F1923">
        <v>31</v>
      </c>
      <c r="G1923" t="s">
        <v>5</v>
      </c>
      <c r="H1923" t="s">
        <v>3</v>
      </c>
      <c r="I1923" t="s">
        <v>57</v>
      </c>
      <c r="J1923" t="s">
        <v>67</v>
      </c>
      <c r="K1923" t="s">
        <v>64</v>
      </c>
      <c r="L1923">
        <v>3</v>
      </c>
      <c r="M1923" s="12">
        <v>150</v>
      </c>
      <c r="N1923" s="12">
        <v>97.5</v>
      </c>
      <c r="O1923">
        <v>2</v>
      </c>
      <c r="P1923" s="12">
        <v>441</v>
      </c>
      <c r="Q1923" s="12">
        <v>292.5</v>
      </c>
      <c r="R1923" s="12">
        <v>148.5</v>
      </c>
      <c r="S1923" t="s">
        <v>1246</v>
      </c>
      <c r="T1923" t="s">
        <v>109</v>
      </c>
      <c r="U1923" t="s">
        <v>1194</v>
      </c>
    </row>
    <row r="1924" spans="1:21" x14ac:dyDescent="0.25">
      <c r="A1924" t="s">
        <v>3937</v>
      </c>
      <c r="B1924" s="8">
        <v>46020</v>
      </c>
      <c r="C1924" t="s">
        <v>2197</v>
      </c>
      <c r="D1924" t="s">
        <v>500</v>
      </c>
      <c r="E1924" t="s">
        <v>198</v>
      </c>
      <c r="F1924">
        <v>39</v>
      </c>
      <c r="G1924" t="s">
        <v>290</v>
      </c>
      <c r="H1924" t="s">
        <v>3</v>
      </c>
      <c r="I1924" t="s">
        <v>57</v>
      </c>
      <c r="J1924" t="s">
        <v>67</v>
      </c>
      <c r="K1924" t="s">
        <v>64</v>
      </c>
      <c r="L1924">
        <v>5</v>
      </c>
      <c r="M1924" s="12">
        <v>150</v>
      </c>
      <c r="N1924" s="12">
        <v>97.5</v>
      </c>
      <c r="O1924">
        <v>3</v>
      </c>
      <c r="P1924" s="12">
        <v>727.5</v>
      </c>
      <c r="Q1924" s="12">
        <v>487.5</v>
      </c>
      <c r="R1924" s="12">
        <v>240</v>
      </c>
      <c r="S1924" t="s">
        <v>1246</v>
      </c>
      <c r="T1924" t="s">
        <v>107</v>
      </c>
      <c r="U1924" t="s">
        <v>1201</v>
      </c>
    </row>
    <row r="1925" spans="1:21" x14ac:dyDescent="0.25">
      <c r="A1925" t="s">
        <v>3938</v>
      </c>
      <c r="B1925" s="8">
        <v>45934</v>
      </c>
      <c r="C1925" t="s">
        <v>2997</v>
      </c>
      <c r="D1925" t="s">
        <v>510</v>
      </c>
      <c r="E1925" t="s">
        <v>198</v>
      </c>
      <c r="F1925">
        <v>35</v>
      </c>
      <c r="G1925" t="s">
        <v>7</v>
      </c>
      <c r="H1925" t="s">
        <v>8</v>
      </c>
      <c r="I1925" t="s">
        <v>55</v>
      </c>
      <c r="J1925" t="s">
        <v>65</v>
      </c>
      <c r="K1925" t="s">
        <v>64</v>
      </c>
      <c r="L1925">
        <v>4</v>
      </c>
      <c r="M1925" s="12">
        <v>80</v>
      </c>
      <c r="N1925" s="12">
        <v>56</v>
      </c>
      <c r="O1925">
        <v>5</v>
      </c>
      <c r="P1925" s="12">
        <v>304</v>
      </c>
      <c r="Q1925" s="12">
        <v>224</v>
      </c>
      <c r="R1925" s="12">
        <v>80</v>
      </c>
      <c r="S1925" t="s">
        <v>1246</v>
      </c>
      <c r="T1925" t="s">
        <v>108</v>
      </c>
      <c r="U1925" t="s">
        <v>1194</v>
      </c>
    </row>
    <row r="1926" spans="1:21" x14ac:dyDescent="0.25">
      <c r="A1926" t="s">
        <v>3939</v>
      </c>
      <c r="B1926" s="8">
        <v>45963</v>
      </c>
      <c r="C1926" t="s">
        <v>3866</v>
      </c>
      <c r="D1926" t="s">
        <v>928</v>
      </c>
      <c r="E1926" t="s">
        <v>218</v>
      </c>
      <c r="F1926">
        <v>49</v>
      </c>
      <c r="G1926" t="s">
        <v>9</v>
      </c>
      <c r="H1926" t="s">
        <v>8</v>
      </c>
      <c r="I1926" t="s">
        <v>53</v>
      </c>
      <c r="J1926" t="s">
        <v>48</v>
      </c>
      <c r="K1926" t="s">
        <v>43</v>
      </c>
      <c r="L1926">
        <v>5</v>
      </c>
      <c r="M1926" s="12">
        <v>6499</v>
      </c>
      <c r="N1926" s="12">
        <v>4549.2999999999993</v>
      </c>
      <c r="O1926">
        <v>19</v>
      </c>
      <c r="P1926" s="12">
        <v>26320.95</v>
      </c>
      <c r="Q1926" s="12">
        <v>22746.499999999996</v>
      </c>
      <c r="R1926" s="12">
        <v>3574.4500000000044</v>
      </c>
      <c r="S1926" t="s">
        <v>1246</v>
      </c>
      <c r="T1926" t="s">
        <v>107</v>
      </c>
      <c r="U1926" t="s">
        <v>1198</v>
      </c>
    </row>
    <row r="1927" spans="1:21" x14ac:dyDescent="0.25">
      <c r="A1927" t="s">
        <v>3940</v>
      </c>
      <c r="B1927" s="8">
        <v>45954</v>
      </c>
      <c r="C1927" t="s">
        <v>1574</v>
      </c>
      <c r="D1927" t="s">
        <v>401</v>
      </c>
      <c r="E1927" t="s">
        <v>218</v>
      </c>
      <c r="F1927">
        <v>43</v>
      </c>
      <c r="G1927" t="s">
        <v>289</v>
      </c>
      <c r="H1927" t="s">
        <v>3</v>
      </c>
      <c r="I1927" t="s">
        <v>30</v>
      </c>
      <c r="J1927" t="s">
        <v>41</v>
      </c>
      <c r="K1927" t="s">
        <v>22</v>
      </c>
      <c r="L1927">
        <v>3</v>
      </c>
      <c r="M1927" s="12">
        <v>13749</v>
      </c>
      <c r="N1927" s="12">
        <v>10999.2</v>
      </c>
      <c r="O1927">
        <v>5</v>
      </c>
      <c r="P1927" s="12">
        <v>39184.65</v>
      </c>
      <c r="Q1927" s="12">
        <v>32997.600000000006</v>
      </c>
      <c r="R1927" s="12">
        <v>6187.0499999999956</v>
      </c>
      <c r="S1927" t="s">
        <v>113</v>
      </c>
      <c r="T1927" t="s">
        <v>108</v>
      </c>
      <c r="U1927" t="s">
        <v>1205</v>
      </c>
    </row>
    <row r="1928" spans="1:21" x14ac:dyDescent="0.25">
      <c r="A1928" t="s">
        <v>3941</v>
      </c>
      <c r="B1928" s="8">
        <v>45912</v>
      </c>
      <c r="C1928" t="s">
        <v>2050</v>
      </c>
      <c r="D1928" t="s">
        <v>842</v>
      </c>
      <c r="E1928" t="s">
        <v>198</v>
      </c>
      <c r="F1928">
        <v>39</v>
      </c>
      <c r="G1928" t="s">
        <v>7</v>
      </c>
      <c r="H1928" t="s">
        <v>8</v>
      </c>
      <c r="I1928" t="s">
        <v>53</v>
      </c>
      <c r="J1928" t="s">
        <v>48</v>
      </c>
      <c r="K1928" t="s">
        <v>43</v>
      </c>
      <c r="L1928">
        <v>5</v>
      </c>
      <c r="M1928" s="12">
        <v>6499</v>
      </c>
      <c r="N1928" s="12">
        <v>4549.2999999999993</v>
      </c>
      <c r="O1928">
        <v>8</v>
      </c>
      <c r="P1928" s="12">
        <v>29895.4</v>
      </c>
      <c r="Q1928" s="12">
        <v>22746.499999999996</v>
      </c>
      <c r="R1928" s="12">
        <v>7148.9000000000051</v>
      </c>
      <c r="S1928" t="s">
        <v>113</v>
      </c>
      <c r="T1928" t="s">
        <v>107</v>
      </c>
      <c r="U1928" t="s">
        <v>1209</v>
      </c>
    </row>
    <row r="1929" spans="1:21" x14ac:dyDescent="0.25">
      <c r="A1929" t="s">
        <v>3942</v>
      </c>
      <c r="B1929" s="8">
        <v>45846</v>
      </c>
      <c r="C1929" t="s">
        <v>2997</v>
      </c>
      <c r="D1929" t="s">
        <v>510</v>
      </c>
      <c r="E1929" t="s">
        <v>198</v>
      </c>
      <c r="F1929">
        <v>35</v>
      </c>
      <c r="G1929" t="s">
        <v>7</v>
      </c>
      <c r="H1929" t="s">
        <v>8</v>
      </c>
      <c r="I1929" t="s">
        <v>42</v>
      </c>
      <c r="J1929" t="s">
        <v>44</v>
      </c>
      <c r="K1929" t="s">
        <v>43</v>
      </c>
      <c r="L1929">
        <v>1</v>
      </c>
      <c r="M1929" s="12">
        <v>8999</v>
      </c>
      <c r="N1929" s="12">
        <v>6479.28</v>
      </c>
      <c r="O1929">
        <v>5</v>
      </c>
      <c r="P1929" s="12">
        <v>8549.0499999999993</v>
      </c>
      <c r="Q1929" s="12">
        <v>6479.28</v>
      </c>
      <c r="R1929" s="12">
        <v>2069.7699999999995</v>
      </c>
      <c r="S1929" t="s">
        <v>113</v>
      </c>
      <c r="T1929" t="s">
        <v>109</v>
      </c>
      <c r="U1929" t="s">
        <v>1207</v>
      </c>
    </row>
    <row r="1930" spans="1:21" x14ac:dyDescent="0.25">
      <c r="A1930" t="s">
        <v>3943</v>
      </c>
      <c r="B1930" s="8">
        <v>45914</v>
      </c>
      <c r="C1930" t="s">
        <v>4654</v>
      </c>
      <c r="D1930" t="s">
        <v>943</v>
      </c>
      <c r="E1930" t="s">
        <v>198</v>
      </c>
      <c r="F1930">
        <v>23</v>
      </c>
      <c r="G1930" t="s">
        <v>16</v>
      </c>
      <c r="H1930" t="s">
        <v>15</v>
      </c>
      <c r="I1930" t="s">
        <v>28</v>
      </c>
      <c r="J1930" t="s">
        <v>35</v>
      </c>
      <c r="K1930" t="s">
        <v>22</v>
      </c>
      <c r="L1930">
        <v>2</v>
      </c>
      <c r="M1930" s="12">
        <v>16499</v>
      </c>
      <c r="N1930" s="12">
        <v>14519.12</v>
      </c>
      <c r="O1930">
        <v>6</v>
      </c>
      <c r="P1930" s="12">
        <v>31018.12</v>
      </c>
      <c r="Q1930" s="12">
        <v>29038.240000000002</v>
      </c>
      <c r="R1930" s="12">
        <v>1979.8799999999974</v>
      </c>
      <c r="S1930" t="s">
        <v>113</v>
      </c>
      <c r="T1930" t="s">
        <v>110</v>
      </c>
      <c r="U1930" t="s">
        <v>1209</v>
      </c>
    </row>
    <row r="1931" spans="1:21" x14ac:dyDescent="0.25">
      <c r="A1931" t="s">
        <v>3944</v>
      </c>
      <c r="B1931" s="8">
        <v>45897</v>
      </c>
      <c r="C1931" t="s">
        <v>1483</v>
      </c>
      <c r="D1931" t="s">
        <v>563</v>
      </c>
      <c r="E1931" t="s">
        <v>218</v>
      </c>
      <c r="F1931">
        <v>28</v>
      </c>
      <c r="G1931" t="s">
        <v>7</v>
      </c>
      <c r="H1931" t="s">
        <v>8</v>
      </c>
      <c r="I1931" t="s">
        <v>26</v>
      </c>
      <c r="J1931" t="s">
        <v>27</v>
      </c>
      <c r="K1931" t="s">
        <v>22</v>
      </c>
      <c r="L1931">
        <v>5</v>
      </c>
      <c r="M1931" s="12">
        <v>27499</v>
      </c>
      <c r="N1931" s="12">
        <v>23374.149999999998</v>
      </c>
      <c r="O1931">
        <v>7</v>
      </c>
      <c r="P1931" s="12">
        <v>127870.34999999999</v>
      </c>
      <c r="Q1931" s="12">
        <v>116870.74999999999</v>
      </c>
      <c r="R1931" s="12">
        <v>10999.600000000006</v>
      </c>
      <c r="S1931" t="s">
        <v>113</v>
      </c>
      <c r="T1931" t="s">
        <v>110</v>
      </c>
      <c r="U1931" t="s">
        <v>1201</v>
      </c>
    </row>
    <row r="1932" spans="1:21" x14ac:dyDescent="0.25">
      <c r="A1932" t="s">
        <v>3945</v>
      </c>
      <c r="B1932" s="8">
        <v>45841</v>
      </c>
      <c r="C1932" t="s">
        <v>1474</v>
      </c>
      <c r="D1932" t="s">
        <v>364</v>
      </c>
      <c r="E1932" t="s">
        <v>198</v>
      </c>
      <c r="F1932">
        <v>61</v>
      </c>
      <c r="G1932" t="s">
        <v>2</v>
      </c>
      <c r="H1932" t="s">
        <v>3</v>
      </c>
      <c r="I1932" t="s">
        <v>21</v>
      </c>
      <c r="J1932" t="s">
        <v>23</v>
      </c>
      <c r="K1932" t="s">
        <v>22</v>
      </c>
      <c r="L1932">
        <v>5</v>
      </c>
      <c r="M1932" s="12">
        <v>54999</v>
      </c>
      <c r="N1932" s="12">
        <v>45099.18</v>
      </c>
      <c r="O1932">
        <v>3</v>
      </c>
      <c r="P1932" s="12">
        <v>266745.14999999997</v>
      </c>
      <c r="Q1932" s="12">
        <v>225495.9</v>
      </c>
      <c r="R1932" s="12">
        <v>41249.249999999971</v>
      </c>
      <c r="S1932" t="s">
        <v>1246</v>
      </c>
      <c r="T1932" t="s">
        <v>107</v>
      </c>
      <c r="U1932" t="s">
        <v>1207</v>
      </c>
    </row>
    <row r="1933" spans="1:21" x14ac:dyDescent="0.25">
      <c r="A1933" t="s">
        <v>3946</v>
      </c>
      <c r="B1933" s="8">
        <v>45848</v>
      </c>
      <c r="C1933" t="s">
        <v>1415</v>
      </c>
      <c r="D1933" t="s">
        <v>1103</v>
      </c>
      <c r="E1933" t="s">
        <v>198</v>
      </c>
      <c r="F1933">
        <v>36</v>
      </c>
      <c r="G1933" t="s">
        <v>16</v>
      </c>
      <c r="H1933" t="s">
        <v>15</v>
      </c>
      <c r="I1933" t="s">
        <v>28</v>
      </c>
      <c r="J1933" t="s">
        <v>35</v>
      </c>
      <c r="K1933" t="s">
        <v>22</v>
      </c>
      <c r="L1933">
        <v>2</v>
      </c>
      <c r="M1933" s="12">
        <v>16499</v>
      </c>
      <c r="N1933" s="12">
        <v>14519.12</v>
      </c>
      <c r="O1933">
        <v>8</v>
      </c>
      <c r="P1933" s="12">
        <v>30358.16</v>
      </c>
      <c r="Q1933" s="12">
        <v>29038.240000000002</v>
      </c>
      <c r="R1933" s="12">
        <v>1319.9199999999983</v>
      </c>
      <c r="S1933" t="s">
        <v>113</v>
      </c>
      <c r="T1933" t="s">
        <v>107</v>
      </c>
      <c r="U1933" t="s">
        <v>1201</v>
      </c>
    </row>
    <row r="1934" spans="1:21" x14ac:dyDescent="0.25">
      <c r="A1934" t="s">
        <v>3947</v>
      </c>
      <c r="B1934" s="8">
        <v>45882</v>
      </c>
      <c r="C1934" t="s">
        <v>1768</v>
      </c>
      <c r="D1934" t="s">
        <v>388</v>
      </c>
      <c r="E1934" t="s">
        <v>198</v>
      </c>
      <c r="F1934">
        <v>23</v>
      </c>
      <c r="G1934" t="s">
        <v>10</v>
      </c>
      <c r="H1934" t="s">
        <v>8</v>
      </c>
      <c r="I1934" t="s">
        <v>40</v>
      </c>
      <c r="J1934" t="s">
        <v>39</v>
      </c>
      <c r="K1934" t="s">
        <v>22</v>
      </c>
      <c r="L1934">
        <v>3</v>
      </c>
      <c r="M1934" s="12">
        <v>1100</v>
      </c>
      <c r="N1934" s="12">
        <v>715</v>
      </c>
      <c r="O1934">
        <v>3</v>
      </c>
      <c r="P1934" s="12">
        <v>3201</v>
      </c>
      <c r="Q1934" s="12">
        <v>2145</v>
      </c>
      <c r="R1934" s="12">
        <v>1056</v>
      </c>
      <c r="S1934" t="s">
        <v>113</v>
      </c>
      <c r="T1934" t="s">
        <v>109</v>
      </c>
      <c r="U1934" t="s">
        <v>1205</v>
      </c>
    </row>
    <row r="1935" spans="1:21" x14ac:dyDescent="0.25">
      <c r="A1935" t="s">
        <v>3948</v>
      </c>
      <c r="B1935" s="8">
        <v>45963</v>
      </c>
      <c r="C1935" t="s">
        <v>2898</v>
      </c>
      <c r="D1935" t="s">
        <v>1009</v>
      </c>
      <c r="E1935" t="s">
        <v>198</v>
      </c>
      <c r="F1935">
        <v>44</v>
      </c>
      <c r="G1935" t="s">
        <v>14</v>
      </c>
      <c r="H1935" t="s">
        <v>15</v>
      </c>
      <c r="I1935" t="s">
        <v>63</v>
      </c>
      <c r="J1935" t="s">
        <v>77</v>
      </c>
      <c r="K1935" t="s">
        <v>64</v>
      </c>
      <c r="L1935">
        <v>3</v>
      </c>
      <c r="M1935" s="12">
        <v>650</v>
      </c>
      <c r="N1935" s="12">
        <v>468</v>
      </c>
      <c r="O1935">
        <v>6</v>
      </c>
      <c r="P1935" s="12">
        <v>1833</v>
      </c>
      <c r="Q1935" s="12">
        <v>1404</v>
      </c>
      <c r="R1935" s="12">
        <v>429</v>
      </c>
      <c r="S1935" t="s">
        <v>113</v>
      </c>
      <c r="T1935" t="s">
        <v>111</v>
      </c>
      <c r="U1935" t="s">
        <v>1207</v>
      </c>
    </row>
    <row r="1936" spans="1:21" x14ac:dyDescent="0.25">
      <c r="A1936" t="s">
        <v>3949</v>
      </c>
      <c r="B1936" s="8">
        <v>45745</v>
      </c>
      <c r="C1936" t="s">
        <v>1963</v>
      </c>
      <c r="D1936" t="s">
        <v>927</v>
      </c>
      <c r="E1936" t="s">
        <v>218</v>
      </c>
      <c r="F1936">
        <v>47</v>
      </c>
      <c r="G1936" t="s">
        <v>4</v>
      </c>
      <c r="H1936" t="s">
        <v>3</v>
      </c>
      <c r="I1936" t="s">
        <v>55</v>
      </c>
      <c r="J1936" t="s">
        <v>65</v>
      </c>
      <c r="K1936" t="s">
        <v>64</v>
      </c>
      <c r="L1936">
        <v>4</v>
      </c>
      <c r="M1936" s="12">
        <v>80</v>
      </c>
      <c r="N1936" s="12">
        <v>56</v>
      </c>
      <c r="O1936">
        <v>0</v>
      </c>
      <c r="P1936" s="12">
        <v>320</v>
      </c>
      <c r="Q1936" s="12">
        <v>224</v>
      </c>
      <c r="R1936" s="12">
        <v>96</v>
      </c>
      <c r="S1936" t="s">
        <v>1246</v>
      </c>
      <c r="T1936" t="s">
        <v>107</v>
      </c>
      <c r="U1936" t="s">
        <v>1205</v>
      </c>
    </row>
    <row r="1937" spans="1:21" x14ac:dyDescent="0.25">
      <c r="A1937" t="s">
        <v>3950</v>
      </c>
      <c r="B1937" s="8">
        <v>45690</v>
      </c>
      <c r="C1937" t="s">
        <v>2579</v>
      </c>
      <c r="D1937" t="s">
        <v>418</v>
      </c>
      <c r="E1937" t="s">
        <v>218</v>
      </c>
      <c r="F1937">
        <v>33</v>
      </c>
      <c r="G1937" t="s">
        <v>9</v>
      </c>
      <c r="H1937" t="s">
        <v>8</v>
      </c>
      <c r="I1937" t="s">
        <v>40</v>
      </c>
      <c r="J1937" t="s">
        <v>39</v>
      </c>
      <c r="K1937" t="s">
        <v>22</v>
      </c>
      <c r="L1937">
        <v>3</v>
      </c>
      <c r="M1937" s="12">
        <v>1100</v>
      </c>
      <c r="N1937" s="12">
        <v>715</v>
      </c>
      <c r="O1937">
        <v>6</v>
      </c>
      <c r="P1937" s="12">
        <v>3102</v>
      </c>
      <c r="Q1937" s="12">
        <v>2145</v>
      </c>
      <c r="R1937" s="12">
        <v>957</v>
      </c>
      <c r="S1937" t="s">
        <v>1246</v>
      </c>
      <c r="T1937" t="s">
        <v>108</v>
      </c>
      <c r="U1937" t="s">
        <v>1207</v>
      </c>
    </row>
    <row r="1938" spans="1:21" x14ac:dyDescent="0.25">
      <c r="A1938" t="s">
        <v>3951</v>
      </c>
      <c r="B1938" s="8">
        <v>46019</v>
      </c>
      <c r="C1938" t="s">
        <v>1819</v>
      </c>
      <c r="D1938" t="s">
        <v>1180</v>
      </c>
      <c r="E1938" t="s">
        <v>198</v>
      </c>
      <c r="F1938">
        <v>53</v>
      </c>
      <c r="G1938" t="s">
        <v>16</v>
      </c>
      <c r="H1938" t="s">
        <v>15</v>
      </c>
      <c r="I1938" t="s">
        <v>28</v>
      </c>
      <c r="J1938" t="s">
        <v>35</v>
      </c>
      <c r="K1938" t="s">
        <v>22</v>
      </c>
      <c r="L1938">
        <v>2</v>
      </c>
      <c r="M1938" s="12">
        <v>16499</v>
      </c>
      <c r="N1938" s="12">
        <v>14519.12</v>
      </c>
      <c r="O1938">
        <v>10</v>
      </c>
      <c r="P1938" s="12">
        <v>29698.2</v>
      </c>
      <c r="Q1938" s="12">
        <v>29038.240000000002</v>
      </c>
      <c r="R1938" s="12">
        <v>659.95999999999913</v>
      </c>
      <c r="S1938" t="s">
        <v>1246</v>
      </c>
      <c r="T1938" t="s">
        <v>108</v>
      </c>
      <c r="U1938" t="s">
        <v>1205</v>
      </c>
    </row>
    <row r="1939" spans="1:21" x14ac:dyDescent="0.25">
      <c r="A1939" t="s">
        <v>3952</v>
      </c>
      <c r="B1939" s="8">
        <v>45707</v>
      </c>
      <c r="C1939" t="s">
        <v>1281</v>
      </c>
      <c r="D1939" t="s">
        <v>771</v>
      </c>
      <c r="E1939" t="s">
        <v>218</v>
      </c>
      <c r="F1939">
        <v>62</v>
      </c>
      <c r="G1939" t="s">
        <v>16</v>
      </c>
      <c r="H1939" t="s">
        <v>15</v>
      </c>
      <c r="I1939" t="s">
        <v>28</v>
      </c>
      <c r="J1939" t="s">
        <v>35</v>
      </c>
      <c r="K1939" t="s">
        <v>22</v>
      </c>
      <c r="L1939">
        <v>3</v>
      </c>
      <c r="M1939" s="12">
        <v>16499</v>
      </c>
      <c r="N1939" s="12">
        <v>14519.12</v>
      </c>
      <c r="O1939">
        <v>4</v>
      </c>
      <c r="P1939" s="12">
        <v>47517.119999999995</v>
      </c>
      <c r="Q1939" s="12">
        <v>43557.36</v>
      </c>
      <c r="R1939" s="12">
        <v>3959.7599999999948</v>
      </c>
      <c r="S1939" t="s">
        <v>1246</v>
      </c>
      <c r="T1939" t="s">
        <v>107</v>
      </c>
      <c r="U1939" t="s">
        <v>1211</v>
      </c>
    </row>
    <row r="1940" spans="1:21" x14ac:dyDescent="0.25">
      <c r="A1940" t="s">
        <v>3953</v>
      </c>
      <c r="B1940" s="8">
        <v>45959</v>
      </c>
      <c r="C1940" t="s">
        <v>3698</v>
      </c>
      <c r="D1940" t="s">
        <v>1177</v>
      </c>
      <c r="E1940" t="s">
        <v>218</v>
      </c>
      <c r="F1940">
        <v>47</v>
      </c>
      <c r="G1940" t="s">
        <v>17</v>
      </c>
      <c r="H1940" t="s">
        <v>15</v>
      </c>
      <c r="I1940" t="s">
        <v>38</v>
      </c>
      <c r="J1940" t="s">
        <v>37</v>
      </c>
      <c r="K1940" t="s">
        <v>22</v>
      </c>
      <c r="L1940">
        <v>5</v>
      </c>
      <c r="M1940" s="12">
        <v>1650</v>
      </c>
      <c r="N1940" s="12">
        <v>990</v>
      </c>
      <c r="O1940">
        <v>8</v>
      </c>
      <c r="P1940" s="12">
        <v>7590</v>
      </c>
      <c r="Q1940" s="12">
        <v>4950</v>
      </c>
      <c r="R1940" s="12">
        <v>2640</v>
      </c>
      <c r="S1940" t="s">
        <v>1246</v>
      </c>
      <c r="T1940" t="s">
        <v>108</v>
      </c>
      <c r="U1940" t="s">
        <v>1203</v>
      </c>
    </row>
    <row r="1941" spans="1:21" x14ac:dyDescent="0.25">
      <c r="A1941" t="s">
        <v>3954</v>
      </c>
      <c r="B1941" s="8">
        <v>45719</v>
      </c>
      <c r="C1941" t="s">
        <v>4886</v>
      </c>
      <c r="D1941" t="s">
        <v>725</v>
      </c>
      <c r="E1941" t="s">
        <v>198</v>
      </c>
      <c r="F1941">
        <v>64</v>
      </c>
      <c r="G1941" t="s">
        <v>11</v>
      </c>
      <c r="H1941" t="s">
        <v>12</v>
      </c>
      <c r="I1941" t="s">
        <v>42</v>
      </c>
      <c r="J1941" t="s">
        <v>44</v>
      </c>
      <c r="K1941" t="s">
        <v>43</v>
      </c>
      <c r="L1941">
        <v>3</v>
      </c>
      <c r="M1941" s="12">
        <v>8999</v>
      </c>
      <c r="N1941" s="12">
        <v>6479.28</v>
      </c>
      <c r="O1941">
        <v>10</v>
      </c>
      <c r="P1941" s="12">
        <v>24297.3</v>
      </c>
      <c r="Q1941" s="12">
        <v>19437.84</v>
      </c>
      <c r="R1941" s="12">
        <v>4859.4599999999991</v>
      </c>
      <c r="S1941" t="s">
        <v>1246</v>
      </c>
      <c r="T1941" t="s">
        <v>109</v>
      </c>
      <c r="U1941" t="s">
        <v>1207</v>
      </c>
    </row>
    <row r="1942" spans="1:21" x14ac:dyDescent="0.25">
      <c r="A1942" t="s">
        <v>3955</v>
      </c>
      <c r="B1942" s="8">
        <v>45930</v>
      </c>
      <c r="C1942" t="s">
        <v>1677</v>
      </c>
      <c r="D1942" t="s">
        <v>988</v>
      </c>
      <c r="E1942" t="s">
        <v>218</v>
      </c>
      <c r="F1942">
        <v>49</v>
      </c>
      <c r="G1942" t="s">
        <v>7</v>
      </c>
      <c r="H1942" t="s">
        <v>8</v>
      </c>
      <c r="I1942" t="s">
        <v>61</v>
      </c>
      <c r="J1942" t="s">
        <v>146</v>
      </c>
      <c r="K1942" t="s">
        <v>64</v>
      </c>
      <c r="L1942">
        <v>4</v>
      </c>
      <c r="M1942" s="12">
        <v>250</v>
      </c>
      <c r="N1942" s="12">
        <v>155</v>
      </c>
      <c r="O1942">
        <v>0</v>
      </c>
      <c r="P1942" s="12">
        <v>1000</v>
      </c>
      <c r="Q1942" s="12">
        <v>620</v>
      </c>
      <c r="R1942" s="12">
        <v>380</v>
      </c>
      <c r="S1942" t="s">
        <v>1246</v>
      </c>
      <c r="T1942" t="s">
        <v>109</v>
      </c>
      <c r="U1942" t="s">
        <v>1203</v>
      </c>
    </row>
    <row r="1943" spans="1:21" x14ac:dyDescent="0.25">
      <c r="A1943" t="s">
        <v>3956</v>
      </c>
      <c r="B1943" s="8">
        <v>45895</v>
      </c>
      <c r="C1943" t="s">
        <v>3333</v>
      </c>
      <c r="D1943" t="s">
        <v>392</v>
      </c>
      <c r="E1943" t="s">
        <v>198</v>
      </c>
      <c r="F1943">
        <v>19</v>
      </c>
      <c r="G1943" t="s">
        <v>14</v>
      </c>
      <c r="H1943" t="s">
        <v>15</v>
      </c>
      <c r="I1943" t="s">
        <v>49</v>
      </c>
      <c r="J1943" t="s">
        <v>56</v>
      </c>
      <c r="K1943" t="s">
        <v>43</v>
      </c>
      <c r="L1943">
        <v>2</v>
      </c>
      <c r="M1943" s="12">
        <v>31999</v>
      </c>
      <c r="N1943" s="12">
        <v>25599.200000000001</v>
      </c>
      <c r="O1943">
        <v>5</v>
      </c>
      <c r="P1943" s="12">
        <v>60798.1</v>
      </c>
      <c r="Q1943" s="12">
        <v>51198.400000000001</v>
      </c>
      <c r="R1943" s="12">
        <v>9599.6999999999971</v>
      </c>
      <c r="S1943" t="s">
        <v>113</v>
      </c>
      <c r="T1943" t="s">
        <v>107</v>
      </c>
      <c r="U1943" t="s">
        <v>1205</v>
      </c>
    </row>
    <row r="1944" spans="1:21" x14ac:dyDescent="0.25">
      <c r="A1944" t="s">
        <v>3957</v>
      </c>
      <c r="B1944" s="8">
        <v>46011</v>
      </c>
      <c r="C1944" t="s">
        <v>3286</v>
      </c>
      <c r="D1944" t="s">
        <v>749</v>
      </c>
      <c r="E1944" t="s">
        <v>198</v>
      </c>
      <c r="F1944">
        <v>28</v>
      </c>
      <c r="G1944" t="s">
        <v>14</v>
      </c>
      <c r="H1944" t="s">
        <v>15</v>
      </c>
      <c r="I1944" t="s">
        <v>36</v>
      </c>
      <c r="J1944" t="s">
        <v>136</v>
      </c>
      <c r="K1944" t="s">
        <v>22</v>
      </c>
      <c r="L1944">
        <v>2</v>
      </c>
      <c r="M1944" s="12">
        <v>3590</v>
      </c>
      <c r="N1944" s="12">
        <v>2333.5</v>
      </c>
      <c r="O1944">
        <v>17</v>
      </c>
      <c r="P1944" s="12">
        <v>5959.4</v>
      </c>
      <c r="Q1944" s="12">
        <v>4667</v>
      </c>
      <c r="R1944" s="12">
        <v>1292.3999999999996</v>
      </c>
      <c r="S1944" t="s">
        <v>113</v>
      </c>
      <c r="T1944" t="s">
        <v>109</v>
      </c>
      <c r="U1944" t="s">
        <v>1201</v>
      </c>
    </row>
    <row r="1945" spans="1:21" x14ac:dyDescent="0.25">
      <c r="A1945" t="s">
        <v>3958</v>
      </c>
      <c r="B1945" s="8">
        <v>46011</v>
      </c>
      <c r="C1945" t="s">
        <v>1402</v>
      </c>
      <c r="D1945" t="s">
        <v>996</v>
      </c>
      <c r="E1945" t="s">
        <v>198</v>
      </c>
      <c r="F1945">
        <v>51</v>
      </c>
      <c r="G1945" t="s">
        <v>290</v>
      </c>
      <c r="H1945" t="s">
        <v>3</v>
      </c>
      <c r="I1945" t="s">
        <v>28</v>
      </c>
      <c r="J1945" t="s">
        <v>35</v>
      </c>
      <c r="K1945" t="s">
        <v>22</v>
      </c>
      <c r="L1945">
        <v>3</v>
      </c>
      <c r="M1945" s="12">
        <v>16499</v>
      </c>
      <c r="N1945" s="12">
        <v>14519.12</v>
      </c>
      <c r="O1945">
        <v>16</v>
      </c>
      <c r="P1945" s="12">
        <v>41577.479999999996</v>
      </c>
      <c r="Q1945" s="12">
        <v>43557.36</v>
      </c>
      <c r="R1945" s="12">
        <v>-1979.8800000000047</v>
      </c>
      <c r="S1945" t="s">
        <v>113</v>
      </c>
      <c r="T1945" t="s">
        <v>107</v>
      </c>
      <c r="U1945" t="s">
        <v>1203</v>
      </c>
    </row>
    <row r="1946" spans="1:21" x14ac:dyDescent="0.25">
      <c r="A1946" t="s">
        <v>3959</v>
      </c>
      <c r="B1946" s="8">
        <v>45845</v>
      </c>
      <c r="C1946" t="s">
        <v>1402</v>
      </c>
      <c r="D1946" t="s">
        <v>996</v>
      </c>
      <c r="E1946" t="s">
        <v>198</v>
      </c>
      <c r="F1946">
        <v>51</v>
      </c>
      <c r="G1946" t="s">
        <v>290</v>
      </c>
      <c r="H1946" t="s">
        <v>3</v>
      </c>
      <c r="I1946" t="s">
        <v>63</v>
      </c>
      <c r="J1946" t="s">
        <v>77</v>
      </c>
      <c r="K1946" t="s">
        <v>64</v>
      </c>
      <c r="L1946">
        <v>1</v>
      </c>
      <c r="M1946" s="12">
        <v>650</v>
      </c>
      <c r="N1946" s="12">
        <v>468</v>
      </c>
      <c r="O1946">
        <v>1</v>
      </c>
      <c r="P1946" s="12">
        <v>643.5</v>
      </c>
      <c r="Q1946" s="12">
        <v>468</v>
      </c>
      <c r="R1946" s="12">
        <v>175.5</v>
      </c>
      <c r="S1946" t="s">
        <v>1246</v>
      </c>
      <c r="T1946" t="s">
        <v>107</v>
      </c>
      <c r="U1946" t="s">
        <v>1194</v>
      </c>
    </row>
    <row r="1947" spans="1:21" x14ac:dyDescent="0.25">
      <c r="A1947" t="s">
        <v>3960</v>
      </c>
      <c r="B1947" s="8">
        <v>45739</v>
      </c>
      <c r="C1947" t="s">
        <v>1927</v>
      </c>
      <c r="D1947" t="s">
        <v>1041</v>
      </c>
      <c r="E1947" t="s">
        <v>198</v>
      </c>
      <c r="F1947">
        <v>26</v>
      </c>
      <c r="G1947" t="s">
        <v>7</v>
      </c>
      <c r="H1947" t="s">
        <v>8</v>
      </c>
      <c r="I1947" t="s">
        <v>30</v>
      </c>
      <c r="J1947" t="s">
        <v>41</v>
      </c>
      <c r="K1947" t="s">
        <v>22</v>
      </c>
      <c r="L1947">
        <v>4</v>
      </c>
      <c r="M1947" s="12">
        <v>13749</v>
      </c>
      <c r="N1947" s="12">
        <v>10999.2</v>
      </c>
      <c r="O1947">
        <v>5</v>
      </c>
      <c r="P1947" s="12">
        <v>52246.2</v>
      </c>
      <c r="Q1947" s="12">
        <v>43996.800000000003</v>
      </c>
      <c r="R1947" s="12">
        <v>8249.3999999999942</v>
      </c>
      <c r="S1947" t="s">
        <v>1246</v>
      </c>
      <c r="T1947" t="s">
        <v>110</v>
      </c>
      <c r="U1947" t="s">
        <v>1205</v>
      </c>
    </row>
    <row r="1948" spans="1:21" x14ac:dyDescent="0.25">
      <c r="A1948" t="s">
        <v>3962</v>
      </c>
      <c r="B1948" s="8">
        <v>45946</v>
      </c>
      <c r="C1948" t="s">
        <v>2723</v>
      </c>
      <c r="D1948" t="s">
        <v>468</v>
      </c>
      <c r="E1948" t="s">
        <v>198</v>
      </c>
      <c r="F1948">
        <v>52</v>
      </c>
      <c r="G1948" t="s">
        <v>5</v>
      </c>
      <c r="H1948" t="s">
        <v>3</v>
      </c>
      <c r="I1948" t="s">
        <v>21</v>
      </c>
      <c r="J1948" t="s">
        <v>23</v>
      </c>
      <c r="K1948" t="s">
        <v>22</v>
      </c>
      <c r="L1948">
        <v>4</v>
      </c>
      <c r="M1948" s="12">
        <v>54999</v>
      </c>
      <c r="N1948" s="12">
        <v>45099.18</v>
      </c>
      <c r="O1948">
        <v>4</v>
      </c>
      <c r="P1948" s="12">
        <v>211196.16</v>
      </c>
      <c r="Q1948" s="12">
        <v>180396.72</v>
      </c>
      <c r="R1948" s="12">
        <v>30799.440000000002</v>
      </c>
      <c r="S1948" t="s">
        <v>1246</v>
      </c>
      <c r="T1948" t="s">
        <v>109</v>
      </c>
      <c r="U1948" t="s">
        <v>1201</v>
      </c>
    </row>
    <row r="1949" spans="1:21" x14ac:dyDescent="0.25">
      <c r="A1949" t="s">
        <v>3963</v>
      </c>
      <c r="B1949" s="8">
        <v>45751</v>
      </c>
      <c r="C1949" t="s">
        <v>1522</v>
      </c>
      <c r="D1949" t="s">
        <v>964</v>
      </c>
      <c r="E1949" t="s">
        <v>198</v>
      </c>
      <c r="F1949">
        <v>40</v>
      </c>
      <c r="G1949" t="s">
        <v>11</v>
      </c>
      <c r="H1949" t="s">
        <v>12</v>
      </c>
      <c r="I1949" t="s">
        <v>49</v>
      </c>
      <c r="J1949" t="s">
        <v>56</v>
      </c>
      <c r="K1949" t="s">
        <v>43</v>
      </c>
      <c r="L1949">
        <v>2</v>
      </c>
      <c r="M1949" s="12">
        <v>31999</v>
      </c>
      <c r="N1949" s="12">
        <v>25599.200000000001</v>
      </c>
      <c r="O1949">
        <v>6</v>
      </c>
      <c r="P1949" s="12">
        <v>60158.119999999995</v>
      </c>
      <c r="Q1949" s="12">
        <v>51198.400000000001</v>
      </c>
      <c r="R1949" s="12">
        <v>8959.7199999999939</v>
      </c>
      <c r="S1949" t="s">
        <v>1246</v>
      </c>
      <c r="T1949" t="s">
        <v>108</v>
      </c>
      <c r="U1949" t="s">
        <v>1207</v>
      </c>
    </row>
    <row r="1950" spans="1:21" x14ac:dyDescent="0.25">
      <c r="A1950" t="s">
        <v>3964</v>
      </c>
      <c r="B1950" s="8">
        <v>45812</v>
      </c>
      <c r="C1950" t="s">
        <v>1785</v>
      </c>
      <c r="D1950" t="s">
        <v>673</v>
      </c>
      <c r="E1950" t="s">
        <v>198</v>
      </c>
      <c r="F1950">
        <v>22</v>
      </c>
      <c r="G1950" t="s">
        <v>14</v>
      </c>
      <c r="H1950" t="s">
        <v>15</v>
      </c>
      <c r="I1950" t="s">
        <v>45</v>
      </c>
      <c r="J1950" t="s">
        <v>46</v>
      </c>
      <c r="K1950" t="s">
        <v>43</v>
      </c>
      <c r="L1950">
        <v>4</v>
      </c>
      <c r="M1950" s="12">
        <v>11999</v>
      </c>
      <c r="N1950" s="12">
        <v>8999.25</v>
      </c>
      <c r="O1950">
        <v>3</v>
      </c>
      <c r="P1950" s="12">
        <v>46556.119999999995</v>
      </c>
      <c r="Q1950" s="12">
        <v>35997</v>
      </c>
      <c r="R1950" s="12">
        <v>10559.119999999995</v>
      </c>
      <c r="S1950" t="s">
        <v>113</v>
      </c>
      <c r="T1950" t="s">
        <v>108</v>
      </c>
      <c r="U1950" t="s">
        <v>1207</v>
      </c>
    </row>
    <row r="1951" spans="1:21" x14ac:dyDescent="0.25">
      <c r="A1951" t="s">
        <v>3965</v>
      </c>
      <c r="B1951" s="8">
        <v>45733</v>
      </c>
      <c r="C1951" t="s">
        <v>1383</v>
      </c>
      <c r="D1951" t="s">
        <v>998</v>
      </c>
      <c r="E1951" t="s">
        <v>198</v>
      </c>
      <c r="F1951">
        <v>60</v>
      </c>
      <c r="G1951" t="s">
        <v>9</v>
      </c>
      <c r="H1951" t="s">
        <v>8</v>
      </c>
      <c r="I1951" t="s">
        <v>34</v>
      </c>
      <c r="J1951" t="s">
        <v>137</v>
      </c>
      <c r="K1951" t="s">
        <v>22</v>
      </c>
      <c r="L1951">
        <v>3</v>
      </c>
      <c r="M1951" s="12">
        <v>6900</v>
      </c>
      <c r="N1951" s="12">
        <v>5727</v>
      </c>
      <c r="O1951">
        <v>7</v>
      </c>
      <c r="P1951" s="12">
        <v>19251</v>
      </c>
      <c r="Q1951" s="12">
        <v>17181</v>
      </c>
      <c r="R1951" s="12">
        <v>2070</v>
      </c>
      <c r="S1951" t="s">
        <v>1246</v>
      </c>
      <c r="T1951" t="s">
        <v>111</v>
      </c>
      <c r="U1951" t="s">
        <v>1205</v>
      </c>
    </row>
    <row r="1952" spans="1:21" x14ac:dyDescent="0.25">
      <c r="A1952" t="s">
        <v>3966</v>
      </c>
      <c r="B1952" s="8">
        <v>45867</v>
      </c>
      <c r="C1952" t="s">
        <v>1380</v>
      </c>
      <c r="D1952" t="s">
        <v>919</v>
      </c>
      <c r="E1952" t="s">
        <v>218</v>
      </c>
      <c r="F1952">
        <v>49</v>
      </c>
      <c r="G1952" t="s">
        <v>14</v>
      </c>
      <c r="H1952" t="s">
        <v>15</v>
      </c>
      <c r="I1952" t="s">
        <v>32</v>
      </c>
      <c r="J1952" t="s">
        <v>29</v>
      </c>
      <c r="K1952" t="s">
        <v>22</v>
      </c>
      <c r="L1952">
        <v>4</v>
      </c>
      <c r="M1952" s="12">
        <v>9500</v>
      </c>
      <c r="N1952" s="12">
        <v>6650</v>
      </c>
      <c r="O1952">
        <v>4</v>
      </c>
      <c r="P1952" s="12">
        <v>36480</v>
      </c>
      <c r="Q1952" s="12">
        <v>26600</v>
      </c>
      <c r="R1952" s="12">
        <v>9880</v>
      </c>
      <c r="S1952" t="s">
        <v>113</v>
      </c>
      <c r="T1952" t="s">
        <v>109</v>
      </c>
      <c r="U1952" t="s">
        <v>1207</v>
      </c>
    </row>
    <row r="1953" spans="1:21" x14ac:dyDescent="0.25">
      <c r="A1953" t="s">
        <v>3967</v>
      </c>
      <c r="B1953" s="8">
        <v>45753</v>
      </c>
      <c r="C1953" t="s">
        <v>5085</v>
      </c>
      <c r="D1953" t="s">
        <v>1159</v>
      </c>
      <c r="E1953" t="s">
        <v>198</v>
      </c>
      <c r="F1953">
        <v>37</v>
      </c>
      <c r="G1953" t="s">
        <v>9</v>
      </c>
      <c r="H1953" t="s">
        <v>8</v>
      </c>
      <c r="I1953" t="s">
        <v>26</v>
      </c>
      <c r="J1953" t="s">
        <v>27</v>
      </c>
      <c r="K1953" t="s">
        <v>22</v>
      </c>
      <c r="L1953">
        <v>2</v>
      </c>
      <c r="M1953" s="12">
        <v>27499</v>
      </c>
      <c r="N1953" s="12">
        <v>23374.149999999998</v>
      </c>
      <c r="O1953">
        <v>6</v>
      </c>
      <c r="P1953" s="12">
        <v>51698.119999999995</v>
      </c>
      <c r="Q1953" s="12">
        <v>46748.299999999996</v>
      </c>
      <c r="R1953" s="12">
        <v>4949.82</v>
      </c>
      <c r="S1953" t="s">
        <v>113</v>
      </c>
      <c r="T1953" t="s">
        <v>109</v>
      </c>
      <c r="U1953" t="s">
        <v>1196</v>
      </c>
    </row>
    <row r="1954" spans="1:21" x14ac:dyDescent="0.25">
      <c r="A1954" t="s">
        <v>3968</v>
      </c>
      <c r="B1954" s="8">
        <v>45662</v>
      </c>
      <c r="C1954" t="s">
        <v>5100</v>
      </c>
      <c r="D1954" t="s">
        <v>914</v>
      </c>
      <c r="E1954" t="s">
        <v>218</v>
      </c>
      <c r="F1954">
        <v>30</v>
      </c>
      <c r="G1954" t="s">
        <v>289</v>
      </c>
      <c r="H1954" t="s">
        <v>3</v>
      </c>
      <c r="I1954" t="s">
        <v>32</v>
      </c>
      <c r="J1954" t="s">
        <v>29</v>
      </c>
      <c r="K1954" t="s">
        <v>22</v>
      </c>
      <c r="L1954">
        <v>2</v>
      </c>
      <c r="M1954" s="12">
        <v>9500</v>
      </c>
      <c r="N1954" s="12">
        <v>6650</v>
      </c>
      <c r="O1954">
        <v>6</v>
      </c>
      <c r="P1954" s="12">
        <v>17860</v>
      </c>
      <c r="Q1954" s="12">
        <v>13300</v>
      </c>
      <c r="R1954" s="12">
        <v>4560</v>
      </c>
      <c r="S1954" t="s">
        <v>113</v>
      </c>
      <c r="T1954" t="s">
        <v>110</v>
      </c>
      <c r="U1954" t="s">
        <v>1209</v>
      </c>
    </row>
    <row r="1955" spans="1:21" x14ac:dyDescent="0.25">
      <c r="A1955" t="s">
        <v>3969</v>
      </c>
      <c r="B1955" s="8">
        <v>46006</v>
      </c>
      <c r="C1955" t="s">
        <v>5089</v>
      </c>
      <c r="D1955" t="s">
        <v>611</v>
      </c>
      <c r="E1955" t="s">
        <v>218</v>
      </c>
      <c r="F1955">
        <v>49</v>
      </c>
      <c r="G1955" t="s">
        <v>16</v>
      </c>
      <c r="H1955" t="s">
        <v>15</v>
      </c>
      <c r="I1955" t="s">
        <v>47</v>
      </c>
      <c r="J1955" t="s">
        <v>52</v>
      </c>
      <c r="K1955" t="s">
        <v>43</v>
      </c>
      <c r="L1955">
        <v>4</v>
      </c>
      <c r="M1955" s="12">
        <v>42999</v>
      </c>
      <c r="N1955" s="12">
        <v>33539.22</v>
      </c>
      <c r="O1955">
        <v>18</v>
      </c>
      <c r="P1955" s="12">
        <v>141036.72</v>
      </c>
      <c r="Q1955" s="12">
        <v>134156.88</v>
      </c>
      <c r="R1955" s="12">
        <v>6879.8399999999965</v>
      </c>
      <c r="S1955" t="s">
        <v>1246</v>
      </c>
      <c r="T1955" t="s">
        <v>109</v>
      </c>
      <c r="U1955" t="s">
        <v>1209</v>
      </c>
    </row>
    <row r="1956" spans="1:21" x14ac:dyDescent="0.25">
      <c r="A1956" t="s">
        <v>3970</v>
      </c>
      <c r="B1956" s="8">
        <v>45976</v>
      </c>
      <c r="C1956" t="s">
        <v>1667</v>
      </c>
      <c r="D1956" t="s">
        <v>898</v>
      </c>
      <c r="E1956" t="s">
        <v>218</v>
      </c>
      <c r="F1956">
        <v>65</v>
      </c>
      <c r="G1956" t="s">
        <v>11</v>
      </c>
      <c r="H1956" t="s">
        <v>12</v>
      </c>
      <c r="I1956" t="s">
        <v>28</v>
      </c>
      <c r="J1956" t="s">
        <v>35</v>
      </c>
      <c r="K1956" t="s">
        <v>22</v>
      </c>
      <c r="L1956">
        <v>1</v>
      </c>
      <c r="M1956" s="12">
        <v>16499</v>
      </c>
      <c r="N1956" s="12">
        <v>14519.12</v>
      </c>
      <c r="O1956">
        <v>16</v>
      </c>
      <c r="P1956" s="12">
        <v>13859.16</v>
      </c>
      <c r="Q1956" s="12">
        <v>14519.12</v>
      </c>
      <c r="R1956" s="12">
        <v>-659.96000000000095</v>
      </c>
      <c r="S1956" t="s">
        <v>113</v>
      </c>
      <c r="T1956" t="s">
        <v>107</v>
      </c>
      <c r="U1956" t="s">
        <v>1201</v>
      </c>
    </row>
    <row r="1957" spans="1:21" x14ac:dyDescent="0.25">
      <c r="A1957" t="s">
        <v>3972</v>
      </c>
      <c r="B1957" s="8">
        <v>45913</v>
      </c>
      <c r="C1957" t="s">
        <v>3412</v>
      </c>
      <c r="D1957" t="s">
        <v>868</v>
      </c>
      <c r="E1957" t="s">
        <v>218</v>
      </c>
      <c r="F1957">
        <v>63</v>
      </c>
      <c r="G1957" t="s">
        <v>11</v>
      </c>
      <c r="H1957" t="s">
        <v>12</v>
      </c>
      <c r="I1957" t="s">
        <v>45</v>
      </c>
      <c r="J1957" t="s">
        <v>46</v>
      </c>
      <c r="K1957" t="s">
        <v>43</v>
      </c>
      <c r="L1957">
        <v>5</v>
      </c>
      <c r="M1957" s="12">
        <v>11999</v>
      </c>
      <c r="N1957" s="12">
        <v>8999.25</v>
      </c>
      <c r="O1957">
        <v>8</v>
      </c>
      <c r="P1957" s="12">
        <v>55195.4</v>
      </c>
      <c r="Q1957" s="12">
        <v>44996.25</v>
      </c>
      <c r="R1957" s="12">
        <v>10199.150000000001</v>
      </c>
      <c r="S1957" t="s">
        <v>1249</v>
      </c>
      <c r="T1957" t="s">
        <v>110</v>
      </c>
      <c r="U1957" t="s">
        <v>1199</v>
      </c>
    </row>
    <row r="1958" spans="1:21" x14ac:dyDescent="0.25">
      <c r="A1958" t="s">
        <v>3973</v>
      </c>
      <c r="B1958" s="8">
        <v>45972</v>
      </c>
      <c r="C1958" t="s">
        <v>2799</v>
      </c>
      <c r="D1958" t="s">
        <v>1101</v>
      </c>
      <c r="E1958" t="s">
        <v>198</v>
      </c>
      <c r="F1958">
        <v>37</v>
      </c>
      <c r="G1958" t="s">
        <v>17</v>
      </c>
      <c r="H1958" t="s">
        <v>15</v>
      </c>
      <c r="I1958" t="s">
        <v>30</v>
      </c>
      <c r="J1958" t="s">
        <v>41</v>
      </c>
      <c r="K1958" t="s">
        <v>22</v>
      </c>
      <c r="L1958">
        <v>1</v>
      </c>
      <c r="M1958" s="12">
        <v>13749</v>
      </c>
      <c r="N1958" s="12">
        <v>10999.2</v>
      </c>
      <c r="O1958">
        <v>13</v>
      </c>
      <c r="P1958" s="12">
        <v>11961.63</v>
      </c>
      <c r="Q1958" s="12">
        <v>10999.2</v>
      </c>
      <c r="R1958" s="12">
        <v>962.42999999999847</v>
      </c>
      <c r="S1958" t="s">
        <v>113</v>
      </c>
      <c r="T1958" t="s">
        <v>107</v>
      </c>
      <c r="U1958" t="s">
        <v>1198</v>
      </c>
    </row>
    <row r="1959" spans="1:21" x14ac:dyDescent="0.25">
      <c r="A1959" t="s">
        <v>3974</v>
      </c>
      <c r="B1959" s="8">
        <v>45901</v>
      </c>
      <c r="C1959" t="s">
        <v>1805</v>
      </c>
      <c r="D1959" t="s">
        <v>1042</v>
      </c>
      <c r="E1959" t="s">
        <v>218</v>
      </c>
      <c r="F1959">
        <v>64</v>
      </c>
      <c r="G1959" t="s">
        <v>5</v>
      </c>
      <c r="H1959" t="s">
        <v>3</v>
      </c>
      <c r="I1959" t="s">
        <v>57</v>
      </c>
      <c r="J1959" t="s">
        <v>67</v>
      </c>
      <c r="K1959" t="s">
        <v>64</v>
      </c>
      <c r="L1959">
        <v>3</v>
      </c>
      <c r="M1959" s="12">
        <v>150</v>
      </c>
      <c r="N1959" s="12">
        <v>97.5</v>
      </c>
      <c r="O1959">
        <v>5</v>
      </c>
      <c r="P1959" s="12">
        <v>427.5</v>
      </c>
      <c r="Q1959" s="12">
        <v>292.5</v>
      </c>
      <c r="R1959" s="12">
        <v>135</v>
      </c>
      <c r="S1959" t="s">
        <v>1246</v>
      </c>
      <c r="T1959" t="s">
        <v>107</v>
      </c>
      <c r="U1959" t="s">
        <v>1205</v>
      </c>
    </row>
    <row r="1960" spans="1:21" x14ac:dyDescent="0.25">
      <c r="A1960" t="s">
        <v>3976</v>
      </c>
      <c r="B1960" s="8">
        <v>45960</v>
      </c>
      <c r="C1960" t="s">
        <v>1436</v>
      </c>
      <c r="D1960" t="s">
        <v>1148</v>
      </c>
      <c r="E1960" t="s">
        <v>218</v>
      </c>
      <c r="F1960">
        <v>43</v>
      </c>
      <c r="G1960" t="s">
        <v>289</v>
      </c>
      <c r="H1960" t="s">
        <v>3</v>
      </c>
      <c r="I1960" t="s">
        <v>40</v>
      </c>
      <c r="J1960" t="s">
        <v>39</v>
      </c>
      <c r="K1960" t="s">
        <v>22</v>
      </c>
      <c r="L1960">
        <v>5</v>
      </c>
      <c r="M1960" s="12">
        <v>1100</v>
      </c>
      <c r="N1960" s="12">
        <v>715</v>
      </c>
      <c r="O1960">
        <v>8</v>
      </c>
      <c r="P1960" s="12">
        <v>5060</v>
      </c>
      <c r="Q1960" s="12">
        <v>3575</v>
      </c>
      <c r="R1960" s="12">
        <v>1485</v>
      </c>
      <c r="S1960" t="s">
        <v>113</v>
      </c>
      <c r="T1960" t="s">
        <v>109</v>
      </c>
      <c r="U1960" t="s">
        <v>1203</v>
      </c>
    </row>
    <row r="1961" spans="1:21" x14ac:dyDescent="0.25">
      <c r="A1961" t="s">
        <v>3977</v>
      </c>
      <c r="B1961" s="8">
        <v>45903</v>
      </c>
      <c r="C1961" t="s">
        <v>3143</v>
      </c>
      <c r="D1961" t="s">
        <v>776</v>
      </c>
      <c r="E1961" t="s">
        <v>198</v>
      </c>
      <c r="F1961">
        <v>21</v>
      </c>
      <c r="G1961" t="s">
        <v>4</v>
      </c>
      <c r="H1961" t="s">
        <v>3</v>
      </c>
      <c r="I1961" t="s">
        <v>32</v>
      </c>
      <c r="J1961" t="s">
        <v>29</v>
      </c>
      <c r="K1961" t="s">
        <v>22</v>
      </c>
      <c r="L1961">
        <v>4</v>
      </c>
      <c r="M1961" s="12">
        <v>9500</v>
      </c>
      <c r="N1961" s="12">
        <v>6650</v>
      </c>
      <c r="O1961">
        <v>3</v>
      </c>
      <c r="P1961" s="12">
        <v>36860</v>
      </c>
      <c r="Q1961" s="12">
        <v>26600</v>
      </c>
      <c r="R1961" s="12">
        <v>10260</v>
      </c>
      <c r="S1961" t="s">
        <v>113</v>
      </c>
      <c r="T1961" t="s">
        <v>109</v>
      </c>
      <c r="U1961" t="s">
        <v>1194</v>
      </c>
    </row>
    <row r="1962" spans="1:21" x14ac:dyDescent="0.25">
      <c r="A1962" t="s">
        <v>3978</v>
      </c>
      <c r="B1962" s="8">
        <v>45703</v>
      </c>
      <c r="C1962" t="s">
        <v>2240</v>
      </c>
      <c r="D1962" t="s">
        <v>1096</v>
      </c>
      <c r="E1962" t="s">
        <v>218</v>
      </c>
      <c r="F1962">
        <v>19</v>
      </c>
      <c r="G1962" t="s">
        <v>289</v>
      </c>
      <c r="H1962" t="s">
        <v>3</v>
      </c>
      <c r="I1962" t="s">
        <v>55</v>
      </c>
      <c r="J1962" t="s">
        <v>65</v>
      </c>
      <c r="K1962" t="s">
        <v>64</v>
      </c>
      <c r="L1962">
        <v>2</v>
      </c>
      <c r="M1962" s="12">
        <v>80</v>
      </c>
      <c r="N1962" s="12">
        <v>56</v>
      </c>
      <c r="O1962">
        <v>4</v>
      </c>
      <c r="P1962" s="12">
        <v>153.6</v>
      </c>
      <c r="Q1962" s="12">
        <v>112</v>
      </c>
      <c r="R1962" s="12">
        <v>41.599999999999994</v>
      </c>
      <c r="S1962" t="s">
        <v>1246</v>
      </c>
      <c r="T1962" t="s">
        <v>107</v>
      </c>
      <c r="U1962" t="s">
        <v>1211</v>
      </c>
    </row>
    <row r="1963" spans="1:21" x14ac:dyDescent="0.25">
      <c r="A1963" t="s">
        <v>3979</v>
      </c>
      <c r="B1963" s="8">
        <v>45663</v>
      </c>
      <c r="C1963" t="s">
        <v>1841</v>
      </c>
      <c r="D1963" t="s">
        <v>1140</v>
      </c>
      <c r="E1963" t="s">
        <v>218</v>
      </c>
      <c r="F1963">
        <v>21</v>
      </c>
      <c r="G1963" t="s">
        <v>290</v>
      </c>
      <c r="H1963" t="s">
        <v>3</v>
      </c>
      <c r="I1963" t="s">
        <v>59</v>
      </c>
      <c r="J1963" t="s">
        <v>73</v>
      </c>
      <c r="K1963" t="s">
        <v>64</v>
      </c>
      <c r="L1963">
        <v>3</v>
      </c>
      <c r="M1963" s="12">
        <v>120</v>
      </c>
      <c r="N1963" s="12">
        <v>81.599999999999994</v>
      </c>
      <c r="O1963">
        <v>8</v>
      </c>
      <c r="P1963" s="12">
        <v>331.2</v>
      </c>
      <c r="Q1963" s="12">
        <v>244.79999999999998</v>
      </c>
      <c r="R1963" s="12">
        <v>86.4</v>
      </c>
      <c r="S1963" t="s">
        <v>1246</v>
      </c>
      <c r="T1963" t="s">
        <v>107</v>
      </c>
      <c r="U1963" t="s">
        <v>1196</v>
      </c>
    </row>
    <row r="1964" spans="1:21" x14ac:dyDescent="0.25">
      <c r="A1964" t="s">
        <v>3980</v>
      </c>
      <c r="B1964" s="8">
        <v>45824</v>
      </c>
      <c r="C1964" t="s">
        <v>3643</v>
      </c>
      <c r="D1964" t="s">
        <v>632</v>
      </c>
      <c r="E1964" t="s">
        <v>198</v>
      </c>
      <c r="F1964">
        <v>36</v>
      </c>
      <c r="G1964" t="s">
        <v>289</v>
      </c>
      <c r="H1964" t="s">
        <v>3</v>
      </c>
      <c r="I1964" t="s">
        <v>61</v>
      </c>
      <c r="J1964" t="s">
        <v>146</v>
      </c>
      <c r="K1964" t="s">
        <v>64</v>
      </c>
      <c r="L1964">
        <v>3</v>
      </c>
      <c r="M1964" s="12">
        <v>250</v>
      </c>
      <c r="N1964" s="12">
        <v>155</v>
      </c>
      <c r="O1964">
        <v>10</v>
      </c>
      <c r="P1964" s="12">
        <v>675</v>
      </c>
      <c r="Q1964" s="12">
        <v>465</v>
      </c>
      <c r="R1964" s="12">
        <v>210</v>
      </c>
      <c r="S1964" t="s">
        <v>1246</v>
      </c>
      <c r="T1964" t="s">
        <v>109</v>
      </c>
      <c r="U1964" t="s">
        <v>1209</v>
      </c>
    </row>
    <row r="1965" spans="1:21" x14ac:dyDescent="0.25">
      <c r="A1965" t="s">
        <v>3981</v>
      </c>
      <c r="B1965" s="8">
        <v>45678</v>
      </c>
      <c r="C1965" t="s">
        <v>1561</v>
      </c>
      <c r="D1965" t="s">
        <v>729</v>
      </c>
      <c r="E1965" t="s">
        <v>218</v>
      </c>
      <c r="F1965">
        <v>57</v>
      </c>
      <c r="G1965" t="s">
        <v>10</v>
      </c>
      <c r="H1965" t="s">
        <v>8</v>
      </c>
      <c r="I1965" t="s">
        <v>63</v>
      </c>
      <c r="J1965" t="s">
        <v>77</v>
      </c>
      <c r="K1965" t="s">
        <v>64</v>
      </c>
      <c r="L1965">
        <v>5</v>
      </c>
      <c r="M1965" s="12">
        <v>650</v>
      </c>
      <c r="N1965" s="12">
        <v>468</v>
      </c>
      <c r="O1965">
        <v>9</v>
      </c>
      <c r="P1965" s="12">
        <v>2957.5</v>
      </c>
      <c r="Q1965" s="12">
        <v>2340</v>
      </c>
      <c r="R1965" s="12">
        <v>617.5</v>
      </c>
      <c r="S1965" t="s">
        <v>1246</v>
      </c>
      <c r="T1965" t="s">
        <v>109</v>
      </c>
      <c r="U1965" t="s">
        <v>1205</v>
      </c>
    </row>
    <row r="1966" spans="1:21" x14ac:dyDescent="0.25">
      <c r="A1966" t="s">
        <v>3982</v>
      </c>
      <c r="B1966" s="8">
        <v>45803</v>
      </c>
      <c r="C1966" t="s">
        <v>2013</v>
      </c>
      <c r="D1966" t="s">
        <v>500</v>
      </c>
      <c r="E1966" t="s">
        <v>198</v>
      </c>
      <c r="F1966">
        <v>20</v>
      </c>
      <c r="G1966" t="s">
        <v>10</v>
      </c>
      <c r="H1966" t="s">
        <v>8</v>
      </c>
      <c r="I1966" t="s">
        <v>30</v>
      </c>
      <c r="J1966" t="s">
        <v>41</v>
      </c>
      <c r="K1966" t="s">
        <v>22</v>
      </c>
      <c r="L1966">
        <v>2</v>
      </c>
      <c r="M1966" s="12">
        <v>13749</v>
      </c>
      <c r="N1966" s="12">
        <v>10999.2</v>
      </c>
      <c r="O1966">
        <v>6</v>
      </c>
      <c r="P1966" s="12">
        <v>25848.12</v>
      </c>
      <c r="Q1966" s="12">
        <v>21998.400000000001</v>
      </c>
      <c r="R1966" s="12">
        <v>3849.7199999999975</v>
      </c>
      <c r="S1966" t="s">
        <v>1246</v>
      </c>
      <c r="T1966" t="s">
        <v>107</v>
      </c>
      <c r="U1966" t="s">
        <v>1198</v>
      </c>
    </row>
    <row r="1967" spans="1:21" x14ac:dyDescent="0.25">
      <c r="A1967" t="s">
        <v>3984</v>
      </c>
      <c r="B1967" s="8">
        <v>45839</v>
      </c>
      <c r="C1967" t="s">
        <v>2784</v>
      </c>
      <c r="D1967" t="s">
        <v>645</v>
      </c>
      <c r="E1967" t="s">
        <v>198</v>
      </c>
      <c r="F1967">
        <v>50</v>
      </c>
      <c r="G1967" t="s">
        <v>17</v>
      </c>
      <c r="H1967" t="s">
        <v>15</v>
      </c>
      <c r="I1967" t="s">
        <v>61</v>
      </c>
      <c r="J1967" t="s">
        <v>146</v>
      </c>
      <c r="K1967" t="s">
        <v>64</v>
      </c>
      <c r="L1967">
        <v>3</v>
      </c>
      <c r="M1967" s="12">
        <v>250</v>
      </c>
      <c r="N1967" s="12">
        <v>155</v>
      </c>
      <c r="O1967">
        <v>5</v>
      </c>
      <c r="P1967" s="12">
        <v>712.5</v>
      </c>
      <c r="Q1967" s="12">
        <v>465</v>
      </c>
      <c r="R1967" s="12">
        <v>247.5</v>
      </c>
      <c r="S1967" t="s">
        <v>1246</v>
      </c>
      <c r="T1967" t="s">
        <v>107</v>
      </c>
      <c r="U1967" t="s">
        <v>1196</v>
      </c>
    </row>
    <row r="1968" spans="1:21" x14ac:dyDescent="0.25">
      <c r="A1968" t="s">
        <v>3985</v>
      </c>
      <c r="B1968" s="8">
        <v>45816</v>
      </c>
      <c r="C1968" t="s">
        <v>1665</v>
      </c>
      <c r="D1968" t="s">
        <v>921</v>
      </c>
      <c r="E1968" t="s">
        <v>218</v>
      </c>
      <c r="F1968">
        <v>53</v>
      </c>
      <c r="G1968" t="s">
        <v>16</v>
      </c>
      <c r="H1968" t="s">
        <v>15</v>
      </c>
      <c r="I1968" t="s">
        <v>34</v>
      </c>
      <c r="J1968" t="s">
        <v>137</v>
      </c>
      <c r="K1968" t="s">
        <v>22</v>
      </c>
      <c r="L1968">
        <v>4</v>
      </c>
      <c r="M1968" s="12">
        <v>6900</v>
      </c>
      <c r="N1968" s="12">
        <v>5727</v>
      </c>
      <c r="O1968">
        <v>7</v>
      </c>
      <c r="P1968" s="12">
        <v>25668</v>
      </c>
      <c r="Q1968" s="12">
        <v>22908</v>
      </c>
      <c r="R1968" s="12">
        <v>2760</v>
      </c>
      <c r="S1968" t="s">
        <v>1246</v>
      </c>
      <c r="T1968" t="s">
        <v>110</v>
      </c>
      <c r="U1968" t="s">
        <v>1205</v>
      </c>
    </row>
    <row r="1969" spans="1:21" x14ac:dyDescent="0.25">
      <c r="A1969" t="s">
        <v>3986</v>
      </c>
      <c r="B1969" s="8">
        <v>45922</v>
      </c>
      <c r="C1969" t="s">
        <v>2541</v>
      </c>
      <c r="D1969" t="s">
        <v>453</v>
      </c>
      <c r="E1969" t="s">
        <v>198</v>
      </c>
      <c r="F1969">
        <v>51</v>
      </c>
      <c r="G1969" t="s">
        <v>7</v>
      </c>
      <c r="H1969" t="s">
        <v>8</v>
      </c>
      <c r="I1969" t="s">
        <v>47</v>
      </c>
      <c r="J1969" t="s">
        <v>52</v>
      </c>
      <c r="K1969" t="s">
        <v>43</v>
      </c>
      <c r="L1969">
        <v>1</v>
      </c>
      <c r="M1969" s="12">
        <v>42999</v>
      </c>
      <c r="N1969" s="12">
        <v>33539.22</v>
      </c>
      <c r="O1969">
        <v>9</v>
      </c>
      <c r="P1969" s="12">
        <v>39129.090000000004</v>
      </c>
      <c r="Q1969" s="12">
        <v>33539.22</v>
      </c>
      <c r="R1969" s="12">
        <v>5589.8700000000026</v>
      </c>
      <c r="S1969" t="s">
        <v>1246</v>
      </c>
      <c r="T1969" t="s">
        <v>109</v>
      </c>
      <c r="U1969" t="s">
        <v>1207</v>
      </c>
    </row>
    <row r="1970" spans="1:21" x14ac:dyDescent="0.25">
      <c r="A1970" t="s">
        <v>3987</v>
      </c>
      <c r="B1970" s="8">
        <v>45820</v>
      </c>
      <c r="C1970" t="s">
        <v>3050</v>
      </c>
      <c r="D1970" t="s">
        <v>763</v>
      </c>
      <c r="E1970" t="s">
        <v>198</v>
      </c>
      <c r="F1970">
        <v>29</v>
      </c>
      <c r="G1970" t="s">
        <v>11</v>
      </c>
      <c r="H1970" t="s">
        <v>12</v>
      </c>
      <c r="I1970" t="s">
        <v>21</v>
      </c>
      <c r="J1970" t="s">
        <v>23</v>
      </c>
      <c r="K1970" t="s">
        <v>22</v>
      </c>
      <c r="L1970">
        <v>5</v>
      </c>
      <c r="M1970" s="12">
        <v>54999</v>
      </c>
      <c r="N1970" s="12">
        <v>45099.18</v>
      </c>
      <c r="O1970">
        <v>6</v>
      </c>
      <c r="P1970" s="12">
        <v>258495.3</v>
      </c>
      <c r="Q1970" s="12">
        <v>225495.9</v>
      </c>
      <c r="R1970" s="12">
        <v>32999.399999999994</v>
      </c>
      <c r="S1970" t="s">
        <v>113</v>
      </c>
      <c r="T1970" t="s">
        <v>111</v>
      </c>
      <c r="U1970" t="s">
        <v>1201</v>
      </c>
    </row>
    <row r="1971" spans="1:21" x14ac:dyDescent="0.25">
      <c r="A1971" t="s">
        <v>3988</v>
      </c>
      <c r="B1971" s="8">
        <v>45912</v>
      </c>
      <c r="C1971" t="s">
        <v>5090</v>
      </c>
      <c r="D1971" t="s">
        <v>836</v>
      </c>
      <c r="E1971" t="s">
        <v>218</v>
      </c>
      <c r="F1971">
        <v>58</v>
      </c>
      <c r="G1971" t="s">
        <v>11</v>
      </c>
      <c r="H1971" t="s">
        <v>12</v>
      </c>
      <c r="I1971" t="s">
        <v>55</v>
      </c>
      <c r="J1971" t="s">
        <v>65</v>
      </c>
      <c r="K1971" t="s">
        <v>64</v>
      </c>
      <c r="L1971">
        <v>1</v>
      </c>
      <c r="M1971" s="12">
        <v>80</v>
      </c>
      <c r="N1971" s="12">
        <v>56</v>
      </c>
      <c r="O1971">
        <v>5</v>
      </c>
      <c r="P1971" s="12">
        <v>76</v>
      </c>
      <c r="Q1971" s="12">
        <v>56</v>
      </c>
      <c r="R1971" s="12">
        <v>20</v>
      </c>
      <c r="S1971" t="s">
        <v>1246</v>
      </c>
      <c r="T1971" t="s">
        <v>107</v>
      </c>
      <c r="U1971" t="s">
        <v>1203</v>
      </c>
    </row>
    <row r="1972" spans="1:21" x14ac:dyDescent="0.25">
      <c r="A1972" t="s">
        <v>3989</v>
      </c>
      <c r="B1972" s="8">
        <v>45832</v>
      </c>
      <c r="C1972" t="s">
        <v>2050</v>
      </c>
      <c r="D1972" t="s">
        <v>842</v>
      </c>
      <c r="E1972" t="s">
        <v>198</v>
      </c>
      <c r="F1972">
        <v>39</v>
      </c>
      <c r="G1972" t="s">
        <v>7</v>
      </c>
      <c r="H1972" t="s">
        <v>8</v>
      </c>
      <c r="I1972" t="s">
        <v>47</v>
      </c>
      <c r="J1972" t="s">
        <v>52</v>
      </c>
      <c r="K1972" t="s">
        <v>43</v>
      </c>
      <c r="L1972">
        <v>1</v>
      </c>
      <c r="M1972" s="12">
        <v>42999</v>
      </c>
      <c r="N1972" s="12">
        <v>33539.22</v>
      </c>
      <c r="O1972">
        <v>2</v>
      </c>
      <c r="P1972" s="12">
        <v>42139.02</v>
      </c>
      <c r="Q1972" s="12">
        <v>33539.22</v>
      </c>
      <c r="R1972" s="12">
        <v>8599.7999999999956</v>
      </c>
      <c r="S1972" t="s">
        <v>1246</v>
      </c>
      <c r="T1972" t="s">
        <v>110</v>
      </c>
      <c r="U1972" t="s">
        <v>1205</v>
      </c>
    </row>
    <row r="1973" spans="1:21" x14ac:dyDescent="0.25">
      <c r="A1973" t="s">
        <v>3990</v>
      </c>
      <c r="B1973" s="8">
        <v>45764</v>
      </c>
      <c r="C1973" t="s">
        <v>1899</v>
      </c>
      <c r="D1973" t="s">
        <v>587</v>
      </c>
      <c r="E1973" t="s">
        <v>218</v>
      </c>
      <c r="F1973">
        <v>39</v>
      </c>
      <c r="G1973" t="s">
        <v>11</v>
      </c>
      <c r="H1973" t="s">
        <v>12</v>
      </c>
      <c r="I1973" t="s">
        <v>53</v>
      </c>
      <c r="J1973" t="s">
        <v>48</v>
      </c>
      <c r="K1973" t="s">
        <v>43</v>
      </c>
      <c r="L1973">
        <v>2</v>
      </c>
      <c r="M1973" s="12">
        <v>6499</v>
      </c>
      <c r="N1973" s="12">
        <v>4549.2999999999993</v>
      </c>
      <c r="O1973">
        <v>8</v>
      </c>
      <c r="P1973" s="12">
        <v>11958.16</v>
      </c>
      <c r="Q1973" s="12">
        <v>9098.5999999999985</v>
      </c>
      <c r="R1973" s="12">
        <v>2859.5600000000013</v>
      </c>
      <c r="S1973" t="s">
        <v>1246</v>
      </c>
      <c r="T1973" t="s">
        <v>108</v>
      </c>
      <c r="U1973" t="s">
        <v>1196</v>
      </c>
    </row>
    <row r="1974" spans="1:21" x14ac:dyDescent="0.25">
      <c r="A1974" t="s">
        <v>3991</v>
      </c>
      <c r="B1974" s="8">
        <v>45699</v>
      </c>
      <c r="C1974" t="s">
        <v>3103</v>
      </c>
      <c r="D1974" t="s">
        <v>1124</v>
      </c>
      <c r="E1974" t="s">
        <v>218</v>
      </c>
      <c r="F1974">
        <v>56</v>
      </c>
      <c r="G1974" t="s">
        <v>10</v>
      </c>
      <c r="H1974" t="s">
        <v>8</v>
      </c>
      <c r="I1974" t="s">
        <v>63</v>
      </c>
      <c r="J1974" t="s">
        <v>77</v>
      </c>
      <c r="K1974" t="s">
        <v>64</v>
      </c>
      <c r="L1974">
        <v>4</v>
      </c>
      <c r="M1974" s="12">
        <v>650</v>
      </c>
      <c r="N1974" s="12">
        <v>468</v>
      </c>
      <c r="O1974">
        <v>1</v>
      </c>
      <c r="P1974" s="12">
        <v>2574</v>
      </c>
      <c r="Q1974" s="12">
        <v>1872</v>
      </c>
      <c r="R1974" s="12">
        <v>702</v>
      </c>
      <c r="S1974" t="s">
        <v>1246</v>
      </c>
      <c r="T1974" t="s">
        <v>108</v>
      </c>
      <c r="U1974" t="s">
        <v>1194</v>
      </c>
    </row>
    <row r="1975" spans="1:21" x14ac:dyDescent="0.25">
      <c r="A1975" t="s">
        <v>3992</v>
      </c>
      <c r="B1975" s="8">
        <v>46010</v>
      </c>
      <c r="C1975" t="s">
        <v>2441</v>
      </c>
      <c r="D1975" t="s">
        <v>735</v>
      </c>
      <c r="E1975" t="s">
        <v>198</v>
      </c>
      <c r="F1975">
        <v>36</v>
      </c>
      <c r="G1975" t="s">
        <v>14</v>
      </c>
      <c r="H1975" t="s">
        <v>15</v>
      </c>
      <c r="I1975" t="s">
        <v>30</v>
      </c>
      <c r="J1975" t="s">
        <v>41</v>
      </c>
      <c r="K1975" t="s">
        <v>22</v>
      </c>
      <c r="L1975">
        <v>4</v>
      </c>
      <c r="M1975" s="12">
        <v>13749</v>
      </c>
      <c r="N1975" s="12">
        <v>10999.2</v>
      </c>
      <c r="O1975">
        <v>10</v>
      </c>
      <c r="P1975" s="12">
        <v>49496.4</v>
      </c>
      <c r="Q1975" s="12">
        <v>43996.800000000003</v>
      </c>
      <c r="R1975" s="12">
        <v>5499.5999999999985</v>
      </c>
      <c r="S1975" t="s">
        <v>1246</v>
      </c>
      <c r="T1975" t="s">
        <v>108</v>
      </c>
      <c r="U1975" t="s">
        <v>1209</v>
      </c>
    </row>
    <row r="1976" spans="1:21" x14ac:dyDescent="0.25">
      <c r="A1976" t="s">
        <v>3994</v>
      </c>
      <c r="B1976" s="8">
        <v>45780</v>
      </c>
      <c r="C1976" t="s">
        <v>2627</v>
      </c>
      <c r="D1976" t="s">
        <v>970</v>
      </c>
      <c r="E1976" t="s">
        <v>198</v>
      </c>
      <c r="F1976">
        <v>58</v>
      </c>
      <c r="G1976" t="s">
        <v>16</v>
      </c>
      <c r="H1976" t="s">
        <v>15</v>
      </c>
      <c r="I1976" t="s">
        <v>40</v>
      </c>
      <c r="J1976" t="s">
        <v>39</v>
      </c>
      <c r="K1976" t="s">
        <v>22</v>
      </c>
      <c r="L1976">
        <v>1</v>
      </c>
      <c r="M1976" s="12">
        <v>1100</v>
      </c>
      <c r="N1976" s="12">
        <v>715</v>
      </c>
      <c r="O1976">
        <v>8</v>
      </c>
      <c r="P1976" s="12">
        <v>1012</v>
      </c>
      <c r="Q1976" s="12">
        <v>715</v>
      </c>
      <c r="R1976" s="12">
        <v>297</v>
      </c>
      <c r="S1976" t="s">
        <v>113</v>
      </c>
      <c r="T1976" t="s">
        <v>108</v>
      </c>
      <c r="U1976" t="s">
        <v>1196</v>
      </c>
    </row>
    <row r="1977" spans="1:21" x14ac:dyDescent="0.25">
      <c r="A1977" t="s">
        <v>3995</v>
      </c>
      <c r="B1977" s="8">
        <v>45731</v>
      </c>
      <c r="C1977" t="s">
        <v>3189</v>
      </c>
      <c r="D1977" t="s">
        <v>384</v>
      </c>
      <c r="E1977" t="s">
        <v>218</v>
      </c>
      <c r="F1977">
        <v>27</v>
      </c>
      <c r="G1977" t="s">
        <v>4</v>
      </c>
      <c r="H1977" t="s">
        <v>3</v>
      </c>
      <c r="I1977" t="s">
        <v>59</v>
      </c>
      <c r="J1977" t="s">
        <v>73</v>
      </c>
      <c r="K1977" t="s">
        <v>64</v>
      </c>
      <c r="L1977">
        <v>2</v>
      </c>
      <c r="M1977" s="12">
        <v>120</v>
      </c>
      <c r="N1977" s="12">
        <v>81.599999999999994</v>
      </c>
      <c r="O1977">
        <v>4</v>
      </c>
      <c r="P1977" s="12">
        <v>230.39999999999998</v>
      </c>
      <c r="Q1977" s="12">
        <v>163.19999999999999</v>
      </c>
      <c r="R1977" s="12">
        <v>67.199999999999989</v>
      </c>
      <c r="S1977" t="s">
        <v>1246</v>
      </c>
      <c r="T1977" t="s">
        <v>108</v>
      </c>
      <c r="U1977" t="s">
        <v>1211</v>
      </c>
    </row>
    <row r="1978" spans="1:21" x14ac:dyDescent="0.25">
      <c r="A1978" t="s">
        <v>3996</v>
      </c>
      <c r="B1978" s="8">
        <v>45966</v>
      </c>
      <c r="C1978" t="s">
        <v>1811</v>
      </c>
      <c r="D1978" t="s">
        <v>945</v>
      </c>
      <c r="E1978" t="s">
        <v>198</v>
      </c>
      <c r="F1978">
        <v>60</v>
      </c>
      <c r="G1978" t="s">
        <v>5</v>
      </c>
      <c r="H1978" t="s">
        <v>3</v>
      </c>
      <c r="I1978" t="s">
        <v>55</v>
      </c>
      <c r="J1978" t="s">
        <v>65</v>
      </c>
      <c r="K1978" t="s">
        <v>64</v>
      </c>
      <c r="L1978">
        <v>5</v>
      </c>
      <c r="M1978" s="12">
        <v>80</v>
      </c>
      <c r="N1978" s="12">
        <v>56</v>
      </c>
      <c r="O1978">
        <v>6</v>
      </c>
      <c r="P1978" s="12">
        <v>376</v>
      </c>
      <c r="Q1978" s="12">
        <v>280</v>
      </c>
      <c r="R1978" s="12">
        <v>96</v>
      </c>
      <c r="S1978" t="s">
        <v>113</v>
      </c>
      <c r="T1978" t="s">
        <v>107</v>
      </c>
      <c r="U1978" t="s">
        <v>1201</v>
      </c>
    </row>
    <row r="1979" spans="1:21" x14ac:dyDescent="0.25">
      <c r="A1979" t="s">
        <v>3997</v>
      </c>
      <c r="B1979" s="8">
        <v>45686</v>
      </c>
      <c r="C1979" t="s">
        <v>1261</v>
      </c>
      <c r="D1979" t="s">
        <v>625</v>
      </c>
      <c r="E1979" t="s">
        <v>218</v>
      </c>
      <c r="F1979">
        <v>38</v>
      </c>
      <c r="G1979" t="s">
        <v>4</v>
      </c>
      <c r="H1979" t="s">
        <v>3</v>
      </c>
      <c r="I1979" t="s">
        <v>61</v>
      </c>
      <c r="J1979" t="s">
        <v>146</v>
      </c>
      <c r="K1979" t="s">
        <v>64</v>
      </c>
      <c r="L1979">
        <v>4</v>
      </c>
      <c r="M1979" s="12">
        <v>250</v>
      </c>
      <c r="N1979" s="12">
        <v>155</v>
      </c>
      <c r="O1979">
        <v>12</v>
      </c>
      <c r="P1979" s="12">
        <v>880</v>
      </c>
      <c r="Q1979" s="12">
        <v>620</v>
      </c>
      <c r="R1979" s="12">
        <v>260</v>
      </c>
      <c r="S1979" t="s">
        <v>1249</v>
      </c>
      <c r="T1979" t="s">
        <v>109</v>
      </c>
      <c r="U1979" t="s">
        <v>1201</v>
      </c>
    </row>
    <row r="1980" spans="1:21" x14ac:dyDescent="0.25">
      <c r="A1980" t="s">
        <v>3998</v>
      </c>
      <c r="B1980" s="8">
        <v>45870</v>
      </c>
      <c r="C1980" t="s">
        <v>3201</v>
      </c>
      <c r="D1980" t="s">
        <v>769</v>
      </c>
      <c r="E1980" t="s">
        <v>218</v>
      </c>
      <c r="F1980">
        <v>49</v>
      </c>
      <c r="G1980" t="s">
        <v>10</v>
      </c>
      <c r="H1980" t="s">
        <v>8</v>
      </c>
      <c r="I1980" t="s">
        <v>28</v>
      </c>
      <c r="J1980" t="s">
        <v>35</v>
      </c>
      <c r="K1980" t="s">
        <v>22</v>
      </c>
      <c r="L1980">
        <v>3</v>
      </c>
      <c r="M1980" s="12">
        <v>16499</v>
      </c>
      <c r="N1980" s="12">
        <v>14519.12</v>
      </c>
      <c r="O1980">
        <v>7</v>
      </c>
      <c r="P1980" s="12">
        <v>46032.21</v>
      </c>
      <c r="Q1980" s="12">
        <v>43557.36</v>
      </c>
      <c r="R1980" s="12">
        <v>2474.8499999999985</v>
      </c>
      <c r="S1980" t="s">
        <v>1246</v>
      </c>
      <c r="T1980" t="s">
        <v>107</v>
      </c>
      <c r="U1980" t="s">
        <v>1196</v>
      </c>
    </row>
    <row r="1981" spans="1:21" x14ac:dyDescent="0.25">
      <c r="A1981" t="s">
        <v>3999</v>
      </c>
      <c r="B1981" s="8">
        <v>45715</v>
      </c>
      <c r="C1981" t="s">
        <v>2876</v>
      </c>
      <c r="D1981" t="s">
        <v>598</v>
      </c>
      <c r="E1981" t="s">
        <v>218</v>
      </c>
      <c r="F1981">
        <v>42</v>
      </c>
      <c r="G1981" t="s">
        <v>290</v>
      </c>
      <c r="H1981" t="s">
        <v>3</v>
      </c>
      <c r="I1981" t="s">
        <v>28</v>
      </c>
      <c r="J1981" t="s">
        <v>35</v>
      </c>
      <c r="K1981" t="s">
        <v>22</v>
      </c>
      <c r="L1981">
        <v>2</v>
      </c>
      <c r="M1981" s="12">
        <v>16499</v>
      </c>
      <c r="N1981" s="12">
        <v>14519.12</v>
      </c>
      <c r="O1981">
        <v>8</v>
      </c>
      <c r="P1981" s="12">
        <v>30358.16</v>
      </c>
      <c r="Q1981" s="12">
        <v>29038.240000000002</v>
      </c>
      <c r="R1981" s="12">
        <v>1319.9199999999983</v>
      </c>
      <c r="S1981" t="s">
        <v>1246</v>
      </c>
      <c r="T1981" t="s">
        <v>108</v>
      </c>
      <c r="U1981" t="s">
        <v>1201</v>
      </c>
    </row>
    <row r="1982" spans="1:21" x14ac:dyDescent="0.25">
      <c r="A1982" t="s">
        <v>4000</v>
      </c>
      <c r="B1982" s="8">
        <v>45842</v>
      </c>
      <c r="C1982" t="s">
        <v>1690</v>
      </c>
      <c r="D1982" t="s">
        <v>1006</v>
      </c>
      <c r="E1982" t="s">
        <v>218</v>
      </c>
      <c r="F1982">
        <v>44</v>
      </c>
      <c r="G1982" t="s">
        <v>7</v>
      </c>
      <c r="H1982" t="s">
        <v>8</v>
      </c>
      <c r="I1982" t="s">
        <v>57</v>
      </c>
      <c r="J1982" t="s">
        <v>67</v>
      </c>
      <c r="K1982" t="s">
        <v>64</v>
      </c>
      <c r="L1982">
        <v>4</v>
      </c>
      <c r="M1982" s="12">
        <v>150</v>
      </c>
      <c r="N1982" s="12">
        <v>97.5</v>
      </c>
      <c r="O1982">
        <v>0</v>
      </c>
      <c r="P1982" s="12">
        <v>600</v>
      </c>
      <c r="Q1982" s="12">
        <v>390</v>
      </c>
      <c r="R1982" s="12">
        <v>210</v>
      </c>
      <c r="S1982" t="s">
        <v>1246</v>
      </c>
      <c r="T1982" t="s">
        <v>109</v>
      </c>
      <c r="U1982" t="s">
        <v>1203</v>
      </c>
    </row>
    <row r="1983" spans="1:21" x14ac:dyDescent="0.25">
      <c r="A1983" t="s">
        <v>4002</v>
      </c>
      <c r="B1983" s="8">
        <v>45881</v>
      </c>
      <c r="C1983" t="s">
        <v>5001</v>
      </c>
      <c r="D1983" t="s">
        <v>772</v>
      </c>
      <c r="E1983" t="s">
        <v>198</v>
      </c>
      <c r="F1983">
        <v>34</v>
      </c>
      <c r="G1983" t="s">
        <v>2</v>
      </c>
      <c r="H1983" t="s">
        <v>3</v>
      </c>
      <c r="I1983" t="s">
        <v>45</v>
      </c>
      <c r="J1983" t="s">
        <v>46</v>
      </c>
      <c r="K1983" t="s">
        <v>43</v>
      </c>
      <c r="L1983">
        <v>3</v>
      </c>
      <c r="M1983" s="12">
        <v>11999</v>
      </c>
      <c r="N1983" s="12">
        <v>8999.25</v>
      </c>
      <c r="O1983">
        <v>10</v>
      </c>
      <c r="P1983" s="12">
        <v>32397.3</v>
      </c>
      <c r="Q1983" s="12">
        <v>26997.75</v>
      </c>
      <c r="R1983" s="12">
        <v>5399.5499999999993</v>
      </c>
      <c r="S1983" t="s">
        <v>113</v>
      </c>
      <c r="T1983" t="s">
        <v>107</v>
      </c>
      <c r="U1983" t="s">
        <v>1203</v>
      </c>
    </row>
    <row r="1984" spans="1:21" x14ac:dyDescent="0.25">
      <c r="A1984" t="s">
        <v>4003</v>
      </c>
      <c r="B1984" s="8">
        <v>45983</v>
      </c>
      <c r="C1984" t="s">
        <v>2472</v>
      </c>
      <c r="D1984" t="s">
        <v>1128</v>
      </c>
      <c r="E1984" t="s">
        <v>218</v>
      </c>
      <c r="F1984">
        <v>34</v>
      </c>
      <c r="G1984" t="s">
        <v>17</v>
      </c>
      <c r="H1984" t="s">
        <v>15</v>
      </c>
      <c r="I1984" t="s">
        <v>51</v>
      </c>
      <c r="J1984" t="s">
        <v>54</v>
      </c>
      <c r="K1984" t="s">
        <v>43</v>
      </c>
      <c r="L1984">
        <v>5</v>
      </c>
      <c r="M1984" s="12">
        <v>27499</v>
      </c>
      <c r="N1984" s="12">
        <v>21724.210000000003</v>
      </c>
      <c r="O1984">
        <v>13</v>
      </c>
      <c r="P1984" s="12">
        <v>119620.65</v>
      </c>
      <c r="Q1984" s="12">
        <v>108621.05000000002</v>
      </c>
      <c r="R1984" s="12">
        <v>10999.599999999977</v>
      </c>
      <c r="S1984" t="s">
        <v>1246</v>
      </c>
      <c r="T1984" t="s">
        <v>107</v>
      </c>
      <c r="U1984" t="s">
        <v>1203</v>
      </c>
    </row>
    <row r="1985" spans="1:21" x14ac:dyDescent="0.25">
      <c r="A1985" t="s">
        <v>4004</v>
      </c>
      <c r="B1985" s="8">
        <v>45698</v>
      </c>
      <c r="C1985" t="s">
        <v>1966</v>
      </c>
      <c r="D1985" t="s">
        <v>408</v>
      </c>
      <c r="E1985" t="s">
        <v>198</v>
      </c>
      <c r="F1985">
        <v>42</v>
      </c>
      <c r="G1985" t="s">
        <v>16</v>
      </c>
      <c r="H1985" t="s">
        <v>15</v>
      </c>
      <c r="I1985" t="s">
        <v>24</v>
      </c>
      <c r="J1985" t="s">
        <v>25</v>
      </c>
      <c r="K1985" t="s">
        <v>22</v>
      </c>
      <c r="L1985">
        <v>3</v>
      </c>
      <c r="M1985" s="12">
        <v>35800</v>
      </c>
      <c r="N1985" s="12">
        <v>28640</v>
      </c>
      <c r="O1985">
        <v>8</v>
      </c>
      <c r="P1985" s="12">
        <v>98808</v>
      </c>
      <c r="Q1985" s="12">
        <v>85920</v>
      </c>
      <c r="R1985" s="12">
        <v>12888</v>
      </c>
      <c r="S1985" t="s">
        <v>1249</v>
      </c>
      <c r="T1985" t="s">
        <v>109</v>
      </c>
      <c r="U1985" t="s">
        <v>1209</v>
      </c>
    </row>
    <row r="1986" spans="1:21" x14ac:dyDescent="0.25">
      <c r="A1986" t="s">
        <v>4005</v>
      </c>
      <c r="B1986" s="8">
        <v>45678</v>
      </c>
      <c r="C1986" t="s">
        <v>4015</v>
      </c>
      <c r="D1986" t="s">
        <v>406</v>
      </c>
      <c r="E1986" t="s">
        <v>218</v>
      </c>
      <c r="F1986">
        <v>21</v>
      </c>
      <c r="G1986" t="s">
        <v>11</v>
      </c>
      <c r="H1986" t="s">
        <v>12</v>
      </c>
      <c r="I1986" t="s">
        <v>38</v>
      </c>
      <c r="J1986" t="s">
        <v>37</v>
      </c>
      <c r="K1986" t="s">
        <v>22</v>
      </c>
      <c r="L1986">
        <v>3</v>
      </c>
      <c r="M1986" s="12">
        <v>1650</v>
      </c>
      <c r="N1986" s="12">
        <v>990</v>
      </c>
      <c r="O1986">
        <v>5</v>
      </c>
      <c r="P1986" s="12">
        <v>4702.5</v>
      </c>
      <c r="Q1986" s="12">
        <v>2970</v>
      </c>
      <c r="R1986" s="12">
        <v>1732.5</v>
      </c>
      <c r="S1986" t="s">
        <v>1246</v>
      </c>
      <c r="T1986" t="s">
        <v>107</v>
      </c>
      <c r="U1986" t="s">
        <v>1207</v>
      </c>
    </row>
    <row r="1987" spans="1:21" x14ac:dyDescent="0.25">
      <c r="A1987" t="s">
        <v>4006</v>
      </c>
      <c r="B1987" s="8">
        <v>45927</v>
      </c>
      <c r="C1987" t="s">
        <v>2969</v>
      </c>
      <c r="D1987" t="s">
        <v>539</v>
      </c>
      <c r="E1987" t="s">
        <v>218</v>
      </c>
      <c r="F1987">
        <v>27</v>
      </c>
      <c r="G1987" t="s">
        <v>11</v>
      </c>
      <c r="H1987" t="s">
        <v>12</v>
      </c>
      <c r="I1987" t="s">
        <v>28</v>
      </c>
      <c r="J1987" t="s">
        <v>35</v>
      </c>
      <c r="K1987" t="s">
        <v>22</v>
      </c>
      <c r="L1987">
        <v>3</v>
      </c>
      <c r="M1987" s="12">
        <v>16499</v>
      </c>
      <c r="N1987" s="12">
        <v>14519.12</v>
      </c>
      <c r="O1987">
        <v>4</v>
      </c>
      <c r="P1987" s="12">
        <v>47517.119999999995</v>
      </c>
      <c r="Q1987" s="12">
        <v>43557.36</v>
      </c>
      <c r="R1987" s="12">
        <v>3959.7599999999948</v>
      </c>
      <c r="S1987" t="s">
        <v>113</v>
      </c>
      <c r="T1987" t="s">
        <v>107</v>
      </c>
      <c r="U1987" t="s">
        <v>1201</v>
      </c>
    </row>
    <row r="1988" spans="1:21" x14ac:dyDescent="0.25">
      <c r="A1988" t="s">
        <v>4007</v>
      </c>
      <c r="B1988" s="8">
        <v>45869</v>
      </c>
      <c r="C1988" t="s">
        <v>3983</v>
      </c>
      <c r="D1988" t="s">
        <v>1100</v>
      </c>
      <c r="E1988" t="s">
        <v>218</v>
      </c>
      <c r="F1988">
        <v>33</v>
      </c>
      <c r="G1988" t="s">
        <v>11</v>
      </c>
      <c r="H1988" t="s">
        <v>12</v>
      </c>
      <c r="I1988" t="s">
        <v>51</v>
      </c>
      <c r="J1988" t="s">
        <v>54</v>
      </c>
      <c r="K1988" t="s">
        <v>43</v>
      </c>
      <c r="L1988">
        <v>5</v>
      </c>
      <c r="M1988" s="12">
        <v>27499</v>
      </c>
      <c r="N1988" s="12">
        <v>21724.210000000003</v>
      </c>
      <c r="O1988">
        <v>7</v>
      </c>
      <c r="P1988" s="12">
        <v>127870.34999999999</v>
      </c>
      <c r="Q1988" s="12">
        <v>108621.05000000002</v>
      </c>
      <c r="R1988" s="12">
        <v>19249.299999999974</v>
      </c>
      <c r="S1988" t="s">
        <v>1246</v>
      </c>
      <c r="T1988" t="s">
        <v>107</v>
      </c>
      <c r="U1988" t="s">
        <v>1205</v>
      </c>
    </row>
    <row r="1989" spans="1:21" x14ac:dyDescent="0.25">
      <c r="A1989" t="s">
        <v>4008</v>
      </c>
      <c r="B1989" s="8">
        <v>45777</v>
      </c>
      <c r="C1989" t="s">
        <v>2310</v>
      </c>
      <c r="D1989" t="s">
        <v>527</v>
      </c>
      <c r="E1989" t="s">
        <v>218</v>
      </c>
      <c r="F1989">
        <v>28</v>
      </c>
      <c r="G1989" t="s">
        <v>5</v>
      </c>
      <c r="H1989" t="s">
        <v>3</v>
      </c>
      <c r="I1989" t="s">
        <v>51</v>
      </c>
      <c r="J1989" t="s">
        <v>54</v>
      </c>
      <c r="K1989" t="s">
        <v>43</v>
      </c>
      <c r="L1989">
        <v>4</v>
      </c>
      <c r="M1989" s="12">
        <v>27499</v>
      </c>
      <c r="N1989" s="12">
        <v>21724.210000000003</v>
      </c>
      <c r="O1989">
        <v>7</v>
      </c>
      <c r="P1989" s="12">
        <v>102296.28</v>
      </c>
      <c r="Q1989" s="12">
        <v>86896.840000000011</v>
      </c>
      <c r="R1989" s="12">
        <v>15399.439999999988</v>
      </c>
      <c r="S1989" t="s">
        <v>1246</v>
      </c>
      <c r="T1989" t="s">
        <v>109</v>
      </c>
      <c r="U1989" t="s">
        <v>1203</v>
      </c>
    </row>
    <row r="1990" spans="1:21" x14ac:dyDescent="0.25">
      <c r="A1990" t="s">
        <v>4009</v>
      </c>
      <c r="B1990" s="8">
        <v>45702</v>
      </c>
      <c r="C1990" t="s">
        <v>2733</v>
      </c>
      <c r="D1990" t="s">
        <v>1163</v>
      </c>
      <c r="E1990" t="s">
        <v>198</v>
      </c>
      <c r="F1990">
        <v>34</v>
      </c>
      <c r="G1990" t="s">
        <v>11</v>
      </c>
      <c r="H1990" t="s">
        <v>12</v>
      </c>
      <c r="I1990" t="s">
        <v>32</v>
      </c>
      <c r="J1990" t="s">
        <v>29</v>
      </c>
      <c r="K1990" t="s">
        <v>22</v>
      </c>
      <c r="L1990">
        <v>5</v>
      </c>
      <c r="M1990" s="12">
        <v>9500</v>
      </c>
      <c r="N1990" s="12">
        <v>6650</v>
      </c>
      <c r="O1990">
        <v>8</v>
      </c>
      <c r="P1990" s="12">
        <v>43700</v>
      </c>
      <c r="Q1990" s="12">
        <v>33250</v>
      </c>
      <c r="R1990" s="12">
        <v>10450</v>
      </c>
      <c r="S1990" t="s">
        <v>1249</v>
      </c>
      <c r="T1990" t="s">
        <v>109</v>
      </c>
      <c r="U1990" t="s">
        <v>1209</v>
      </c>
    </row>
    <row r="1991" spans="1:21" x14ac:dyDescent="0.25">
      <c r="A1991" t="s">
        <v>4010</v>
      </c>
      <c r="B1991" s="8">
        <v>45991</v>
      </c>
      <c r="C1991" t="s">
        <v>2428</v>
      </c>
      <c r="D1991" t="s">
        <v>1016</v>
      </c>
      <c r="E1991" t="s">
        <v>218</v>
      </c>
      <c r="F1991">
        <v>26</v>
      </c>
      <c r="G1991" t="s">
        <v>4</v>
      </c>
      <c r="H1991" t="s">
        <v>3</v>
      </c>
      <c r="I1991" t="s">
        <v>49</v>
      </c>
      <c r="J1991" t="s">
        <v>56</v>
      </c>
      <c r="K1991" t="s">
        <v>43</v>
      </c>
      <c r="L1991">
        <v>3</v>
      </c>
      <c r="M1991" s="12">
        <v>31999</v>
      </c>
      <c r="N1991" s="12">
        <v>25599.200000000001</v>
      </c>
      <c r="O1991">
        <v>13</v>
      </c>
      <c r="P1991" s="12">
        <v>83517.39</v>
      </c>
      <c r="Q1991" s="12">
        <v>76797.600000000006</v>
      </c>
      <c r="R1991" s="12">
        <v>6719.7899999999936</v>
      </c>
      <c r="S1991" t="s">
        <v>1246</v>
      </c>
      <c r="T1991" t="s">
        <v>107</v>
      </c>
      <c r="U1991" t="s">
        <v>1194</v>
      </c>
    </row>
    <row r="1992" spans="1:21" x14ac:dyDescent="0.25">
      <c r="A1992" t="s">
        <v>4011</v>
      </c>
      <c r="B1992" s="8">
        <v>45705</v>
      </c>
      <c r="C1992" t="s">
        <v>5094</v>
      </c>
      <c r="D1992" t="s">
        <v>573</v>
      </c>
      <c r="E1992" t="s">
        <v>198</v>
      </c>
      <c r="F1992">
        <v>37</v>
      </c>
      <c r="G1992" t="s">
        <v>7</v>
      </c>
      <c r="H1992" t="s">
        <v>8</v>
      </c>
      <c r="I1992" t="s">
        <v>45</v>
      </c>
      <c r="J1992" t="s">
        <v>46</v>
      </c>
      <c r="K1992" t="s">
        <v>43</v>
      </c>
      <c r="L1992">
        <v>5</v>
      </c>
      <c r="M1992" s="12">
        <v>11999</v>
      </c>
      <c r="N1992" s="12">
        <v>8999.25</v>
      </c>
      <c r="O1992">
        <v>5</v>
      </c>
      <c r="P1992" s="12">
        <v>56995.25</v>
      </c>
      <c r="Q1992" s="12">
        <v>44996.25</v>
      </c>
      <c r="R1992" s="12">
        <v>11999</v>
      </c>
      <c r="S1992" t="s">
        <v>113</v>
      </c>
      <c r="T1992" t="s">
        <v>107</v>
      </c>
      <c r="U1992" t="s">
        <v>1198</v>
      </c>
    </row>
    <row r="1993" spans="1:21" x14ac:dyDescent="0.25">
      <c r="A1993" t="s">
        <v>4012</v>
      </c>
      <c r="B1993" s="8">
        <v>45711</v>
      </c>
      <c r="C1993" t="s">
        <v>1835</v>
      </c>
      <c r="D1993" t="s">
        <v>576</v>
      </c>
      <c r="E1993" t="s">
        <v>218</v>
      </c>
      <c r="F1993">
        <v>38</v>
      </c>
      <c r="G1993" t="s">
        <v>290</v>
      </c>
      <c r="H1993" t="s">
        <v>3</v>
      </c>
      <c r="I1993" t="s">
        <v>45</v>
      </c>
      <c r="J1993" t="s">
        <v>46</v>
      </c>
      <c r="K1993" t="s">
        <v>43</v>
      </c>
      <c r="L1993">
        <v>2</v>
      </c>
      <c r="M1993" s="12">
        <v>11999</v>
      </c>
      <c r="N1993" s="12">
        <v>8999.25</v>
      </c>
      <c r="O1993">
        <v>6</v>
      </c>
      <c r="P1993" s="12">
        <v>22558.12</v>
      </c>
      <c r="Q1993" s="12">
        <v>17998.5</v>
      </c>
      <c r="R1993" s="12">
        <v>4559.619999999999</v>
      </c>
      <c r="S1993" t="s">
        <v>1246</v>
      </c>
      <c r="T1993" t="s">
        <v>108</v>
      </c>
      <c r="U1993" t="s">
        <v>1198</v>
      </c>
    </row>
    <row r="1994" spans="1:21" x14ac:dyDescent="0.25">
      <c r="A1994" t="s">
        <v>4013</v>
      </c>
      <c r="B1994" s="8">
        <v>45822</v>
      </c>
      <c r="C1994" t="s">
        <v>3205</v>
      </c>
      <c r="D1994" t="s">
        <v>1185</v>
      </c>
      <c r="E1994" t="s">
        <v>218</v>
      </c>
      <c r="F1994">
        <v>30</v>
      </c>
      <c r="G1994" t="s">
        <v>14</v>
      </c>
      <c r="H1994" t="s">
        <v>15</v>
      </c>
      <c r="I1994" t="s">
        <v>40</v>
      </c>
      <c r="J1994" t="s">
        <v>39</v>
      </c>
      <c r="K1994" t="s">
        <v>22</v>
      </c>
      <c r="L1994">
        <v>3</v>
      </c>
      <c r="M1994" s="12">
        <v>1100</v>
      </c>
      <c r="N1994" s="12">
        <v>715</v>
      </c>
      <c r="O1994">
        <v>10</v>
      </c>
      <c r="P1994" s="12">
        <v>2970</v>
      </c>
      <c r="Q1994" s="12">
        <v>2145</v>
      </c>
      <c r="R1994" s="12">
        <v>825</v>
      </c>
      <c r="S1994" t="s">
        <v>113</v>
      </c>
      <c r="T1994" t="s">
        <v>110</v>
      </c>
      <c r="U1994" t="s">
        <v>1199</v>
      </c>
    </row>
    <row r="1995" spans="1:21" x14ac:dyDescent="0.25">
      <c r="A1995" t="s">
        <v>4014</v>
      </c>
      <c r="B1995" s="8">
        <v>45947</v>
      </c>
      <c r="C1995" t="s">
        <v>2005</v>
      </c>
      <c r="D1995" t="s">
        <v>804</v>
      </c>
      <c r="E1995" t="s">
        <v>198</v>
      </c>
      <c r="F1995">
        <v>18</v>
      </c>
      <c r="G1995" t="s">
        <v>290</v>
      </c>
      <c r="H1995" t="s">
        <v>3</v>
      </c>
      <c r="I1995" t="s">
        <v>32</v>
      </c>
      <c r="J1995" t="s">
        <v>29</v>
      </c>
      <c r="K1995" t="s">
        <v>22</v>
      </c>
      <c r="L1995">
        <v>1</v>
      </c>
      <c r="M1995" s="12">
        <v>9500</v>
      </c>
      <c r="N1995" s="12">
        <v>6650</v>
      </c>
      <c r="O1995">
        <v>3</v>
      </c>
      <c r="P1995" s="12">
        <v>9215</v>
      </c>
      <c r="Q1995" s="12">
        <v>6650</v>
      </c>
      <c r="R1995" s="12">
        <v>2565</v>
      </c>
      <c r="S1995" t="s">
        <v>113</v>
      </c>
      <c r="T1995" t="s">
        <v>110</v>
      </c>
      <c r="U1995" t="s">
        <v>1201</v>
      </c>
    </row>
    <row r="1996" spans="1:21" x14ac:dyDescent="0.25">
      <c r="A1996" t="s">
        <v>4016</v>
      </c>
      <c r="B1996" s="8">
        <v>45759</v>
      </c>
      <c r="C1996" t="s">
        <v>2815</v>
      </c>
      <c r="D1996" t="s">
        <v>816</v>
      </c>
      <c r="E1996" t="s">
        <v>218</v>
      </c>
      <c r="F1996">
        <v>55</v>
      </c>
      <c r="G1996" t="s">
        <v>10</v>
      </c>
      <c r="H1996" t="s">
        <v>8</v>
      </c>
      <c r="I1996" t="s">
        <v>40</v>
      </c>
      <c r="J1996" t="s">
        <v>39</v>
      </c>
      <c r="K1996" t="s">
        <v>22</v>
      </c>
      <c r="L1996">
        <v>1</v>
      </c>
      <c r="M1996" s="12">
        <v>1100</v>
      </c>
      <c r="N1996" s="12">
        <v>715</v>
      </c>
      <c r="O1996">
        <v>6</v>
      </c>
      <c r="P1996" s="12">
        <v>1034</v>
      </c>
      <c r="Q1996" s="12">
        <v>715</v>
      </c>
      <c r="R1996" s="12">
        <v>319</v>
      </c>
      <c r="S1996" t="s">
        <v>113</v>
      </c>
      <c r="T1996" t="s">
        <v>107</v>
      </c>
      <c r="U1996" t="s">
        <v>1198</v>
      </c>
    </row>
    <row r="1997" spans="1:21" x14ac:dyDescent="0.25">
      <c r="A1997" t="s">
        <v>4017</v>
      </c>
      <c r="B1997" s="8">
        <v>45954</v>
      </c>
      <c r="C1997" t="s">
        <v>3189</v>
      </c>
      <c r="D1997" t="s">
        <v>384</v>
      </c>
      <c r="E1997" t="s">
        <v>218</v>
      </c>
      <c r="F1997">
        <v>27</v>
      </c>
      <c r="G1997" t="s">
        <v>4</v>
      </c>
      <c r="H1997" t="s">
        <v>3</v>
      </c>
      <c r="I1997" t="s">
        <v>30</v>
      </c>
      <c r="J1997" t="s">
        <v>41</v>
      </c>
      <c r="K1997" t="s">
        <v>22</v>
      </c>
      <c r="L1997">
        <v>2</v>
      </c>
      <c r="M1997" s="12">
        <v>13749</v>
      </c>
      <c r="N1997" s="12">
        <v>10999.2</v>
      </c>
      <c r="O1997">
        <v>3</v>
      </c>
      <c r="P1997" s="12">
        <v>26673.059999999998</v>
      </c>
      <c r="Q1997" s="12">
        <v>21998.400000000001</v>
      </c>
      <c r="R1997" s="12">
        <v>4674.6599999999962</v>
      </c>
      <c r="S1997" t="s">
        <v>113</v>
      </c>
      <c r="T1997" t="s">
        <v>110</v>
      </c>
      <c r="U1997" t="s">
        <v>1209</v>
      </c>
    </row>
    <row r="1998" spans="1:21" x14ac:dyDescent="0.25">
      <c r="A1998" t="s">
        <v>4018</v>
      </c>
      <c r="B1998" s="8">
        <v>45867</v>
      </c>
      <c r="C1998" t="s">
        <v>3107</v>
      </c>
      <c r="D1998" t="s">
        <v>579</v>
      </c>
      <c r="E1998" t="s">
        <v>198</v>
      </c>
      <c r="F1998">
        <v>36</v>
      </c>
      <c r="G1998" t="s">
        <v>7</v>
      </c>
      <c r="H1998" t="s">
        <v>8</v>
      </c>
      <c r="I1998" t="s">
        <v>36</v>
      </c>
      <c r="J1998" t="s">
        <v>136</v>
      </c>
      <c r="K1998" t="s">
        <v>22</v>
      </c>
      <c r="L1998">
        <v>5</v>
      </c>
      <c r="M1998" s="12">
        <v>3590</v>
      </c>
      <c r="N1998" s="12">
        <v>2333.5</v>
      </c>
      <c r="O1998">
        <v>7</v>
      </c>
      <c r="P1998" s="12">
        <v>16693.5</v>
      </c>
      <c r="Q1998" s="12">
        <v>11667.5</v>
      </c>
      <c r="R1998" s="12">
        <v>5026</v>
      </c>
      <c r="S1998" t="s">
        <v>1246</v>
      </c>
      <c r="T1998" t="s">
        <v>108</v>
      </c>
      <c r="U1998" t="s">
        <v>1209</v>
      </c>
    </row>
    <row r="1999" spans="1:21" x14ac:dyDescent="0.25">
      <c r="A1999" t="s">
        <v>4019</v>
      </c>
      <c r="B1999" s="8">
        <v>45735</v>
      </c>
      <c r="C1999" t="s">
        <v>4562</v>
      </c>
      <c r="D1999" t="s">
        <v>1122</v>
      </c>
      <c r="E1999" t="s">
        <v>198</v>
      </c>
      <c r="F1999">
        <v>30</v>
      </c>
      <c r="G1999" t="s">
        <v>4</v>
      </c>
      <c r="H1999" t="s">
        <v>3</v>
      </c>
      <c r="I1999" t="s">
        <v>28</v>
      </c>
      <c r="J1999" t="s">
        <v>35</v>
      </c>
      <c r="K1999" t="s">
        <v>22</v>
      </c>
      <c r="L1999">
        <v>3</v>
      </c>
      <c r="M1999" s="12">
        <v>16499</v>
      </c>
      <c r="N1999" s="12">
        <v>14519.12</v>
      </c>
      <c r="O1999">
        <v>5</v>
      </c>
      <c r="P1999" s="12">
        <v>47022.149999999994</v>
      </c>
      <c r="Q1999" s="12">
        <v>43557.36</v>
      </c>
      <c r="R1999" s="12">
        <v>3464.7899999999936</v>
      </c>
      <c r="S1999" t="s">
        <v>1246</v>
      </c>
      <c r="T1999" t="s">
        <v>107</v>
      </c>
      <c r="U1999" t="s">
        <v>1211</v>
      </c>
    </row>
    <row r="2000" spans="1:21" x14ac:dyDescent="0.25">
      <c r="A2000" t="s">
        <v>4020</v>
      </c>
      <c r="B2000" s="8">
        <v>45809</v>
      </c>
      <c r="C2000" t="s">
        <v>2778</v>
      </c>
      <c r="D2000" t="s">
        <v>743</v>
      </c>
      <c r="E2000" t="s">
        <v>198</v>
      </c>
      <c r="F2000">
        <v>43</v>
      </c>
      <c r="G2000" t="s">
        <v>16</v>
      </c>
      <c r="H2000" t="s">
        <v>15</v>
      </c>
      <c r="I2000" t="s">
        <v>49</v>
      </c>
      <c r="J2000" t="s">
        <v>56</v>
      </c>
      <c r="K2000" t="s">
        <v>43</v>
      </c>
      <c r="L2000">
        <v>1</v>
      </c>
      <c r="M2000" s="12">
        <v>31999</v>
      </c>
      <c r="N2000" s="12">
        <v>25599.200000000001</v>
      </c>
      <c r="O2000">
        <v>4</v>
      </c>
      <c r="P2000" s="12">
        <v>30719.039999999997</v>
      </c>
      <c r="Q2000" s="12">
        <v>25599.200000000001</v>
      </c>
      <c r="R2000" s="12">
        <v>5119.8399999999965</v>
      </c>
      <c r="S2000" t="s">
        <v>1246</v>
      </c>
      <c r="T2000" t="s">
        <v>109</v>
      </c>
      <c r="U2000" t="s">
        <v>1198</v>
      </c>
    </row>
    <row r="2001" spans="1:21" x14ac:dyDescent="0.25">
      <c r="A2001" t="s">
        <v>4021</v>
      </c>
      <c r="B2001" s="8">
        <v>45674</v>
      </c>
      <c r="C2001" t="s">
        <v>3727</v>
      </c>
      <c r="D2001" t="s">
        <v>538</v>
      </c>
      <c r="E2001" t="s">
        <v>198</v>
      </c>
      <c r="F2001">
        <v>32</v>
      </c>
      <c r="G2001" t="s">
        <v>11</v>
      </c>
      <c r="H2001" t="s">
        <v>12</v>
      </c>
      <c r="I2001" t="s">
        <v>57</v>
      </c>
      <c r="J2001" t="s">
        <v>67</v>
      </c>
      <c r="K2001" t="s">
        <v>64</v>
      </c>
      <c r="L2001">
        <v>5</v>
      </c>
      <c r="M2001" s="12">
        <v>150</v>
      </c>
      <c r="N2001" s="12">
        <v>97.5</v>
      </c>
      <c r="O2001">
        <v>8</v>
      </c>
      <c r="P2001" s="12">
        <v>690</v>
      </c>
      <c r="Q2001" s="12">
        <v>487.5</v>
      </c>
      <c r="R2001" s="12">
        <v>202.5</v>
      </c>
      <c r="S2001" t="s">
        <v>1246</v>
      </c>
      <c r="T2001" t="s">
        <v>107</v>
      </c>
      <c r="U2001" t="s">
        <v>1201</v>
      </c>
    </row>
    <row r="2002" spans="1:21" x14ac:dyDescent="0.25">
      <c r="A2002" t="s">
        <v>4022</v>
      </c>
      <c r="B2002" s="8">
        <v>45691</v>
      </c>
      <c r="C2002" t="s">
        <v>4197</v>
      </c>
      <c r="D2002" t="s">
        <v>1007</v>
      </c>
      <c r="E2002" t="s">
        <v>198</v>
      </c>
      <c r="F2002">
        <v>20</v>
      </c>
      <c r="G2002" t="s">
        <v>10</v>
      </c>
      <c r="H2002" t="s">
        <v>8</v>
      </c>
      <c r="I2002" t="s">
        <v>36</v>
      </c>
      <c r="J2002" t="s">
        <v>136</v>
      </c>
      <c r="K2002" t="s">
        <v>22</v>
      </c>
      <c r="L2002">
        <v>5</v>
      </c>
      <c r="M2002" s="12">
        <v>3590</v>
      </c>
      <c r="N2002" s="12">
        <v>2333.5</v>
      </c>
      <c r="O2002">
        <v>6</v>
      </c>
      <c r="P2002" s="12">
        <v>16873</v>
      </c>
      <c r="Q2002" s="12">
        <v>11667.5</v>
      </c>
      <c r="R2002" s="12">
        <v>5205.5</v>
      </c>
      <c r="S2002" t="s">
        <v>1246</v>
      </c>
      <c r="T2002" t="s">
        <v>107</v>
      </c>
      <c r="U2002" t="s">
        <v>1207</v>
      </c>
    </row>
    <row r="2003" spans="1:21" x14ac:dyDescent="0.25">
      <c r="A2003" t="s">
        <v>4023</v>
      </c>
      <c r="B2003" s="8">
        <v>45906</v>
      </c>
      <c r="C2003" t="s">
        <v>1957</v>
      </c>
      <c r="D2003" t="s">
        <v>523</v>
      </c>
      <c r="E2003" t="s">
        <v>218</v>
      </c>
      <c r="F2003">
        <v>63</v>
      </c>
      <c r="G2003" t="s">
        <v>11</v>
      </c>
      <c r="H2003" t="s">
        <v>12</v>
      </c>
      <c r="I2003" t="s">
        <v>24</v>
      </c>
      <c r="J2003" t="s">
        <v>25</v>
      </c>
      <c r="K2003" t="s">
        <v>22</v>
      </c>
      <c r="L2003">
        <v>4</v>
      </c>
      <c r="M2003" s="12">
        <v>35800</v>
      </c>
      <c r="N2003" s="12">
        <v>28640</v>
      </c>
      <c r="O2003">
        <v>5</v>
      </c>
      <c r="P2003" s="12">
        <v>136040</v>
      </c>
      <c r="Q2003" s="12">
        <v>114560</v>
      </c>
      <c r="R2003" s="12">
        <v>21480</v>
      </c>
      <c r="S2003" t="s">
        <v>113</v>
      </c>
      <c r="T2003" t="s">
        <v>108</v>
      </c>
      <c r="U2003" t="s">
        <v>1203</v>
      </c>
    </row>
    <row r="2004" spans="1:21" x14ac:dyDescent="0.25">
      <c r="A2004" t="s">
        <v>4024</v>
      </c>
      <c r="B2004" s="8">
        <v>45861</v>
      </c>
      <c r="C2004" t="s">
        <v>1966</v>
      </c>
      <c r="D2004" t="s">
        <v>408</v>
      </c>
      <c r="E2004" t="s">
        <v>198</v>
      </c>
      <c r="F2004">
        <v>42</v>
      </c>
      <c r="G2004" t="s">
        <v>16</v>
      </c>
      <c r="H2004" t="s">
        <v>15</v>
      </c>
      <c r="I2004" t="s">
        <v>21</v>
      </c>
      <c r="J2004" t="s">
        <v>23</v>
      </c>
      <c r="K2004" t="s">
        <v>22</v>
      </c>
      <c r="L2004">
        <v>1</v>
      </c>
      <c r="M2004" s="12">
        <v>54999</v>
      </c>
      <c r="N2004" s="12">
        <v>45099.18</v>
      </c>
      <c r="O2004">
        <v>7</v>
      </c>
      <c r="P2004" s="12">
        <v>51149.07</v>
      </c>
      <c r="Q2004" s="12">
        <v>45099.18</v>
      </c>
      <c r="R2004" s="12">
        <v>6049.8899999999994</v>
      </c>
      <c r="S2004" t="s">
        <v>113</v>
      </c>
      <c r="T2004" t="s">
        <v>110</v>
      </c>
      <c r="U2004" t="s">
        <v>1201</v>
      </c>
    </row>
    <row r="2005" spans="1:21" x14ac:dyDescent="0.25">
      <c r="A2005" t="s">
        <v>4025</v>
      </c>
      <c r="B2005" s="8">
        <v>45861</v>
      </c>
      <c r="C2005" t="s">
        <v>1347</v>
      </c>
      <c r="D2005" t="s">
        <v>987</v>
      </c>
      <c r="E2005" t="s">
        <v>198</v>
      </c>
      <c r="F2005">
        <v>48</v>
      </c>
      <c r="G2005" t="s">
        <v>10</v>
      </c>
      <c r="H2005" t="s">
        <v>8</v>
      </c>
      <c r="I2005" t="s">
        <v>47</v>
      </c>
      <c r="J2005" t="s">
        <v>52</v>
      </c>
      <c r="K2005" t="s">
        <v>43</v>
      </c>
      <c r="L2005">
        <v>4</v>
      </c>
      <c r="M2005" s="12">
        <v>42999</v>
      </c>
      <c r="N2005" s="12">
        <v>33539.22</v>
      </c>
      <c r="O2005">
        <v>6</v>
      </c>
      <c r="P2005" s="12">
        <v>161676.24</v>
      </c>
      <c r="Q2005" s="12">
        <v>134156.88</v>
      </c>
      <c r="R2005" s="12">
        <v>27519.359999999986</v>
      </c>
      <c r="S2005" t="s">
        <v>1246</v>
      </c>
      <c r="T2005" t="s">
        <v>108</v>
      </c>
      <c r="U2005" t="s">
        <v>1207</v>
      </c>
    </row>
    <row r="2006" spans="1:21" x14ac:dyDescent="0.25">
      <c r="A2006" t="s">
        <v>4026</v>
      </c>
      <c r="B2006" s="8">
        <v>45889</v>
      </c>
      <c r="C2006" t="s">
        <v>5104</v>
      </c>
      <c r="D2006" t="s">
        <v>973</v>
      </c>
      <c r="E2006" t="s">
        <v>218</v>
      </c>
      <c r="F2006">
        <v>33</v>
      </c>
      <c r="G2006" t="s">
        <v>290</v>
      </c>
      <c r="H2006" t="s">
        <v>3</v>
      </c>
      <c r="I2006" t="s">
        <v>63</v>
      </c>
      <c r="J2006" t="s">
        <v>77</v>
      </c>
      <c r="K2006" t="s">
        <v>64</v>
      </c>
      <c r="L2006">
        <v>1</v>
      </c>
      <c r="M2006" s="12">
        <v>650</v>
      </c>
      <c r="N2006" s="12">
        <v>468</v>
      </c>
      <c r="O2006">
        <v>1</v>
      </c>
      <c r="P2006" s="12">
        <v>643.5</v>
      </c>
      <c r="Q2006" s="12">
        <v>468</v>
      </c>
      <c r="R2006" s="12">
        <v>175.5</v>
      </c>
      <c r="S2006" t="s">
        <v>1246</v>
      </c>
      <c r="T2006" t="s">
        <v>107</v>
      </c>
      <c r="U2006" t="s">
        <v>1198</v>
      </c>
    </row>
    <row r="2007" spans="1:21" x14ac:dyDescent="0.25">
      <c r="A2007" t="s">
        <v>4027</v>
      </c>
      <c r="B2007" s="8">
        <v>45803</v>
      </c>
      <c r="C2007" t="s">
        <v>2532</v>
      </c>
      <c r="D2007" t="s">
        <v>621</v>
      </c>
      <c r="E2007" t="s">
        <v>198</v>
      </c>
      <c r="F2007">
        <v>18</v>
      </c>
      <c r="G2007" t="s">
        <v>2</v>
      </c>
      <c r="H2007" t="s">
        <v>3</v>
      </c>
      <c r="I2007" t="s">
        <v>63</v>
      </c>
      <c r="J2007" t="s">
        <v>77</v>
      </c>
      <c r="K2007" t="s">
        <v>64</v>
      </c>
      <c r="L2007">
        <v>2</v>
      </c>
      <c r="M2007" s="12">
        <v>650</v>
      </c>
      <c r="N2007" s="12">
        <v>468</v>
      </c>
      <c r="O2007">
        <v>12</v>
      </c>
      <c r="P2007" s="12">
        <v>1144</v>
      </c>
      <c r="Q2007" s="12">
        <v>936</v>
      </c>
      <c r="R2007" s="12">
        <v>208</v>
      </c>
      <c r="S2007" t="s">
        <v>1246</v>
      </c>
      <c r="T2007" t="s">
        <v>108</v>
      </c>
      <c r="U2007" t="s">
        <v>1194</v>
      </c>
    </row>
    <row r="2008" spans="1:21" x14ac:dyDescent="0.25">
      <c r="A2008" t="s">
        <v>4029</v>
      </c>
      <c r="B2008" s="8">
        <v>45901</v>
      </c>
      <c r="C2008" t="s">
        <v>1561</v>
      </c>
      <c r="D2008" t="s">
        <v>729</v>
      </c>
      <c r="E2008" t="s">
        <v>218</v>
      </c>
      <c r="F2008">
        <v>57</v>
      </c>
      <c r="G2008" t="s">
        <v>10</v>
      </c>
      <c r="H2008" t="s">
        <v>8</v>
      </c>
      <c r="I2008" t="s">
        <v>42</v>
      </c>
      <c r="J2008" t="s">
        <v>44</v>
      </c>
      <c r="K2008" t="s">
        <v>43</v>
      </c>
      <c r="L2008">
        <v>1</v>
      </c>
      <c r="M2008" s="12">
        <v>8999</v>
      </c>
      <c r="N2008" s="12">
        <v>6479.28</v>
      </c>
      <c r="O2008">
        <v>10</v>
      </c>
      <c r="P2008" s="12">
        <v>8099.1</v>
      </c>
      <c r="Q2008" s="12">
        <v>6479.28</v>
      </c>
      <c r="R2008" s="12">
        <v>1619.8200000000006</v>
      </c>
      <c r="S2008" t="s">
        <v>1249</v>
      </c>
      <c r="T2008" t="s">
        <v>110</v>
      </c>
      <c r="U2008" t="s">
        <v>1198</v>
      </c>
    </row>
    <row r="2009" spans="1:21" x14ac:dyDescent="0.25">
      <c r="A2009" t="s">
        <v>4030</v>
      </c>
      <c r="B2009" s="8">
        <v>45702</v>
      </c>
      <c r="C2009" t="s">
        <v>1884</v>
      </c>
      <c r="D2009" t="s">
        <v>797</v>
      </c>
      <c r="E2009" t="s">
        <v>218</v>
      </c>
      <c r="F2009">
        <v>29</v>
      </c>
      <c r="G2009" t="s">
        <v>10</v>
      </c>
      <c r="H2009" t="s">
        <v>8</v>
      </c>
      <c r="I2009" t="s">
        <v>59</v>
      </c>
      <c r="J2009" t="s">
        <v>73</v>
      </c>
      <c r="K2009" t="s">
        <v>64</v>
      </c>
      <c r="L2009">
        <v>3</v>
      </c>
      <c r="M2009" s="12">
        <v>120</v>
      </c>
      <c r="N2009" s="12">
        <v>81.599999999999994</v>
      </c>
      <c r="O2009">
        <v>0</v>
      </c>
      <c r="P2009" s="12">
        <v>360</v>
      </c>
      <c r="Q2009" s="12">
        <v>244.79999999999998</v>
      </c>
      <c r="R2009" s="12">
        <v>115.20000000000002</v>
      </c>
      <c r="S2009" t="s">
        <v>1249</v>
      </c>
      <c r="T2009" t="s">
        <v>107</v>
      </c>
      <c r="U2009" t="s">
        <v>1199</v>
      </c>
    </row>
    <row r="2010" spans="1:21" x14ac:dyDescent="0.25">
      <c r="A2010" t="s">
        <v>4031</v>
      </c>
      <c r="B2010" s="8">
        <v>45865</v>
      </c>
      <c r="C2010" t="s">
        <v>2935</v>
      </c>
      <c r="D2010" t="s">
        <v>1026</v>
      </c>
      <c r="E2010" t="s">
        <v>198</v>
      </c>
      <c r="F2010">
        <v>48</v>
      </c>
      <c r="G2010" t="s">
        <v>4</v>
      </c>
      <c r="H2010" t="s">
        <v>3</v>
      </c>
      <c r="I2010" t="s">
        <v>32</v>
      </c>
      <c r="J2010" t="s">
        <v>29</v>
      </c>
      <c r="K2010" t="s">
        <v>22</v>
      </c>
      <c r="L2010">
        <v>4</v>
      </c>
      <c r="M2010" s="12">
        <v>9500</v>
      </c>
      <c r="N2010" s="12">
        <v>6650</v>
      </c>
      <c r="O2010">
        <v>8</v>
      </c>
      <c r="P2010" s="12">
        <v>34960</v>
      </c>
      <c r="Q2010" s="12">
        <v>26600</v>
      </c>
      <c r="R2010" s="12">
        <v>8360</v>
      </c>
      <c r="S2010" t="s">
        <v>1246</v>
      </c>
      <c r="T2010" t="s">
        <v>110</v>
      </c>
      <c r="U2010" t="s">
        <v>1198</v>
      </c>
    </row>
    <row r="2011" spans="1:21" x14ac:dyDescent="0.25">
      <c r="A2011" t="s">
        <v>4032</v>
      </c>
      <c r="B2011" s="8">
        <v>45762</v>
      </c>
      <c r="C2011" t="s">
        <v>4374</v>
      </c>
      <c r="D2011" t="s">
        <v>791</v>
      </c>
      <c r="E2011" t="s">
        <v>198</v>
      </c>
      <c r="F2011">
        <v>21</v>
      </c>
      <c r="G2011" t="s">
        <v>16</v>
      </c>
      <c r="H2011" t="s">
        <v>15</v>
      </c>
      <c r="I2011" t="s">
        <v>51</v>
      </c>
      <c r="J2011" t="s">
        <v>54</v>
      </c>
      <c r="K2011" t="s">
        <v>43</v>
      </c>
      <c r="L2011">
        <v>5</v>
      </c>
      <c r="M2011" s="12">
        <v>27499</v>
      </c>
      <c r="N2011" s="12">
        <v>21724.210000000003</v>
      </c>
      <c r="O2011">
        <v>5</v>
      </c>
      <c r="P2011" s="12">
        <v>130620.25</v>
      </c>
      <c r="Q2011" s="12">
        <v>108621.05000000002</v>
      </c>
      <c r="R2011" s="12">
        <v>21999.199999999983</v>
      </c>
      <c r="S2011" t="s">
        <v>1246</v>
      </c>
      <c r="T2011" t="s">
        <v>107</v>
      </c>
      <c r="U2011" t="s">
        <v>1196</v>
      </c>
    </row>
    <row r="2012" spans="1:21" x14ac:dyDescent="0.25">
      <c r="A2012" t="s">
        <v>4033</v>
      </c>
      <c r="B2012" s="8">
        <v>45991</v>
      </c>
      <c r="C2012" t="s">
        <v>2003</v>
      </c>
      <c r="D2012" t="s">
        <v>1089</v>
      </c>
      <c r="E2012" t="s">
        <v>198</v>
      </c>
      <c r="F2012">
        <v>49</v>
      </c>
      <c r="G2012" t="s">
        <v>4</v>
      </c>
      <c r="H2012" t="s">
        <v>3</v>
      </c>
      <c r="I2012" t="s">
        <v>34</v>
      </c>
      <c r="J2012" t="s">
        <v>137</v>
      </c>
      <c r="K2012" t="s">
        <v>22</v>
      </c>
      <c r="L2012">
        <v>4</v>
      </c>
      <c r="M2012" s="12">
        <v>6900</v>
      </c>
      <c r="N2012" s="12">
        <v>5727</v>
      </c>
      <c r="O2012">
        <v>17</v>
      </c>
      <c r="P2012" s="12">
        <v>22908</v>
      </c>
      <c r="Q2012" s="12">
        <v>22908</v>
      </c>
      <c r="R2012" s="12">
        <v>0</v>
      </c>
      <c r="S2012" t="s">
        <v>1246</v>
      </c>
      <c r="T2012" t="s">
        <v>108</v>
      </c>
      <c r="U2012" t="s">
        <v>1209</v>
      </c>
    </row>
    <row r="2013" spans="1:21" x14ac:dyDescent="0.25">
      <c r="A2013" t="s">
        <v>4034</v>
      </c>
      <c r="B2013" s="8">
        <v>46004</v>
      </c>
      <c r="C2013" t="s">
        <v>1366</v>
      </c>
      <c r="D2013" t="s">
        <v>381</v>
      </c>
      <c r="E2013" t="s">
        <v>218</v>
      </c>
      <c r="F2013">
        <v>55</v>
      </c>
      <c r="G2013" t="s">
        <v>2</v>
      </c>
      <c r="H2013" t="s">
        <v>3</v>
      </c>
      <c r="I2013" t="s">
        <v>32</v>
      </c>
      <c r="J2013" t="s">
        <v>29</v>
      </c>
      <c r="K2013" t="s">
        <v>22</v>
      </c>
      <c r="L2013">
        <v>4</v>
      </c>
      <c r="M2013" s="12">
        <v>9500</v>
      </c>
      <c r="N2013" s="12">
        <v>6650</v>
      </c>
      <c r="O2013">
        <v>10</v>
      </c>
      <c r="P2013" s="12">
        <v>34200</v>
      </c>
      <c r="Q2013" s="12">
        <v>26600</v>
      </c>
      <c r="R2013" s="12">
        <v>7600</v>
      </c>
      <c r="S2013" t="s">
        <v>1249</v>
      </c>
      <c r="T2013" t="s">
        <v>108</v>
      </c>
      <c r="U2013" t="s">
        <v>1201</v>
      </c>
    </row>
    <row r="2014" spans="1:21" x14ac:dyDescent="0.25">
      <c r="A2014" t="s">
        <v>4035</v>
      </c>
      <c r="B2014" s="8">
        <v>45874</v>
      </c>
      <c r="C2014" t="s">
        <v>2312</v>
      </c>
      <c r="D2014" t="s">
        <v>957</v>
      </c>
      <c r="E2014" t="s">
        <v>218</v>
      </c>
      <c r="F2014">
        <v>30</v>
      </c>
      <c r="G2014" t="s">
        <v>14</v>
      </c>
      <c r="H2014" t="s">
        <v>15</v>
      </c>
      <c r="I2014" t="s">
        <v>24</v>
      </c>
      <c r="J2014" t="s">
        <v>25</v>
      </c>
      <c r="K2014" t="s">
        <v>22</v>
      </c>
      <c r="L2014">
        <v>5</v>
      </c>
      <c r="M2014" s="12">
        <v>35800</v>
      </c>
      <c r="N2014" s="12">
        <v>28640</v>
      </c>
      <c r="O2014">
        <v>7</v>
      </c>
      <c r="P2014" s="12">
        <v>166470</v>
      </c>
      <c r="Q2014" s="12">
        <v>143200</v>
      </c>
      <c r="R2014" s="12">
        <v>23270</v>
      </c>
      <c r="S2014" t="s">
        <v>113</v>
      </c>
      <c r="T2014" t="s">
        <v>108</v>
      </c>
      <c r="U2014" t="s">
        <v>1209</v>
      </c>
    </row>
    <row r="2015" spans="1:21" x14ac:dyDescent="0.25">
      <c r="A2015" t="s">
        <v>4036</v>
      </c>
      <c r="B2015" s="8">
        <v>45822</v>
      </c>
      <c r="C2015" t="s">
        <v>3025</v>
      </c>
      <c r="D2015" t="s">
        <v>1166</v>
      </c>
      <c r="E2015" t="s">
        <v>198</v>
      </c>
      <c r="F2015">
        <v>55</v>
      </c>
      <c r="G2015" t="s">
        <v>9</v>
      </c>
      <c r="H2015" t="s">
        <v>8</v>
      </c>
      <c r="I2015" t="s">
        <v>30</v>
      </c>
      <c r="J2015" t="s">
        <v>41</v>
      </c>
      <c r="K2015" t="s">
        <v>22</v>
      </c>
      <c r="L2015">
        <v>3</v>
      </c>
      <c r="M2015" s="12">
        <v>13749</v>
      </c>
      <c r="N2015" s="12">
        <v>10999.2</v>
      </c>
      <c r="O2015">
        <v>10</v>
      </c>
      <c r="P2015" s="12">
        <v>37122.300000000003</v>
      </c>
      <c r="Q2015" s="12">
        <v>32997.600000000006</v>
      </c>
      <c r="R2015" s="12">
        <v>4124.6999999999971</v>
      </c>
      <c r="S2015" t="s">
        <v>1246</v>
      </c>
      <c r="T2015" t="s">
        <v>108</v>
      </c>
      <c r="U2015" t="s">
        <v>1203</v>
      </c>
    </row>
    <row r="2016" spans="1:21" x14ac:dyDescent="0.25">
      <c r="A2016" t="s">
        <v>4037</v>
      </c>
      <c r="B2016" s="8">
        <v>45928</v>
      </c>
      <c r="C2016" t="s">
        <v>3773</v>
      </c>
      <c r="D2016" t="s">
        <v>618</v>
      </c>
      <c r="E2016" t="s">
        <v>218</v>
      </c>
      <c r="F2016">
        <v>26</v>
      </c>
      <c r="G2016" t="s">
        <v>289</v>
      </c>
      <c r="H2016" t="s">
        <v>3</v>
      </c>
      <c r="I2016" t="s">
        <v>59</v>
      </c>
      <c r="J2016" t="s">
        <v>73</v>
      </c>
      <c r="K2016" t="s">
        <v>64</v>
      </c>
      <c r="L2016">
        <v>1</v>
      </c>
      <c r="M2016" s="12">
        <v>120</v>
      </c>
      <c r="N2016" s="12">
        <v>81.599999999999994</v>
      </c>
      <c r="O2016">
        <v>2</v>
      </c>
      <c r="P2016" s="12">
        <v>117.6</v>
      </c>
      <c r="Q2016" s="12">
        <v>81.599999999999994</v>
      </c>
      <c r="R2016" s="12">
        <v>36</v>
      </c>
      <c r="S2016" t="s">
        <v>1246</v>
      </c>
      <c r="T2016" t="s">
        <v>108</v>
      </c>
      <c r="U2016" t="s">
        <v>1194</v>
      </c>
    </row>
    <row r="2017" spans="1:21" x14ac:dyDescent="0.25">
      <c r="A2017" t="s">
        <v>4038</v>
      </c>
      <c r="B2017" s="8">
        <v>45856</v>
      </c>
      <c r="C2017" t="s">
        <v>3014</v>
      </c>
      <c r="D2017" t="s">
        <v>902</v>
      </c>
      <c r="E2017" t="s">
        <v>198</v>
      </c>
      <c r="F2017">
        <v>63</v>
      </c>
      <c r="G2017" t="s">
        <v>5</v>
      </c>
      <c r="H2017" t="s">
        <v>3</v>
      </c>
      <c r="I2017" t="s">
        <v>30</v>
      </c>
      <c r="J2017" t="s">
        <v>41</v>
      </c>
      <c r="K2017" t="s">
        <v>22</v>
      </c>
      <c r="L2017">
        <v>1</v>
      </c>
      <c r="M2017" s="12">
        <v>13749</v>
      </c>
      <c r="N2017" s="12">
        <v>10999.2</v>
      </c>
      <c r="O2017">
        <v>4</v>
      </c>
      <c r="P2017" s="12">
        <v>13199.039999999999</v>
      </c>
      <c r="Q2017" s="12">
        <v>10999.2</v>
      </c>
      <c r="R2017" s="12">
        <v>2199.8399999999983</v>
      </c>
      <c r="S2017" t="s">
        <v>1246</v>
      </c>
      <c r="T2017" t="s">
        <v>109</v>
      </c>
      <c r="U2017" t="s">
        <v>1194</v>
      </c>
    </row>
    <row r="2018" spans="1:21" x14ac:dyDescent="0.25">
      <c r="A2018" t="s">
        <v>4039</v>
      </c>
      <c r="B2018" s="8">
        <v>45890</v>
      </c>
      <c r="C2018" t="s">
        <v>2415</v>
      </c>
      <c r="D2018" t="s">
        <v>427</v>
      </c>
      <c r="E2018" t="s">
        <v>218</v>
      </c>
      <c r="F2018">
        <v>26</v>
      </c>
      <c r="G2018" t="s">
        <v>17</v>
      </c>
      <c r="H2018" t="s">
        <v>15</v>
      </c>
      <c r="I2018" t="s">
        <v>51</v>
      </c>
      <c r="J2018" t="s">
        <v>54</v>
      </c>
      <c r="K2018" t="s">
        <v>43</v>
      </c>
      <c r="L2018">
        <v>3</v>
      </c>
      <c r="M2018" s="12">
        <v>27499</v>
      </c>
      <c r="N2018" s="12">
        <v>21724.210000000003</v>
      </c>
      <c r="O2018">
        <v>7</v>
      </c>
      <c r="P2018" s="12">
        <v>76722.209999999992</v>
      </c>
      <c r="Q2018" s="12">
        <v>65172.630000000005</v>
      </c>
      <c r="R2018" s="12">
        <v>11549.579999999987</v>
      </c>
      <c r="S2018" t="s">
        <v>1246</v>
      </c>
      <c r="T2018" t="s">
        <v>108</v>
      </c>
      <c r="U2018" t="s">
        <v>1196</v>
      </c>
    </row>
    <row r="2019" spans="1:21" x14ac:dyDescent="0.25">
      <c r="A2019" t="s">
        <v>4040</v>
      </c>
      <c r="B2019" s="8">
        <v>45774</v>
      </c>
      <c r="C2019" t="s">
        <v>3561</v>
      </c>
      <c r="D2019" t="s">
        <v>721</v>
      </c>
      <c r="E2019" t="s">
        <v>198</v>
      </c>
      <c r="F2019">
        <v>43</v>
      </c>
      <c r="G2019" t="s">
        <v>7</v>
      </c>
      <c r="H2019" t="s">
        <v>8</v>
      </c>
      <c r="I2019" t="s">
        <v>61</v>
      </c>
      <c r="J2019" t="s">
        <v>146</v>
      </c>
      <c r="K2019" t="s">
        <v>64</v>
      </c>
      <c r="L2019">
        <v>5</v>
      </c>
      <c r="M2019" s="12">
        <v>250</v>
      </c>
      <c r="N2019" s="12">
        <v>155</v>
      </c>
      <c r="O2019">
        <v>5</v>
      </c>
      <c r="P2019" s="12">
        <v>1187.5</v>
      </c>
      <c r="Q2019" s="12">
        <v>775</v>
      </c>
      <c r="R2019" s="12">
        <v>412.5</v>
      </c>
      <c r="S2019" t="s">
        <v>1246</v>
      </c>
      <c r="T2019" t="s">
        <v>109</v>
      </c>
      <c r="U2019" t="s">
        <v>1201</v>
      </c>
    </row>
    <row r="2020" spans="1:21" x14ac:dyDescent="0.25">
      <c r="A2020" t="s">
        <v>4041</v>
      </c>
      <c r="B2020" s="8">
        <v>45845</v>
      </c>
      <c r="C2020" t="s">
        <v>1517</v>
      </c>
      <c r="D2020" t="s">
        <v>495</v>
      </c>
      <c r="E2020" t="s">
        <v>198</v>
      </c>
      <c r="F2020">
        <v>45</v>
      </c>
      <c r="G2020" t="s">
        <v>4</v>
      </c>
      <c r="H2020" t="s">
        <v>3</v>
      </c>
      <c r="I2020" t="s">
        <v>47</v>
      </c>
      <c r="J2020" t="s">
        <v>52</v>
      </c>
      <c r="K2020" t="s">
        <v>43</v>
      </c>
      <c r="L2020">
        <v>2</v>
      </c>
      <c r="M2020" s="12">
        <v>42999</v>
      </c>
      <c r="N2020" s="12">
        <v>33539.22</v>
      </c>
      <c r="O2020">
        <v>7</v>
      </c>
      <c r="P2020" s="12">
        <v>79978.14</v>
      </c>
      <c r="Q2020" s="12">
        <v>67078.44</v>
      </c>
      <c r="R2020" s="12">
        <v>12899.699999999997</v>
      </c>
      <c r="S2020" t="s">
        <v>113</v>
      </c>
      <c r="T2020" t="s">
        <v>107</v>
      </c>
      <c r="U2020" t="s">
        <v>1209</v>
      </c>
    </row>
    <row r="2021" spans="1:21" x14ac:dyDescent="0.25">
      <c r="A2021" t="s">
        <v>4042</v>
      </c>
      <c r="B2021" s="8">
        <v>45946</v>
      </c>
      <c r="C2021" t="s">
        <v>1407</v>
      </c>
      <c r="D2021" t="s">
        <v>789</v>
      </c>
      <c r="E2021" t="s">
        <v>218</v>
      </c>
      <c r="F2021">
        <v>64</v>
      </c>
      <c r="G2021" t="s">
        <v>290</v>
      </c>
      <c r="H2021" t="s">
        <v>3</v>
      </c>
      <c r="I2021" t="s">
        <v>28</v>
      </c>
      <c r="J2021" t="s">
        <v>35</v>
      </c>
      <c r="K2021" t="s">
        <v>22</v>
      </c>
      <c r="L2021">
        <v>1</v>
      </c>
      <c r="M2021" s="12">
        <v>16499</v>
      </c>
      <c r="N2021" s="12">
        <v>14519.12</v>
      </c>
      <c r="O2021">
        <v>3</v>
      </c>
      <c r="P2021" s="12">
        <v>16004.029999999999</v>
      </c>
      <c r="Q2021" s="12">
        <v>14519.12</v>
      </c>
      <c r="R2021" s="12">
        <v>1484.909999999998</v>
      </c>
      <c r="S2021" t="s">
        <v>1246</v>
      </c>
      <c r="T2021" t="s">
        <v>110</v>
      </c>
      <c r="U2021" t="s">
        <v>1198</v>
      </c>
    </row>
    <row r="2022" spans="1:21" x14ac:dyDescent="0.25">
      <c r="A2022" t="s">
        <v>4043</v>
      </c>
      <c r="B2022" s="8">
        <v>45878</v>
      </c>
      <c r="C2022" t="s">
        <v>2567</v>
      </c>
      <c r="D2022" t="s">
        <v>380</v>
      </c>
      <c r="E2022" t="s">
        <v>218</v>
      </c>
      <c r="F2022">
        <v>29</v>
      </c>
      <c r="G2022" t="s">
        <v>9</v>
      </c>
      <c r="H2022" t="s">
        <v>8</v>
      </c>
      <c r="I2022" t="s">
        <v>28</v>
      </c>
      <c r="J2022" t="s">
        <v>35</v>
      </c>
      <c r="K2022" t="s">
        <v>22</v>
      </c>
      <c r="L2022">
        <v>1</v>
      </c>
      <c r="M2022" s="12">
        <v>16499</v>
      </c>
      <c r="N2022" s="12">
        <v>14519.12</v>
      </c>
      <c r="O2022">
        <v>5</v>
      </c>
      <c r="P2022" s="12">
        <v>15674.05</v>
      </c>
      <c r="Q2022" s="12">
        <v>14519.12</v>
      </c>
      <c r="R2022" s="12">
        <v>1154.9299999999985</v>
      </c>
      <c r="S2022" t="s">
        <v>113</v>
      </c>
      <c r="T2022" t="s">
        <v>110</v>
      </c>
      <c r="U2022" t="s">
        <v>1196</v>
      </c>
    </row>
    <row r="2023" spans="1:21" x14ac:dyDescent="0.25">
      <c r="A2023" t="s">
        <v>4044</v>
      </c>
      <c r="B2023" s="8">
        <v>45882</v>
      </c>
      <c r="C2023" t="s">
        <v>2584</v>
      </c>
      <c r="D2023" t="s">
        <v>463</v>
      </c>
      <c r="E2023" t="s">
        <v>218</v>
      </c>
      <c r="F2023">
        <v>32</v>
      </c>
      <c r="G2023" t="s">
        <v>16</v>
      </c>
      <c r="H2023" t="s">
        <v>15</v>
      </c>
      <c r="I2023" t="s">
        <v>57</v>
      </c>
      <c r="J2023" t="s">
        <v>67</v>
      </c>
      <c r="K2023" t="s">
        <v>64</v>
      </c>
      <c r="L2023">
        <v>4</v>
      </c>
      <c r="M2023" s="12">
        <v>150</v>
      </c>
      <c r="N2023" s="12">
        <v>97.5</v>
      </c>
      <c r="O2023">
        <v>2</v>
      </c>
      <c r="P2023" s="12">
        <v>588</v>
      </c>
      <c r="Q2023" s="12">
        <v>390</v>
      </c>
      <c r="R2023" s="12">
        <v>198</v>
      </c>
      <c r="S2023" t="s">
        <v>1246</v>
      </c>
      <c r="T2023" t="s">
        <v>107</v>
      </c>
      <c r="U2023" t="s">
        <v>1201</v>
      </c>
    </row>
    <row r="2024" spans="1:21" x14ac:dyDescent="0.25">
      <c r="A2024" t="s">
        <v>4045</v>
      </c>
      <c r="B2024" s="8">
        <v>45925</v>
      </c>
      <c r="C2024" t="s">
        <v>2873</v>
      </c>
      <c r="D2024" t="s">
        <v>687</v>
      </c>
      <c r="E2024" t="s">
        <v>218</v>
      </c>
      <c r="F2024">
        <v>45</v>
      </c>
      <c r="G2024" t="s">
        <v>290</v>
      </c>
      <c r="H2024" t="s">
        <v>3</v>
      </c>
      <c r="I2024" t="s">
        <v>61</v>
      </c>
      <c r="J2024" t="s">
        <v>146</v>
      </c>
      <c r="K2024" t="s">
        <v>64</v>
      </c>
      <c r="L2024">
        <v>5</v>
      </c>
      <c r="M2024" s="12">
        <v>250</v>
      </c>
      <c r="N2024" s="12">
        <v>155</v>
      </c>
      <c r="O2024">
        <v>5</v>
      </c>
      <c r="P2024" s="12">
        <v>1187.5</v>
      </c>
      <c r="Q2024" s="12">
        <v>775</v>
      </c>
      <c r="R2024" s="12">
        <v>412.5</v>
      </c>
      <c r="S2024" t="s">
        <v>113</v>
      </c>
      <c r="T2024" t="s">
        <v>107</v>
      </c>
      <c r="U2024" t="s">
        <v>1211</v>
      </c>
    </row>
    <row r="2025" spans="1:21" x14ac:dyDescent="0.25">
      <c r="A2025" t="s">
        <v>4046</v>
      </c>
      <c r="B2025" s="8">
        <v>45881</v>
      </c>
      <c r="C2025" t="s">
        <v>1444</v>
      </c>
      <c r="D2025" t="s">
        <v>1058</v>
      </c>
      <c r="E2025" t="s">
        <v>218</v>
      </c>
      <c r="F2025">
        <v>56</v>
      </c>
      <c r="G2025" t="s">
        <v>16</v>
      </c>
      <c r="H2025" t="s">
        <v>15</v>
      </c>
      <c r="I2025" t="s">
        <v>40</v>
      </c>
      <c r="J2025" t="s">
        <v>39</v>
      </c>
      <c r="K2025" t="s">
        <v>22</v>
      </c>
      <c r="L2025">
        <v>4</v>
      </c>
      <c r="M2025" s="12">
        <v>1100</v>
      </c>
      <c r="N2025" s="12">
        <v>715</v>
      </c>
      <c r="O2025">
        <v>8</v>
      </c>
      <c r="P2025" s="12">
        <v>4048</v>
      </c>
      <c r="Q2025" s="12">
        <v>2860</v>
      </c>
      <c r="R2025" s="12">
        <v>1188</v>
      </c>
      <c r="S2025" t="s">
        <v>113</v>
      </c>
      <c r="T2025" t="s">
        <v>108</v>
      </c>
      <c r="U2025" t="s">
        <v>1211</v>
      </c>
    </row>
    <row r="2026" spans="1:21" x14ac:dyDescent="0.25">
      <c r="A2026" t="s">
        <v>4047</v>
      </c>
      <c r="B2026" s="8">
        <v>45873</v>
      </c>
      <c r="C2026" t="s">
        <v>1253</v>
      </c>
      <c r="D2026" t="s">
        <v>1055</v>
      </c>
      <c r="E2026" t="s">
        <v>218</v>
      </c>
      <c r="F2026">
        <v>63</v>
      </c>
      <c r="G2026" t="s">
        <v>7</v>
      </c>
      <c r="H2026" t="s">
        <v>8</v>
      </c>
      <c r="I2026" t="s">
        <v>34</v>
      </c>
      <c r="J2026" t="s">
        <v>137</v>
      </c>
      <c r="K2026" t="s">
        <v>22</v>
      </c>
      <c r="L2026">
        <v>4</v>
      </c>
      <c r="M2026" s="12">
        <v>6900</v>
      </c>
      <c r="N2026" s="12">
        <v>5727</v>
      </c>
      <c r="O2026">
        <v>5</v>
      </c>
      <c r="P2026" s="12">
        <v>26220</v>
      </c>
      <c r="Q2026" s="12">
        <v>22908</v>
      </c>
      <c r="R2026" s="12">
        <v>3312</v>
      </c>
      <c r="S2026" t="s">
        <v>1246</v>
      </c>
      <c r="T2026" t="s">
        <v>108</v>
      </c>
      <c r="U2026" t="s">
        <v>1207</v>
      </c>
    </row>
    <row r="2027" spans="1:21" x14ac:dyDescent="0.25">
      <c r="A2027" t="s">
        <v>4048</v>
      </c>
      <c r="B2027" s="8">
        <v>45950</v>
      </c>
      <c r="C2027" t="s">
        <v>5101</v>
      </c>
      <c r="D2027" t="s">
        <v>944</v>
      </c>
      <c r="E2027" t="s">
        <v>218</v>
      </c>
      <c r="F2027">
        <v>50</v>
      </c>
      <c r="G2027" t="s">
        <v>289</v>
      </c>
      <c r="H2027" t="s">
        <v>3</v>
      </c>
      <c r="I2027" t="s">
        <v>32</v>
      </c>
      <c r="J2027" t="s">
        <v>29</v>
      </c>
      <c r="K2027" t="s">
        <v>22</v>
      </c>
      <c r="L2027">
        <v>1</v>
      </c>
      <c r="M2027" s="12">
        <v>9500</v>
      </c>
      <c r="N2027" s="12">
        <v>6650</v>
      </c>
      <c r="O2027">
        <v>6</v>
      </c>
      <c r="P2027" s="12">
        <v>8930</v>
      </c>
      <c r="Q2027" s="12">
        <v>6650</v>
      </c>
      <c r="R2027" s="12">
        <v>2280</v>
      </c>
      <c r="S2027" t="s">
        <v>1246</v>
      </c>
      <c r="T2027" t="s">
        <v>109</v>
      </c>
      <c r="U2027" t="s">
        <v>1196</v>
      </c>
    </row>
    <row r="2028" spans="1:21" x14ac:dyDescent="0.25">
      <c r="A2028" t="s">
        <v>4049</v>
      </c>
      <c r="B2028" s="8">
        <v>45735</v>
      </c>
      <c r="C2028" t="s">
        <v>3193</v>
      </c>
      <c r="D2028" t="s">
        <v>462</v>
      </c>
      <c r="E2028" t="s">
        <v>198</v>
      </c>
      <c r="F2028">
        <v>38</v>
      </c>
      <c r="G2028" t="s">
        <v>9</v>
      </c>
      <c r="H2028" t="s">
        <v>8</v>
      </c>
      <c r="I2028" t="s">
        <v>21</v>
      </c>
      <c r="J2028" t="s">
        <v>23</v>
      </c>
      <c r="K2028" t="s">
        <v>22</v>
      </c>
      <c r="L2028">
        <v>2</v>
      </c>
      <c r="M2028" s="12">
        <v>54999</v>
      </c>
      <c r="N2028" s="12">
        <v>45099.18</v>
      </c>
      <c r="O2028">
        <v>3</v>
      </c>
      <c r="P2028" s="12">
        <v>106698.06</v>
      </c>
      <c r="Q2028" s="12">
        <v>90198.36</v>
      </c>
      <c r="R2028" s="12">
        <v>16499.699999999997</v>
      </c>
      <c r="S2028" t="s">
        <v>1249</v>
      </c>
      <c r="T2028" t="s">
        <v>108</v>
      </c>
      <c r="U2028" t="s">
        <v>1205</v>
      </c>
    </row>
    <row r="2029" spans="1:21" x14ac:dyDescent="0.25">
      <c r="A2029" t="s">
        <v>4050</v>
      </c>
      <c r="B2029" s="8">
        <v>45690</v>
      </c>
      <c r="C2029" t="s">
        <v>4123</v>
      </c>
      <c r="D2029" t="s">
        <v>383</v>
      </c>
      <c r="E2029" t="s">
        <v>198</v>
      </c>
      <c r="F2029">
        <v>55</v>
      </c>
      <c r="G2029" t="s">
        <v>17</v>
      </c>
      <c r="H2029" t="s">
        <v>15</v>
      </c>
      <c r="I2029" t="s">
        <v>36</v>
      </c>
      <c r="J2029" t="s">
        <v>136</v>
      </c>
      <c r="K2029" t="s">
        <v>22</v>
      </c>
      <c r="L2029">
        <v>3</v>
      </c>
      <c r="M2029" s="12">
        <v>3590</v>
      </c>
      <c r="N2029" s="12">
        <v>2333.5</v>
      </c>
      <c r="O2029">
        <v>3</v>
      </c>
      <c r="P2029" s="12">
        <v>10446.9</v>
      </c>
      <c r="Q2029" s="12">
        <v>7000.5</v>
      </c>
      <c r="R2029" s="12">
        <v>3446.3999999999996</v>
      </c>
      <c r="S2029" t="s">
        <v>113</v>
      </c>
      <c r="T2029" t="s">
        <v>107</v>
      </c>
      <c r="U2029" t="s">
        <v>1211</v>
      </c>
    </row>
    <row r="2030" spans="1:21" x14ac:dyDescent="0.25">
      <c r="A2030" t="s">
        <v>4052</v>
      </c>
      <c r="B2030" s="8">
        <v>46017</v>
      </c>
      <c r="C2030" t="s">
        <v>2279</v>
      </c>
      <c r="D2030" t="s">
        <v>1150</v>
      </c>
      <c r="E2030" t="s">
        <v>218</v>
      </c>
      <c r="F2030">
        <v>26</v>
      </c>
      <c r="G2030" t="s">
        <v>11</v>
      </c>
      <c r="H2030" t="s">
        <v>12</v>
      </c>
      <c r="I2030" t="s">
        <v>34</v>
      </c>
      <c r="J2030" t="s">
        <v>137</v>
      </c>
      <c r="K2030" t="s">
        <v>22</v>
      </c>
      <c r="L2030">
        <v>2</v>
      </c>
      <c r="M2030" s="12">
        <v>6900</v>
      </c>
      <c r="N2030" s="12">
        <v>5727</v>
      </c>
      <c r="O2030">
        <v>14</v>
      </c>
      <c r="P2030" s="12">
        <v>11868</v>
      </c>
      <c r="Q2030" s="12">
        <v>11454</v>
      </c>
      <c r="R2030" s="12">
        <v>414</v>
      </c>
      <c r="S2030" t="s">
        <v>1249</v>
      </c>
      <c r="T2030" t="s">
        <v>107</v>
      </c>
      <c r="U2030" t="s">
        <v>1203</v>
      </c>
    </row>
    <row r="2031" spans="1:21" x14ac:dyDescent="0.25">
      <c r="A2031" t="s">
        <v>4053</v>
      </c>
      <c r="B2031" s="8">
        <v>45785</v>
      </c>
      <c r="C2031" t="s">
        <v>2895</v>
      </c>
      <c r="D2031" t="s">
        <v>774</v>
      </c>
      <c r="E2031" t="s">
        <v>218</v>
      </c>
      <c r="F2031">
        <v>35</v>
      </c>
      <c r="G2031" t="s">
        <v>289</v>
      </c>
      <c r="H2031" t="s">
        <v>3</v>
      </c>
      <c r="I2031" t="s">
        <v>42</v>
      </c>
      <c r="J2031" t="s">
        <v>44</v>
      </c>
      <c r="K2031" t="s">
        <v>43</v>
      </c>
      <c r="L2031">
        <v>1</v>
      </c>
      <c r="M2031" s="12">
        <v>8999</v>
      </c>
      <c r="N2031" s="12">
        <v>6479.28</v>
      </c>
      <c r="O2031">
        <v>5</v>
      </c>
      <c r="P2031" s="12">
        <v>8549.0499999999993</v>
      </c>
      <c r="Q2031" s="12">
        <v>6479.28</v>
      </c>
      <c r="R2031" s="12">
        <v>2069.7699999999995</v>
      </c>
      <c r="S2031" t="s">
        <v>1246</v>
      </c>
      <c r="T2031" t="s">
        <v>107</v>
      </c>
      <c r="U2031" t="s">
        <v>1205</v>
      </c>
    </row>
    <row r="2032" spans="1:21" x14ac:dyDescent="0.25">
      <c r="A2032" t="s">
        <v>4054</v>
      </c>
      <c r="B2032" s="8">
        <v>46022</v>
      </c>
      <c r="C2032" t="s">
        <v>1427</v>
      </c>
      <c r="D2032" t="s">
        <v>744</v>
      </c>
      <c r="E2032" t="s">
        <v>198</v>
      </c>
      <c r="F2032">
        <v>42</v>
      </c>
      <c r="G2032" t="s">
        <v>16</v>
      </c>
      <c r="H2032" t="s">
        <v>15</v>
      </c>
      <c r="I2032" t="s">
        <v>61</v>
      </c>
      <c r="J2032" t="s">
        <v>146</v>
      </c>
      <c r="K2032" t="s">
        <v>64</v>
      </c>
      <c r="L2032">
        <v>4</v>
      </c>
      <c r="M2032" s="12">
        <v>250</v>
      </c>
      <c r="N2032" s="12">
        <v>155</v>
      </c>
      <c r="O2032">
        <v>4</v>
      </c>
      <c r="P2032" s="12">
        <v>960</v>
      </c>
      <c r="Q2032" s="12">
        <v>620</v>
      </c>
      <c r="R2032" s="12">
        <v>340</v>
      </c>
      <c r="S2032" t="s">
        <v>1246</v>
      </c>
      <c r="T2032" t="s">
        <v>107</v>
      </c>
      <c r="U2032" t="s">
        <v>1196</v>
      </c>
    </row>
    <row r="2033" spans="1:21" x14ac:dyDescent="0.25">
      <c r="A2033" t="s">
        <v>4055</v>
      </c>
      <c r="B2033" s="8">
        <v>45660</v>
      </c>
      <c r="C2033" t="s">
        <v>2467</v>
      </c>
      <c r="D2033" t="s">
        <v>654</v>
      </c>
      <c r="E2033" t="s">
        <v>198</v>
      </c>
      <c r="F2033">
        <v>30</v>
      </c>
      <c r="G2033" t="s">
        <v>5</v>
      </c>
      <c r="H2033" t="s">
        <v>3</v>
      </c>
      <c r="I2033" t="s">
        <v>51</v>
      </c>
      <c r="J2033" t="s">
        <v>54</v>
      </c>
      <c r="K2033" t="s">
        <v>43</v>
      </c>
      <c r="L2033">
        <v>5</v>
      </c>
      <c r="M2033" s="12">
        <v>27499</v>
      </c>
      <c r="N2033" s="12">
        <v>21724.210000000003</v>
      </c>
      <c r="O2033">
        <v>5</v>
      </c>
      <c r="P2033" s="12">
        <v>130620.25</v>
      </c>
      <c r="Q2033" s="12">
        <v>108621.05000000002</v>
      </c>
      <c r="R2033" s="12">
        <v>21999.199999999983</v>
      </c>
      <c r="S2033" t="s">
        <v>113</v>
      </c>
      <c r="T2033" t="s">
        <v>109</v>
      </c>
      <c r="U2033" t="s">
        <v>1211</v>
      </c>
    </row>
    <row r="2034" spans="1:21" x14ac:dyDescent="0.25">
      <c r="A2034" t="s">
        <v>4056</v>
      </c>
      <c r="B2034" s="8">
        <v>45816</v>
      </c>
      <c r="C2034" t="s">
        <v>2962</v>
      </c>
      <c r="D2034" t="s">
        <v>584</v>
      </c>
      <c r="E2034" t="s">
        <v>218</v>
      </c>
      <c r="F2034">
        <v>46</v>
      </c>
      <c r="G2034" t="s">
        <v>11</v>
      </c>
      <c r="H2034" t="s">
        <v>12</v>
      </c>
      <c r="I2034" t="s">
        <v>28</v>
      </c>
      <c r="J2034" t="s">
        <v>35</v>
      </c>
      <c r="K2034" t="s">
        <v>22</v>
      </c>
      <c r="L2034">
        <v>1</v>
      </c>
      <c r="M2034" s="12">
        <v>16499</v>
      </c>
      <c r="N2034" s="12">
        <v>14519.12</v>
      </c>
      <c r="O2034">
        <v>10</v>
      </c>
      <c r="P2034" s="12">
        <v>14849.1</v>
      </c>
      <c r="Q2034" s="12">
        <v>14519.12</v>
      </c>
      <c r="R2034" s="12">
        <v>329.97999999999956</v>
      </c>
      <c r="S2034" t="s">
        <v>1246</v>
      </c>
      <c r="T2034" t="s">
        <v>107</v>
      </c>
      <c r="U2034" t="s">
        <v>1201</v>
      </c>
    </row>
    <row r="2035" spans="1:21" x14ac:dyDescent="0.25">
      <c r="A2035" t="s">
        <v>4057</v>
      </c>
      <c r="B2035" s="8">
        <v>45758</v>
      </c>
      <c r="C2035" t="s">
        <v>3061</v>
      </c>
      <c r="D2035" t="s">
        <v>709</v>
      </c>
      <c r="E2035" t="s">
        <v>218</v>
      </c>
      <c r="F2035">
        <v>28</v>
      </c>
      <c r="G2035" t="s">
        <v>17</v>
      </c>
      <c r="H2035" t="s">
        <v>15</v>
      </c>
      <c r="I2035" t="s">
        <v>30</v>
      </c>
      <c r="J2035" t="s">
        <v>41</v>
      </c>
      <c r="K2035" t="s">
        <v>22</v>
      </c>
      <c r="L2035">
        <v>1</v>
      </c>
      <c r="M2035" s="12">
        <v>13749</v>
      </c>
      <c r="N2035" s="12">
        <v>10999.2</v>
      </c>
      <c r="O2035">
        <v>4</v>
      </c>
      <c r="P2035" s="12">
        <v>13199.039999999999</v>
      </c>
      <c r="Q2035" s="12">
        <v>10999.2</v>
      </c>
      <c r="R2035" s="12">
        <v>2199.8399999999983</v>
      </c>
      <c r="S2035" t="s">
        <v>1246</v>
      </c>
      <c r="T2035" t="s">
        <v>108</v>
      </c>
      <c r="U2035" t="s">
        <v>1207</v>
      </c>
    </row>
    <row r="2036" spans="1:21" x14ac:dyDescent="0.25">
      <c r="A2036" t="s">
        <v>4058</v>
      </c>
      <c r="B2036" s="8">
        <v>45776</v>
      </c>
      <c r="C2036" t="s">
        <v>1402</v>
      </c>
      <c r="D2036" t="s">
        <v>996</v>
      </c>
      <c r="E2036" t="s">
        <v>198</v>
      </c>
      <c r="F2036">
        <v>51</v>
      </c>
      <c r="G2036" t="s">
        <v>290</v>
      </c>
      <c r="H2036" t="s">
        <v>3</v>
      </c>
      <c r="I2036" t="s">
        <v>28</v>
      </c>
      <c r="J2036" t="s">
        <v>35</v>
      </c>
      <c r="K2036" t="s">
        <v>22</v>
      </c>
      <c r="L2036">
        <v>5</v>
      </c>
      <c r="M2036" s="12">
        <v>16499</v>
      </c>
      <c r="N2036" s="12">
        <v>14519.12</v>
      </c>
      <c r="O2036">
        <v>8</v>
      </c>
      <c r="P2036" s="12">
        <v>75895.400000000009</v>
      </c>
      <c r="Q2036" s="12">
        <v>72595.600000000006</v>
      </c>
      <c r="R2036" s="12">
        <v>3299.8000000000029</v>
      </c>
      <c r="S2036" t="s">
        <v>1246</v>
      </c>
      <c r="T2036" t="s">
        <v>107</v>
      </c>
      <c r="U2036" t="s">
        <v>1198</v>
      </c>
    </row>
    <row r="2037" spans="1:21" x14ac:dyDescent="0.25">
      <c r="A2037" t="s">
        <v>4059</v>
      </c>
      <c r="B2037" s="8">
        <v>45947</v>
      </c>
      <c r="C2037" t="s">
        <v>3971</v>
      </c>
      <c r="D2037" t="s">
        <v>903</v>
      </c>
      <c r="E2037" t="s">
        <v>218</v>
      </c>
      <c r="F2037">
        <v>56</v>
      </c>
      <c r="G2037" t="s">
        <v>4</v>
      </c>
      <c r="H2037" t="s">
        <v>3</v>
      </c>
      <c r="I2037" t="s">
        <v>28</v>
      </c>
      <c r="J2037" t="s">
        <v>35</v>
      </c>
      <c r="K2037" t="s">
        <v>22</v>
      </c>
      <c r="L2037">
        <v>3</v>
      </c>
      <c r="M2037" s="12">
        <v>16499</v>
      </c>
      <c r="N2037" s="12">
        <v>14519.12</v>
      </c>
      <c r="O2037">
        <v>7</v>
      </c>
      <c r="P2037" s="12">
        <v>46032.21</v>
      </c>
      <c r="Q2037" s="12">
        <v>43557.36</v>
      </c>
      <c r="R2037" s="12">
        <v>2474.8499999999985</v>
      </c>
      <c r="S2037" t="s">
        <v>1246</v>
      </c>
      <c r="T2037" t="s">
        <v>108</v>
      </c>
      <c r="U2037" t="s">
        <v>1201</v>
      </c>
    </row>
    <row r="2038" spans="1:21" x14ac:dyDescent="0.25">
      <c r="A2038" t="s">
        <v>4060</v>
      </c>
      <c r="B2038" s="8">
        <v>45977</v>
      </c>
      <c r="C2038" t="s">
        <v>2532</v>
      </c>
      <c r="D2038" t="s">
        <v>621</v>
      </c>
      <c r="E2038" t="s">
        <v>198</v>
      </c>
      <c r="F2038">
        <v>18</v>
      </c>
      <c r="G2038" t="s">
        <v>2</v>
      </c>
      <c r="H2038" t="s">
        <v>3</v>
      </c>
      <c r="I2038" t="s">
        <v>47</v>
      </c>
      <c r="J2038" t="s">
        <v>52</v>
      </c>
      <c r="K2038" t="s">
        <v>43</v>
      </c>
      <c r="L2038">
        <v>5</v>
      </c>
      <c r="M2038" s="12">
        <v>42999</v>
      </c>
      <c r="N2038" s="12">
        <v>33539.22</v>
      </c>
      <c r="O2038">
        <v>18</v>
      </c>
      <c r="P2038" s="12">
        <v>176295.90000000002</v>
      </c>
      <c r="Q2038" s="12">
        <v>167696.1</v>
      </c>
      <c r="R2038" s="12">
        <v>8599.8000000000175</v>
      </c>
      <c r="S2038" t="s">
        <v>1246</v>
      </c>
      <c r="T2038" t="s">
        <v>110</v>
      </c>
      <c r="U2038" t="s">
        <v>1203</v>
      </c>
    </row>
    <row r="2039" spans="1:21" x14ac:dyDescent="0.25">
      <c r="A2039" t="s">
        <v>4061</v>
      </c>
      <c r="B2039" s="8">
        <v>45914</v>
      </c>
      <c r="C2039" t="s">
        <v>1646</v>
      </c>
      <c r="D2039" t="s">
        <v>1078</v>
      </c>
      <c r="E2039" t="s">
        <v>218</v>
      </c>
      <c r="F2039">
        <v>58</v>
      </c>
      <c r="G2039" t="s">
        <v>11</v>
      </c>
      <c r="H2039" t="s">
        <v>12</v>
      </c>
      <c r="I2039" t="s">
        <v>38</v>
      </c>
      <c r="J2039" t="s">
        <v>37</v>
      </c>
      <c r="K2039" t="s">
        <v>22</v>
      </c>
      <c r="L2039">
        <v>1</v>
      </c>
      <c r="M2039" s="12">
        <v>1650</v>
      </c>
      <c r="N2039" s="12">
        <v>990</v>
      </c>
      <c r="O2039">
        <v>7</v>
      </c>
      <c r="P2039" s="12">
        <v>1534.5</v>
      </c>
      <c r="Q2039" s="12">
        <v>990</v>
      </c>
      <c r="R2039" s="12">
        <v>544.5</v>
      </c>
      <c r="S2039" t="s">
        <v>113</v>
      </c>
      <c r="T2039" t="s">
        <v>109</v>
      </c>
      <c r="U2039" t="s">
        <v>1194</v>
      </c>
    </row>
    <row r="2040" spans="1:21" x14ac:dyDescent="0.25">
      <c r="A2040" t="s">
        <v>4062</v>
      </c>
      <c r="B2040" s="8">
        <v>45917</v>
      </c>
      <c r="C2040" t="s">
        <v>3274</v>
      </c>
      <c r="D2040" t="s">
        <v>1030</v>
      </c>
      <c r="E2040" t="s">
        <v>198</v>
      </c>
      <c r="F2040">
        <v>31</v>
      </c>
      <c r="G2040" t="s">
        <v>5</v>
      </c>
      <c r="H2040" t="s">
        <v>3</v>
      </c>
      <c r="I2040" t="s">
        <v>32</v>
      </c>
      <c r="J2040" t="s">
        <v>29</v>
      </c>
      <c r="K2040" t="s">
        <v>22</v>
      </c>
      <c r="L2040">
        <v>1</v>
      </c>
      <c r="M2040" s="12">
        <v>9500</v>
      </c>
      <c r="N2040" s="12">
        <v>6650</v>
      </c>
      <c r="O2040">
        <v>5</v>
      </c>
      <c r="P2040" s="12">
        <v>9025</v>
      </c>
      <c r="Q2040" s="12">
        <v>6650</v>
      </c>
      <c r="R2040" s="12">
        <v>2375</v>
      </c>
      <c r="S2040" t="s">
        <v>1246</v>
      </c>
      <c r="T2040" t="s">
        <v>109</v>
      </c>
      <c r="U2040" t="s">
        <v>1207</v>
      </c>
    </row>
    <row r="2041" spans="1:21" x14ac:dyDescent="0.25">
      <c r="A2041" t="s">
        <v>4063</v>
      </c>
      <c r="B2041" s="8">
        <v>45849</v>
      </c>
      <c r="C2041" t="s">
        <v>2895</v>
      </c>
      <c r="D2041" t="s">
        <v>774</v>
      </c>
      <c r="E2041" t="s">
        <v>218</v>
      </c>
      <c r="F2041">
        <v>35</v>
      </c>
      <c r="G2041" t="s">
        <v>289</v>
      </c>
      <c r="H2041" t="s">
        <v>3</v>
      </c>
      <c r="I2041" t="s">
        <v>32</v>
      </c>
      <c r="J2041" t="s">
        <v>29</v>
      </c>
      <c r="K2041" t="s">
        <v>22</v>
      </c>
      <c r="L2041">
        <v>4</v>
      </c>
      <c r="M2041" s="12">
        <v>9500</v>
      </c>
      <c r="N2041" s="12">
        <v>6650</v>
      </c>
      <c r="O2041">
        <v>7</v>
      </c>
      <c r="P2041" s="12">
        <v>35340</v>
      </c>
      <c r="Q2041" s="12">
        <v>26600</v>
      </c>
      <c r="R2041" s="12">
        <v>8740</v>
      </c>
      <c r="S2041" t="s">
        <v>113</v>
      </c>
      <c r="T2041" t="s">
        <v>108</v>
      </c>
      <c r="U2041" t="s">
        <v>1211</v>
      </c>
    </row>
    <row r="2042" spans="1:21" x14ac:dyDescent="0.25">
      <c r="A2042" t="s">
        <v>4064</v>
      </c>
      <c r="B2042" s="8">
        <v>45800</v>
      </c>
      <c r="C2042" t="s">
        <v>1805</v>
      </c>
      <c r="D2042" t="s">
        <v>1042</v>
      </c>
      <c r="E2042" t="s">
        <v>218</v>
      </c>
      <c r="F2042">
        <v>64</v>
      </c>
      <c r="G2042" t="s">
        <v>5</v>
      </c>
      <c r="H2042" t="s">
        <v>3</v>
      </c>
      <c r="I2042" t="s">
        <v>36</v>
      </c>
      <c r="J2042" t="s">
        <v>136</v>
      </c>
      <c r="K2042" t="s">
        <v>22</v>
      </c>
      <c r="L2042">
        <v>1</v>
      </c>
      <c r="M2042" s="12">
        <v>3590</v>
      </c>
      <c r="N2042" s="12">
        <v>2333.5</v>
      </c>
      <c r="O2042">
        <v>9</v>
      </c>
      <c r="P2042" s="12">
        <v>3266.9</v>
      </c>
      <c r="Q2042" s="12">
        <v>2333.5</v>
      </c>
      <c r="R2042" s="12">
        <v>933.40000000000009</v>
      </c>
      <c r="S2042" t="s">
        <v>1246</v>
      </c>
      <c r="T2042" t="s">
        <v>109</v>
      </c>
      <c r="U2042" t="s">
        <v>1196</v>
      </c>
    </row>
    <row r="2043" spans="1:21" x14ac:dyDescent="0.25">
      <c r="A2043" t="s">
        <v>4066</v>
      </c>
      <c r="B2043" s="8">
        <v>45968</v>
      </c>
      <c r="C2043" t="s">
        <v>2219</v>
      </c>
      <c r="D2043" t="s">
        <v>1160</v>
      </c>
      <c r="E2043" t="s">
        <v>198</v>
      </c>
      <c r="F2043">
        <v>49</v>
      </c>
      <c r="G2043" t="s">
        <v>14</v>
      </c>
      <c r="H2043" t="s">
        <v>15</v>
      </c>
      <c r="I2043" t="s">
        <v>40</v>
      </c>
      <c r="J2043" t="s">
        <v>39</v>
      </c>
      <c r="K2043" t="s">
        <v>22</v>
      </c>
      <c r="L2043">
        <v>1</v>
      </c>
      <c r="M2043" s="12">
        <v>1100</v>
      </c>
      <c r="N2043" s="12">
        <v>715</v>
      </c>
      <c r="O2043">
        <v>13</v>
      </c>
      <c r="P2043" s="12">
        <v>957</v>
      </c>
      <c r="Q2043" s="12">
        <v>715</v>
      </c>
      <c r="R2043" s="12">
        <v>242</v>
      </c>
      <c r="S2043" t="s">
        <v>113</v>
      </c>
      <c r="T2043" t="s">
        <v>107</v>
      </c>
      <c r="U2043" t="s">
        <v>1194</v>
      </c>
    </row>
    <row r="2044" spans="1:21" x14ac:dyDescent="0.25">
      <c r="A2044" t="s">
        <v>4067</v>
      </c>
      <c r="B2044" s="8">
        <v>45783</v>
      </c>
      <c r="C2044" t="s">
        <v>3187</v>
      </c>
      <c r="D2044" t="s">
        <v>1094</v>
      </c>
      <c r="E2044" t="s">
        <v>198</v>
      </c>
      <c r="F2044">
        <v>58</v>
      </c>
      <c r="G2044" t="s">
        <v>2</v>
      </c>
      <c r="H2044" t="s">
        <v>3</v>
      </c>
      <c r="I2044" t="s">
        <v>34</v>
      </c>
      <c r="J2044" t="s">
        <v>137</v>
      </c>
      <c r="K2044" t="s">
        <v>22</v>
      </c>
      <c r="L2044">
        <v>4</v>
      </c>
      <c r="M2044" s="12">
        <v>6900</v>
      </c>
      <c r="N2044" s="12">
        <v>5727</v>
      </c>
      <c r="O2044">
        <v>10</v>
      </c>
      <c r="P2044" s="12">
        <v>24840</v>
      </c>
      <c r="Q2044" s="12">
        <v>22908</v>
      </c>
      <c r="R2044" s="12">
        <v>1932</v>
      </c>
      <c r="S2044" t="s">
        <v>1246</v>
      </c>
      <c r="T2044" t="s">
        <v>107</v>
      </c>
      <c r="U2044" t="s">
        <v>1199</v>
      </c>
    </row>
    <row r="2045" spans="1:21" x14ac:dyDescent="0.25">
      <c r="A2045" t="s">
        <v>4068</v>
      </c>
      <c r="B2045" s="8">
        <v>46013</v>
      </c>
      <c r="C2045" t="s">
        <v>2121</v>
      </c>
      <c r="D2045" t="s">
        <v>1112</v>
      </c>
      <c r="E2045" t="s">
        <v>218</v>
      </c>
      <c r="F2045">
        <v>43</v>
      </c>
      <c r="G2045" t="s">
        <v>290</v>
      </c>
      <c r="H2045" t="s">
        <v>3</v>
      </c>
      <c r="I2045" t="s">
        <v>28</v>
      </c>
      <c r="J2045" t="s">
        <v>35</v>
      </c>
      <c r="K2045" t="s">
        <v>22</v>
      </c>
      <c r="L2045">
        <v>5</v>
      </c>
      <c r="M2045" s="12">
        <v>16499</v>
      </c>
      <c r="N2045" s="12">
        <v>14519.12</v>
      </c>
      <c r="O2045">
        <v>14</v>
      </c>
      <c r="P2045" s="12">
        <v>70945.7</v>
      </c>
      <c r="Q2045" s="12">
        <v>72595.600000000006</v>
      </c>
      <c r="R2045" s="12">
        <v>-1649.9000000000087</v>
      </c>
      <c r="S2045" t="s">
        <v>1246</v>
      </c>
      <c r="T2045" t="s">
        <v>111</v>
      </c>
      <c r="U2045" t="s">
        <v>1196</v>
      </c>
    </row>
    <row r="2046" spans="1:21" x14ac:dyDescent="0.25">
      <c r="A2046" t="s">
        <v>4069</v>
      </c>
      <c r="B2046" s="8">
        <v>45885</v>
      </c>
      <c r="C2046" t="s">
        <v>2543</v>
      </c>
      <c r="D2046" t="s">
        <v>958</v>
      </c>
      <c r="E2046" t="s">
        <v>218</v>
      </c>
      <c r="F2046">
        <v>34</v>
      </c>
      <c r="G2046" t="s">
        <v>4</v>
      </c>
      <c r="H2046" t="s">
        <v>3</v>
      </c>
      <c r="I2046" t="s">
        <v>26</v>
      </c>
      <c r="J2046" t="s">
        <v>27</v>
      </c>
      <c r="K2046" t="s">
        <v>22</v>
      </c>
      <c r="L2046">
        <v>5</v>
      </c>
      <c r="M2046" s="12">
        <v>27499</v>
      </c>
      <c r="N2046" s="12">
        <v>23374.149999999998</v>
      </c>
      <c r="O2046">
        <v>5</v>
      </c>
      <c r="P2046" s="12">
        <v>130620.25</v>
      </c>
      <c r="Q2046" s="12">
        <v>116870.74999999999</v>
      </c>
      <c r="R2046" s="12">
        <v>13749.500000000015</v>
      </c>
      <c r="S2046" t="s">
        <v>1246</v>
      </c>
      <c r="T2046" t="s">
        <v>107</v>
      </c>
      <c r="U2046" t="s">
        <v>1198</v>
      </c>
    </row>
    <row r="2047" spans="1:21" x14ac:dyDescent="0.25">
      <c r="A2047" t="s">
        <v>4070</v>
      </c>
      <c r="B2047" s="8">
        <v>45938</v>
      </c>
      <c r="C2047" t="s">
        <v>3643</v>
      </c>
      <c r="D2047" t="s">
        <v>632</v>
      </c>
      <c r="E2047" t="s">
        <v>198</v>
      </c>
      <c r="F2047">
        <v>36</v>
      </c>
      <c r="G2047" t="s">
        <v>289</v>
      </c>
      <c r="H2047" t="s">
        <v>3</v>
      </c>
      <c r="I2047" t="s">
        <v>21</v>
      </c>
      <c r="J2047" t="s">
        <v>23</v>
      </c>
      <c r="K2047" t="s">
        <v>22</v>
      </c>
      <c r="L2047">
        <v>5</v>
      </c>
      <c r="M2047" s="12">
        <v>54999</v>
      </c>
      <c r="N2047" s="12">
        <v>45099.18</v>
      </c>
      <c r="O2047">
        <v>5</v>
      </c>
      <c r="P2047" s="12">
        <v>261245.25</v>
      </c>
      <c r="Q2047" s="12">
        <v>225495.9</v>
      </c>
      <c r="R2047" s="12">
        <v>35749.350000000006</v>
      </c>
      <c r="S2047" t="s">
        <v>113</v>
      </c>
      <c r="T2047" t="s">
        <v>109</v>
      </c>
      <c r="U2047" t="s">
        <v>1203</v>
      </c>
    </row>
    <row r="2048" spans="1:21" x14ac:dyDescent="0.25">
      <c r="A2048" t="s">
        <v>4071</v>
      </c>
      <c r="B2048" s="8">
        <v>45893</v>
      </c>
      <c r="C2048" t="s">
        <v>2733</v>
      </c>
      <c r="D2048" t="s">
        <v>1163</v>
      </c>
      <c r="E2048" t="s">
        <v>198</v>
      </c>
      <c r="F2048">
        <v>34</v>
      </c>
      <c r="G2048" t="s">
        <v>11</v>
      </c>
      <c r="H2048" t="s">
        <v>12</v>
      </c>
      <c r="I2048" t="s">
        <v>42</v>
      </c>
      <c r="J2048" t="s">
        <v>44</v>
      </c>
      <c r="K2048" t="s">
        <v>43</v>
      </c>
      <c r="L2048">
        <v>1</v>
      </c>
      <c r="M2048" s="12">
        <v>8999</v>
      </c>
      <c r="N2048" s="12">
        <v>6479.28</v>
      </c>
      <c r="O2048">
        <v>8</v>
      </c>
      <c r="P2048" s="12">
        <v>8279.08</v>
      </c>
      <c r="Q2048" s="12">
        <v>6479.28</v>
      </c>
      <c r="R2048" s="12">
        <v>1799.8000000000002</v>
      </c>
      <c r="S2048" t="s">
        <v>113</v>
      </c>
      <c r="T2048" t="s">
        <v>110</v>
      </c>
      <c r="U2048" t="s">
        <v>1196</v>
      </c>
    </row>
    <row r="2049" spans="1:21" x14ac:dyDescent="0.25">
      <c r="A2049" t="s">
        <v>4072</v>
      </c>
      <c r="B2049" s="8">
        <v>46020</v>
      </c>
      <c r="C2049" t="s">
        <v>1745</v>
      </c>
      <c r="D2049" t="s">
        <v>1046</v>
      </c>
      <c r="E2049" t="s">
        <v>198</v>
      </c>
      <c r="F2049">
        <v>53</v>
      </c>
      <c r="G2049" t="s">
        <v>9</v>
      </c>
      <c r="H2049" t="s">
        <v>8</v>
      </c>
      <c r="I2049" t="s">
        <v>26</v>
      </c>
      <c r="J2049" t="s">
        <v>27</v>
      </c>
      <c r="K2049" t="s">
        <v>22</v>
      </c>
      <c r="L2049">
        <v>2</v>
      </c>
      <c r="M2049" s="12">
        <v>27499</v>
      </c>
      <c r="N2049" s="12">
        <v>23374.149999999998</v>
      </c>
      <c r="O2049">
        <v>17</v>
      </c>
      <c r="P2049" s="12">
        <v>45648.34</v>
      </c>
      <c r="Q2049" s="12">
        <v>46748.299999999996</v>
      </c>
      <c r="R2049" s="12">
        <v>-1099.9599999999991</v>
      </c>
      <c r="S2049" t="s">
        <v>113</v>
      </c>
      <c r="T2049" t="s">
        <v>107</v>
      </c>
      <c r="U2049" t="s">
        <v>1211</v>
      </c>
    </row>
    <row r="2050" spans="1:21" x14ac:dyDescent="0.25">
      <c r="A2050" t="s">
        <v>4073</v>
      </c>
      <c r="B2050" s="8">
        <v>45812</v>
      </c>
      <c r="C2050" t="s">
        <v>2514</v>
      </c>
      <c r="D2050" t="s">
        <v>480</v>
      </c>
      <c r="E2050" t="s">
        <v>218</v>
      </c>
      <c r="F2050">
        <v>43</v>
      </c>
      <c r="G2050" t="s">
        <v>2</v>
      </c>
      <c r="H2050" t="s">
        <v>3</v>
      </c>
      <c r="I2050" t="s">
        <v>61</v>
      </c>
      <c r="J2050" t="s">
        <v>146</v>
      </c>
      <c r="K2050" t="s">
        <v>64</v>
      </c>
      <c r="L2050">
        <v>4</v>
      </c>
      <c r="M2050" s="12">
        <v>250</v>
      </c>
      <c r="N2050" s="12">
        <v>155</v>
      </c>
      <c r="O2050">
        <v>11</v>
      </c>
      <c r="P2050" s="12">
        <v>890</v>
      </c>
      <c r="Q2050" s="12">
        <v>620</v>
      </c>
      <c r="R2050" s="12">
        <v>270</v>
      </c>
      <c r="S2050" t="s">
        <v>1246</v>
      </c>
      <c r="T2050" t="s">
        <v>109</v>
      </c>
      <c r="U2050" t="s">
        <v>1201</v>
      </c>
    </row>
    <row r="2051" spans="1:21" x14ac:dyDescent="0.25">
      <c r="A2051" t="s">
        <v>4074</v>
      </c>
      <c r="B2051" s="8">
        <v>45918</v>
      </c>
      <c r="C2051" t="s">
        <v>1359</v>
      </c>
      <c r="D2051" t="s">
        <v>942</v>
      </c>
      <c r="E2051" t="s">
        <v>198</v>
      </c>
      <c r="F2051">
        <v>49</v>
      </c>
      <c r="G2051" t="s">
        <v>11</v>
      </c>
      <c r="H2051" t="s">
        <v>12</v>
      </c>
      <c r="I2051" t="s">
        <v>24</v>
      </c>
      <c r="J2051" t="s">
        <v>25</v>
      </c>
      <c r="K2051" t="s">
        <v>22</v>
      </c>
      <c r="L2051">
        <v>3</v>
      </c>
      <c r="M2051" s="12">
        <v>35800</v>
      </c>
      <c r="N2051" s="12">
        <v>28640</v>
      </c>
      <c r="O2051">
        <v>4</v>
      </c>
      <c r="P2051" s="12">
        <v>103104</v>
      </c>
      <c r="Q2051" s="12">
        <v>85920</v>
      </c>
      <c r="R2051" s="12">
        <v>17184</v>
      </c>
      <c r="S2051" t="s">
        <v>1246</v>
      </c>
      <c r="T2051" t="s">
        <v>107</v>
      </c>
      <c r="U2051" t="s">
        <v>1201</v>
      </c>
    </row>
    <row r="2052" spans="1:21" x14ac:dyDescent="0.25">
      <c r="A2052" t="s">
        <v>4075</v>
      </c>
      <c r="B2052" s="8">
        <v>45836</v>
      </c>
      <c r="C2052" t="s">
        <v>4700</v>
      </c>
      <c r="D2052" t="s">
        <v>365</v>
      </c>
      <c r="E2052" t="s">
        <v>218</v>
      </c>
      <c r="F2052">
        <v>43</v>
      </c>
      <c r="G2052" t="s">
        <v>10</v>
      </c>
      <c r="H2052" t="s">
        <v>8</v>
      </c>
      <c r="I2052" t="s">
        <v>24</v>
      </c>
      <c r="J2052" t="s">
        <v>25</v>
      </c>
      <c r="K2052" t="s">
        <v>22</v>
      </c>
      <c r="L2052">
        <v>2</v>
      </c>
      <c r="M2052" s="12">
        <v>35800</v>
      </c>
      <c r="N2052" s="12">
        <v>28640</v>
      </c>
      <c r="O2052">
        <v>5</v>
      </c>
      <c r="P2052" s="12">
        <v>68020</v>
      </c>
      <c r="Q2052" s="12">
        <v>57280</v>
      </c>
      <c r="R2052" s="12">
        <v>10740</v>
      </c>
      <c r="S2052" t="s">
        <v>113</v>
      </c>
      <c r="T2052" t="s">
        <v>107</v>
      </c>
      <c r="U2052" t="s">
        <v>1207</v>
      </c>
    </row>
    <row r="2053" spans="1:21" x14ac:dyDescent="0.25">
      <c r="A2053" t="s">
        <v>4076</v>
      </c>
      <c r="B2053" s="8">
        <v>45700</v>
      </c>
      <c r="C2053" t="s">
        <v>1488</v>
      </c>
      <c r="D2053" t="s">
        <v>551</v>
      </c>
      <c r="E2053" t="s">
        <v>198</v>
      </c>
      <c r="F2053">
        <v>41</v>
      </c>
      <c r="G2053" t="s">
        <v>5</v>
      </c>
      <c r="H2053" t="s">
        <v>3</v>
      </c>
      <c r="I2053" t="s">
        <v>45</v>
      </c>
      <c r="J2053" t="s">
        <v>46</v>
      </c>
      <c r="K2053" t="s">
        <v>43</v>
      </c>
      <c r="L2053">
        <v>5</v>
      </c>
      <c r="M2053" s="12">
        <v>11999</v>
      </c>
      <c r="N2053" s="12">
        <v>8999.25</v>
      </c>
      <c r="O2053">
        <v>8</v>
      </c>
      <c r="P2053" s="12">
        <v>55195.4</v>
      </c>
      <c r="Q2053" s="12">
        <v>44996.25</v>
      </c>
      <c r="R2053" s="12">
        <v>10199.150000000001</v>
      </c>
      <c r="S2053" t="s">
        <v>1246</v>
      </c>
      <c r="T2053" t="s">
        <v>108</v>
      </c>
      <c r="U2053" t="s">
        <v>1205</v>
      </c>
    </row>
    <row r="2054" spans="1:21" x14ac:dyDescent="0.25">
      <c r="A2054" t="s">
        <v>4077</v>
      </c>
      <c r="B2054" s="8">
        <v>45710</v>
      </c>
      <c r="C2054" t="s">
        <v>3690</v>
      </c>
      <c r="D2054" t="s">
        <v>512</v>
      </c>
      <c r="E2054" t="s">
        <v>198</v>
      </c>
      <c r="F2054">
        <v>48</v>
      </c>
      <c r="G2054" t="s">
        <v>16</v>
      </c>
      <c r="H2054" t="s">
        <v>15</v>
      </c>
      <c r="I2054" t="s">
        <v>47</v>
      </c>
      <c r="J2054" t="s">
        <v>52</v>
      </c>
      <c r="K2054" t="s">
        <v>43</v>
      </c>
      <c r="L2054">
        <v>3</v>
      </c>
      <c r="M2054" s="12">
        <v>42999</v>
      </c>
      <c r="N2054" s="12">
        <v>33539.22</v>
      </c>
      <c r="O2054">
        <v>10</v>
      </c>
      <c r="P2054" s="12">
        <v>116097.3</v>
      </c>
      <c r="Q2054" s="12">
        <v>100617.66</v>
      </c>
      <c r="R2054" s="12">
        <v>15479.64</v>
      </c>
      <c r="S2054" t="s">
        <v>1246</v>
      </c>
      <c r="T2054" t="s">
        <v>107</v>
      </c>
      <c r="U2054" t="s">
        <v>1199</v>
      </c>
    </row>
    <row r="2055" spans="1:21" x14ac:dyDescent="0.25">
      <c r="A2055" t="s">
        <v>4078</v>
      </c>
      <c r="B2055" s="8">
        <v>45766</v>
      </c>
      <c r="C2055" t="s">
        <v>1802</v>
      </c>
      <c r="D2055" t="s">
        <v>932</v>
      </c>
      <c r="E2055" t="s">
        <v>198</v>
      </c>
      <c r="F2055">
        <v>42</v>
      </c>
      <c r="G2055" t="s">
        <v>289</v>
      </c>
      <c r="H2055" t="s">
        <v>3</v>
      </c>
      <c r="I2055" t="s">
        <v>47</v>
      </c>
      <c r="J2055" t="s">
        <v>52</v>
      </c>
      <c r="K2055" t="s">
        <v>43</v>
      </c>
      <c r="L2055">
        <v>5</v>
      </c>
      <c r="M2055" s="12">
        <v>42999</v>
      </c>
      <c r="N2055" s="12">
        <v>33539.22</v>
      </c>
      <c r="O2055">
        <v>5</v>
      </c>
      <c r="P2055" s="12">
        <v>204245.25</v>
      </c>
      <c r="Q2055" s="12">
        <v>167696.1</v>
      </c>
      <c r="R2055" s="12">
        <v>36549.149999999994</v>
      </c>
      <c r="S2055" t="s">
        <v>113</v>
      </c>
      <c r="T2055" t="s">
        <v>109</v>
      </c>
      <c r="U2055" t="s">
        <v>1203</v>
      </c>
    </row>
    <row r="2056" spans="1:21" x14ac:dyDescent="0.25">
      <c r="A2056" t="s">
        <v>4079</v>
      </c>
      <c r="B2056" s="8">
        <v>45999</v>
      </c>
      <c r="C2056" t="s">
        <v>5095</v>
      </c>
      <c r="D2056" t="s">
        <v>416</v>
      </c>
      <c r="E2056" t="s">
        <v>198</v>
      </c>
      <c r="F2056">
        <v>51</v>
      </c>
      <c r="G2056" t="s">
        <v>289</v>
      </c>
      <c r="H2056" t="s">
        <v>3</v>
      </c>
      <c r="I2056" t="s">
        <v>21</v>
      </c>
      <c r="J2056" t="s">
        <v>23</v>
      </c>
      <c r="K2056" t="s">
        <v>22</v>
      </c>
      <c r="L2056">
        <v>1</v>
      </c>
      <c r="M2056" s="12">
        <v>54999</v>
      </c>
      <c r="N2056" s="12">
        <v>45099.18</v>
      </c>
      <c r="O2056">
        <v>12</v>
      </c>
      <c r="P2056" s="12">
        <v>48399.12</v>
      </c>
      <c r="Q2056" s="12">
        <v>45099.18</v>
      </c>
      <c r="R2056" s="12">
        <v>3299.9400000000023</v>
      </c>
      <c r="S2056" t="s">
        <v>113</v>
      </c>
      <c r="T2056" t="s">
        <v>109</v>
      </c>
      <c r="U2056" t="s">
        <v>1199</v>
      </c>
    </row>
    <row r="2057" spans="1:21" x14ac:dyDescent="0.25">
      <c r="A2057" t="s">
        <v>4080</v>
      </c>
      <c r="B2057" s="8">
        <v>45734</v>
      </c>
      <c r="C2057" t="s">
        <v>1793</v>
      </c>
      <c r="D2057" t="s">
        <v>871</v>
      </c>
      <c r="E2057" t="s">
        <v>218</v>
      </c>
      <c r="F2057">
        <v>60</v>
      </c>
      <c r="G2057" t="s">
        <v>2</v>
      </c>
      <c r="H2057" t="s">
        <v>3</v>
      </c>
      <c r="I2057" t="s">
        <v>61</v>
      </c>
      <c r="J2057" t="s">
        <v>146</v>
      </c>
      <c r="K2057" t="s">
        <v>64</v>
      </c>
      <c r="L2057">
        <v>4</v>
      </c>
      <c r="M2057" s="12">
        <v>250</v>
      </c>
      <c r="N2057" s="12">
        <v>155</v>
      </c>
      <c r="O2057">
        <v>1</v>
      </c>
      <c r="P2057" s="12">
        <v>990</v>
      </c>
      <c r="Q2057" s="12">
        <v>620</v>
      </c>
      <c r="R2057" s="12">
        <v>370</v>
      </c>
      <c r="S2057" t="s">
        <v>1246</v>
      </c>
      <c r="T2057" t="s">
        <v>109</v>
      </c>
      <c r="U2057" t="s">
        <v>1201</v>
      </c>
    </row>
    <row r="2058" spans="1:21" x14ac:dyDescent="0.25">
      <c r="A2058" t="s">
        <v>4081</v>
      </c>
      <c r="B2058" s="8">
        <v>45900</v>
      </c>
      <c r="C2058" t="s">
        <v>2528</v>
      </c>
      <c r="D2058" t="s">
        <v>704</v>
      </c>
      <c r="E2058" t="s">
        <v>218</v>
      </c>
      <c r="F2058">
        <v>28</v>
      </c>
      <c r="G2058" t="s">
        <v>4</v>
      </c>
      <c r="H2058" t="s">
        <v>3</v>
      </c>
      <c r="I2058" t="s">
        <v>34</v>
      </c>
      <c r="J2058" t="s">
        <v>137</v>
      </c>
      <c r="K2058" t="s">
        <v>22</v>
      </c>
      <c r="L2058">
        <v>2</v>
      </c>
      <c r="M2058" s="12">
        <v>6900</v>
      </c>
      <c r="N2058" s="12">
        <v>5727</v>
      </c>
      <c r="O2058">
        <v>6</v>
      </c>
      <c r="P2058" s="12">
        <v>12972</v>
      </c>
      <c r="Q2058" s="12">
        <v>11454</v>
      </c>
      <c r="R2058" s="12">
        <v>1518</v>
      </c>
      <c r="S2058" t="s">
        <v>113</v>
      </c>
      <c r="T2058" t="s">
        <v>110</v>
      </c>
      <c r="U2058" t="s">
        <v>1203</v>
      </c>
    </row>
    <row r="2059" spans="1:21" x14ac:dyDescent="0.25">
      <c r="A2059" t="s">
        <v>4082</v>
      </c>
      <c r="B2059" s="8">
        <v>45938</v>
      </c>
      <c r="C2059" t="s">
        <v>1261</v>
      </c>
      <c r="D2059" t="s">
        <v>625</v>
      </c>
      <c r="E2059" t="s">
        <v>218</v>
      </c>
      <c r="F2059">
        <v>38</v>
      </c>
      <c r="G2059" t="s">
        <v>4</v>
      </c>
      <c r="H2059" t="s">
        <v>3</v>
      </c>
      <c r="I2059" t="s">
        <v>28</v>
      </c>
      <c r="J2059" t="s">
        <v>35</v>
      </c>
      <c r="K2059" t="s">
        <v>22</v>
      </c>
      <c r="L2059">
        <v>1</v>
      </c>
      <c r="M2059" s="12">
        <v>16499</v>
      </c>
      <c r="N2059" s="12">
        <v>14519.12</v>
      </c>
      <c r="O2059">
        <v>7</v>
      </c>
      <c r="P2059" s="12">
        <v>15344.07</v>
      </c>
      <c r="Q2059" s="12">
        <v>14519.12</v>
      </c>
      <c r="R2059" s="12">
        <v>824.94999999999891</v>
      </c>
      <c r="S2059" t="s">
        <v>113</v>
      </c>
      <c r="T2059" t="s">
        <v>107</v>
      </c>
      <c r="U2059" t="s">
        <v>1211</v>
      </c>
    </row>
    <row r="2060" spans="1:21" x14ac:dyDescent="0.25">
      <c r="A2060" t="s">
        <v>4083</v>
      </c>
      <c r="B2060" s="8">
        <v>46016</v>
      </c>
      <c r="C2060" t="s">
        <v>2210</v>
      </c>
      <c r="D2060" t="s">
        <v>805</v>
      </c>
      <c r="E2060" t="s">
        <v>218</v>
      </c>
      <c r="F2060">
        <v>54</v>
      </c>
      <c r="G2060" t="s">
        <v>7</v>
      </c>
      <c r="H2060" t="s">
        <v>8</v>
      </c>
      <c r="I2060" t="s">
        <v>38</v>
      </c>
      <c r="J2060" t="s">
        <v>37</v>
      </c>
      <c r="K2060" t="s">
        <v>22</v>
      </c>
      <c r="L2060">
        <v>4</v>
      </c>
      <c r="M2060" s="12">
        <v>1650</v>
      </c>
      <c r="N2060" s="12">
        <v>990</v>
      </c>
      <c r="O2060">
        <v>16</v>
      </c>
      <c r="P2060" s="12">
        <v>5544</v>
      </c>
      <c r="Q2060" s="12">
        <v>3960</v>
      </c>
      <c r="R2060" s="12">
        <v>1584</v>
      </c>
      <c r="S2060" t="s">
        <v>113</v>
      </c>
      <c r="T2060" t="s">
        <v>108</v>
      </c>
      <c r="U2060" t="s">
        <v>1209</v>
      </c>
    </row>
    <row r="2061" spans="1:21" x14ac:dyDescent="0.25">
      <c r="A2061" t="s">
        <v>4084</v>
      </c>
      <c r="B2061" s="8">
        <v>45861</v>
      </c>
      <c r="C2061" t="s">
        <v>2180</v>
      </c>
      <c r="D2061" t="s">
        <v>1022</v>
      </c>
      <c r="E2061" t="s">
        <v>218</v>
      </c>
      <c r="F2061">
        <v>33</v>
      </c>
      <c r="G2061" t="s">
        <v>7</v>
      </c>
      <c r="H2061" t="s">
        <v>8</v>
      </c>
      <c r="I2061" t="s">
        <v>61</v>
      </c>
      <c r="J2061" t="s">
        <v>146</v>
      </c>
      <c r="K2061" t="s">
        <v>64</v>
      </c>
      <c r="L2061">
        <v>3</v>
      </c>
      <c r="M2061" s="12">
        <v>250</v>
      </c>
      <c r="N2061" s="12">
        <v>155</v>
      </c>
      <c r="O2061">
        <v>3</v>
      </c>
      <c r="P2061" s="12">
        <v>727.5</v>
      </c>
      <c r="Q2061" s="12">
        <v>465</v>
      </c>
      <c r="R2061" s="12">
        <v>262.5</v>
      </c>
      <c r="S2061" t="s">
        <v>1246</v>
      </c>
      <c r="T2061" t="s">
        <v>107</v>
      </c>
      <c r="U2061" t="s">
        <v>1209</v>
      </c>
    </row>
    <row r="2062" spans="1:21" x14ac:dyDescent="0.25">
      <c r="A2062" t="s">
        <v>4085</v>
      </c>
      <c r="B2062" s="8">
        <v>45940</v>
      </c>
      <c r="C2062" t="s">
        <v>1468</v>
      </c>
      <c r="D2062" t="s">
        <v>643</v>
      </c>
      <c r="E2062" t="s">
        <v>218</v>
      </c>
      <c r="F2062">
        <v>47</v>
      </c>
      <c r="G2062" t="s">
        <v>7</v>
      </c>
      <c r="H2062" t="s">
        <v>8</v>
      </c>
      <c r="I2062" t="s">
        <v>53</v>
      </c>
      <c r="J2062" t="s">
        <v>48</v>
      </c>
      <c r="K2062" t="s">
        <v>43</v>
      </c>
      <c r="L2062">
        <v>3</v>
      </c>
      <c r="M2062" s="12">
        <v>6499</v>
      </c>
      <c r="N2062" s="12">
        <v>4549.2999999999993</v>
      </c>
      <c r="O2062">
        <v>8</v>
      </c>
      <c r="P2062" s="12">
        <v>17937.240000000002</v>
      </c>
      <c r="Q2062" s="12">
        <v>13647.899999999998</v>
      </c>
      <c r="R2062" s="12">
        <v>4289.3400000000038</v>
      </c>
      <c r="S2062" t="s">
        <v>113</v>
      </c>
      <c r="T2062" t="s">
        <v>111</v>
      </c>
      <c r="U2062" t="s">
        <v>1198</v>
      </c>
    </row>
    <row r="2063" spans="1:21" x14ac:dyDescent="0.25">
      <c r="A2063" t="s">
        <v>4086</v>
      </c>
      <c r="B2063" s="8">
        <v>45775</v>
      </c>
      <c r="C2063" t="s">
        <v>1663</v>
      </c>
      <c r="D2063" t="s">
        <v>935</v>
      </c>
      <c r="E2063" t="s">
        <v>198</v>
      </c>
      <c r="F2063">
        <v>57</v>
      </c>
      <c r="G2063" t="s">
        <v>2</v>
      </c>
      <c r="H2063" t="s">
        <v>3</v>
      </c>
      <c r="I2063" t="s">
        <v>36</v>
      </c>
      <c r="J2063" t="s">
        <v>136</v>
      </c>
      <c r="K2063" t="s">
        <v>22</v>
      </c>
      <c r="L2063">
        <v>5</v>
      </c>
      <c r="M2063" s="12">
        <v>3590</v>
      </c>
      <c r="N2063" s="12">
        <v>2333.5</v>
      </c>
      <c r="O2063">
        <v>3</v>
      </c>
      <c r="P2063" s="12">
        <v>17411.5</v>
      </c>
      <c r="Q2063" s="12">
        <v>11667.5</v>
      </c>
      <c r="R2063" s="12">
        <v>5744</v>
      </c>
      <c r="S2063" t="s">
        <v>113</v>
      </c>
      <c r="T2063" t="s">
        <v>108</v>
      </c>
      <c r="U2063" t="s">
        <v>1201</v>
      </c>
    </row>
    <row r="2064" spans="1:21" x14ac:dyDescent="0.25">
      <c r="A2064" t="s">
        <v>4087</v>
      </c>
      <c r="B2064" s="8">
        <v>45761</v>
      </c>
      <c r="C2064" t="s">
        <v>5088</v>
      </c>
      <c r="D2064" t="s">
        <v>965</v>
      </c>
      <c r="E2064" t="s">
        <v>198</v>
      </c>
      <c r="F2064">
        <v>54</v>
      </c>
      <c r="G2064" t="s">
        <v>2</v>
      </c>
      <c r="H2064" t="s">
        <v>3</v>
      </c>
      <c r="I2064" t="s">
        <v>51</v>
      </c>
      <c r="J2064" t="s">
        <v>54</v>
      </c>
      <c r="K2064" t="s">
        <v>43</v>
      </c>
      <c r="L2064">
        <v>3</v>
      </c>
      <c r="M2064" s="12">
        <v>27499</v>
      </c>
      <c r="N2064" s="12">
        <v>21724.210000000003</v>
      </c>
      <c r="O2064">
        <v>5</v>
      </c>
      <c r="P2064" s="12">
        <v>78372.149999999994</v>
      </c>
      <c r="Q2064" s="12">
        <v>65172.630000000005</v>
      </c>
      <c r="R2064" s="12">
        <v>13199.51999999999</v>
      </c>
      <c r="S2064" t="s">
        <v>1246</v>
      </c>
      <c r="T2064" t="s">
        <v>107</v>
      </c>
      <c r="U2064" t="s">
        <v>1201</v>
      </c>
    </row>
    <row r="2065" spans="1:21" x14ac:dyDescent="0.25">
      <c r="A2065" t="s">
        <v>4088</v>
      </c>
      <c r="B2065" s="8">
        <v>45957</v>
      </c>
      <c r="C2065" t="s">
        <v>2027</v>
      </c>
      <c r="D2065" t="s">
        <v>369</v>
      </c>
      <c r="E2065" t="s">
        <v>198</v>
      </c>
      <c r="F2065">
        <v>24</v>
      </c>
      <c r="G2065" t="s">
        <v>9</v>
      </c>
      <c r="H2065" t="s">
        <v>8</v>
      </c>
      <c r="I2065" t="s">
        <v>61</v>
      </c>
      <c r="J2065" t="s">
        <v>146</v>
      </c>
      <c r="K2065" t="s">
        <v>64</v>
      </c>
      <c r="L2065">
        <v>4</v>
      </c>
      <c r="M2065" s="12">
        <v>250</v>
      </c>
      <c r="N2065" s="12">
        <v>155</v>
      </c>
      <c r="O2065">
        <v>3</v>
      </c>
      <c r="P2065" s="12">
        <v>970</v>
      </c>
      <c r="Q2065" s="12">
        <v>620</v>
      </c>
      <c r="R2065" s="12">
        <v>350</v>
      </c>
      <c r="S2065" t="s">
        <v>113</v>
      </c>
      <c r="T2065" t="s">
        <v>108</v>
      </c>
      <c r="U2065" t="s">
        <v>1198</v>
      </c>
    </row>
    <row r="2066" spans="1:21" x14ac:dyDescent="0.25">
      <c r="A2066" t="s">
        <v>4089</v>
      </c>
      <c r="B2066" s="8">
        <v>45946</v>
      </c>
      <c r="C2066" t="s">
        <v>2441</v>
      </c>
      <c r="D2066" t="s">
        <v>735</v>
      </c>
      <c r="E2066" t="s">
        <v>198</v>
      </c>
      <c r="F2066">
        <v>36</v>
      </c>
      <c r="G2066" t="s">
        <v>14</v>
      </c>
      <c r="H2066" t="s">
        <v>15</v>
      </c>
      <c r="I2066" t="s">
        <v>49</v>
      </c>
      <c r="J2066" t="s">
        <v>56</v>
      </c>
      <c r="K2066" t="s">
        <v>43</v>
      </c>
      <c r="L2066">
        <v>5</v>
      </c>
      <c r="M2066" s="12">
        <v>31999</v>
      </c>
      <c r="N2066" s="12">
        <v>25599.200000000001</v>
      </c>
      <c r="O2066">
        <v>10</v>
      </c>
      <c r="P2066" s="12">
        <v>143995.5</v>
      </c>
      <c r="Q2066" s="12">
        <v>127996</v>
      </c>
      <c r="R2066" s="12">
        <v>15999.5</v>
      </c>
      <c r="S2066" t="s">
        <v>113</v>
      </c>
      <c r="T2066" t="s">
        <v>108</v>
      </c>
      <c r="U2066" t="s">
        <v>1205</v>
      </c>
    </row>
    <row r="2067" spans="1:21" x14ac:dyDescent="0.25">
      <c r="A2067" t="s">
        <v>4090</v>
      </c>
      <c r="B2067" s="8">
        <v>45780</v>
      </c>
      <c r="C2067" t="s">
        <v>1390</v>
      </c>
      <c r="D2067" t="s">
        <v>712</v>
      </c>
      <c r="E2067" t="s">
        <v>218</v>
      </c>
      <c r="F2067">
        <v>42</v>
      </c>
      <c r="G2067" t="s">
        <v>289</v>
      </c>
      <c r="H2067" t="s">
        <v>3</v>
      </c>
      <c r="I2067" t="s">
        <v>53</v>
      </c>
      <c r="J2067" t="s">
        <v>48</v>
      </c>
      <c r="K2067" t="s">
        <v>43</v>
      </c>
      <c r="L2067">
        <v>1</v>
      </c>
      <c r="M2067" s="12">
        <v>6499</v>
      </c>
      <c r="N2067" s="12">
        <v>4549.2999999999993</v>
      </c>
      <c r="O2067">
        <v>4</v>
      </c>
      <c r="P2067" s="12">
        <v>6239.04</v>
      </c>
      <c r="Q2067" s="12">
        <v>4549.2999999999993</v>
      </c>
      <c r="R2067" s="12">
        <v>1689.7400000000007</v>
      </c>
      <c r="S2067" t="s">
        <v>1249</v>
      </c>
      <c r="T2067" t="s">
        <v>110</v>
      </c>
      <c r="U2067" t="s">
        <v>1196</v>
      </c>
    </row>
    <row r="2068" spans="1:21" x14ac:dyDescent="0.25">
      <c r="A2068" t="s">
        <v>4092</v>
      </c>
      <c r="B2068" s="8">
        <v>45826</v>
      </c>
      <c r="C2068" t="s">
        <v>2565</v>
      </c>
      <c r="D2068" t="s">
        <v>566</v>
      </c>
      <c r="E2068" t="s">
        <v>218</v>
      </c>
      <c r="F2068">
        <v>19</v>
      </c>
      <c r="G2068" t="s">
        <v>2</v>
      </c>
      <c r="H2068" t="s">
        <v>3</v>
      </c>
      <c r="I2068" t="s">
        <v>49</v>
      </c>
      <c r="J2068" t="s">
        <v>56</v>
      </c>
      <c r="K2068" t="s">
        <v>43</v>
      </c>
      <c r="L2068">
        <v>1</v>
      </c>
      <c r="M2068" s="12">
        <v>31999</v>
      </c>
      <c r="N2068" s="12">
        <v>25599.200000000001</v>
      </c>
      <c r="O2068">
        <v>2</v>
      </c>
      <c r="P2068" s="12">
        <v>31359.02</v>
      </c>
      <c r="Q2068" s="12">
        <v>25599.200000000001</v>
      </c>
      <c r="R2068" s="12">
        <v>5759.82</v>
      </c>
      <c r="S2068" t="s">
        <v>1246</v>
      </c>
      <c r="T2068" t="s">
        <v>109</v>
      </c>
      <c r="U2068" t="s">
        <v>1194</v>
      </c>
    </row>
    <row r="2069" spans="1:21" x14ac:dyDescent="0.25">
      <c r="A2069" t="s">
        <v>4093</v>
      </c>
      <c r="B2069" s="8">
        <v>45859</v>
      </c>
      <c r="C2069" t="s">
        <v>3261</v>
      </c>
      <c r="D2069" t="s">
        <v>888</v>
      </c>
      <c r="E2069" t="s">
        <v>218</v>
      </c>
      <c r="F2069">
        <v>63</v>
      </c>
      <c r="G2069" t="s">
        <v>11</v>
      </c>
      <c r="H2069" t="s">
        <v>12</v>
      </c>
      <c r="I2069" t="s">
        <v>40</v>
      </c>
      <c r="J2069" t="s">
        <v>39</v>
      </c>
      <c r="K2069" t="s">
        <v>22</v>
      </c>
      <c r="L2069">
        <v>1</v>
      </c>
      <c r="M2069" s="12">
        <v>1100</v>
      </c>
      <c r="N2069" s="12">
        <v>715</v>
      </c>
      <c r="O2069">
        <v>4</v>
      </c>
      <c r="P2069" s="12">
        <v>1056</v>
      </c>
      <c r="Q2069" s="12">
        <v>715</v>
      </c>
      <c r="R2069" s="12">
        <v>341</v>
      </c>
      <c r="S2069" t="s">
        <v>1246</v>
      </c>
      <c r="T2069" t="s">
        <v>107</v>
      </c>
      <c r="U2069" t="s">
        <v>1196</v>
      </c>
    </row>
    <row r="2070" spans="1:21" x14ac:dyDescent="0.25">
      <c r="A2070" t="s">
        <v>4094</v>
      </c>
      <c r="B2070" s="8">
        <v>45937</v>
      </c>
      <c r="C2070" t="s">
        <v>2092</v>
      </c>
      <c r="D2070" t="s">
        <v>565</v>
      </c>
      <c r="E2070" t="s">
        <v>198</v>
      </c>
      <c r="F2070">
        <v>26</v>
      </c>
      <c r="G2070" t="s">
        <v>9</v>
      </c>
      <c r="H2070" t="s">
        <v>8</v>
      </c>
      <c r="I2070" t="s">
        <v>57</v>
      </c>
      <c r="J2070" t="s">
        <v>67</v>
      </c>
      <c r="K2070" t="s">
        <v>64</v>
      </c>
      <c r="L2070">
        <v>5</v>
      </c>
      <c r="M2070" s="12">
        <v>150</v>
      </c>
      <c r="N2070" s="12">
        <v>97.5</v>
      </c>
      <c r="O2070">
        <v>3</v>
      </c>
      <c r="P2070" s="12">
        <v>727.5</v>
      </c>
      <c r="Q2070" s="12">
        <v>487.5</v>
      </c>
      <c r="R2070" s="12">
        <v>240</v>
      </c>
      <c r="S2070" t="s">
        <v>1246</v>
      </c>
      <c r="T2070" t="s">
        <v>110</v>
      </c>
      <c r="U2070" t="s">
        <v>1203</v>
      </c>
    </row>
    <row r="2071" spans="1:21" x14ac:dyDescent="0.25">
      <c r="A2071" t="s">
        <v>4096</v>
      </c>
      <c r="B2071" s="8">
        <v>45769</v>
      </c>
      <c r="C2071" t="s">
        <v>5105</v>
      </c>
      <c r="D2071" t="s">
        <v>885</v>
      </c>
      <c r="E2071" t="s">
        <v>218</v>
      </c>
      <c r="F2071">
        <v>56</v>
      </c>
      <c r="G2071" t="s">
        <v>290</v>
      </c>
      <c r="H2071" t="s">
        <v>3</v>
      </c>
      <c r="I2071" t="s">
        <v>59</v>
      </c>
      <c r="J2071" t="s">
        <v>73</v>
      </c>
      <c r="K2071" t="s">
        <v>64</v>
      </c>
      <c r="L2071">
        <v>5</v>
      </c>
      <c r="M2071" s="12">
        <v>120</v>
      </c>
      <c r="N2071" s="12">
        <v>81.599999999999994</v>
      </c>
      <c r="O2071">
        <v>0</v>
      </c>
      <c r="P2071" s="12">
        <v>600</v>
      </c>
      <c r="Q2071" s="12">
        <v>408</v>
      </c>
      <c r="R2071" s="12">
        <v>192</v>
      </c>
      <c r="S2071" t="s">
        <v>1246</v>
      </c>
      <c r="T2071" t="s">
        <v>109</v>
      </c>
      <c r="U2071" t="s">
        <v>1205</v>
      </c>
    </row>
    <row r="2072" spans="1:21" x14ac:dyDescent="0.25">
      <c r="A2072" t="s">
        <v>4097</v>
      </c>
      <c r="B2072" s="8">
        <v>45695</v>
      </c>
      <c r="C2072" t="s">
        <v>2034</v>
      </c>
      <c r="D2072" t="s">
        <v>446</v>
      </c>
      <c r="E2072" t="s">
        <v>218</v>
      </c>
      <c r="F2072">
        <v>32</v>
      </c>
      <c r="G2072" t="s">
        <v>14</v>
      </c>
      <c r="H2072" t="s">
        <v>15</v>
      </c>
      <c r="I2072" t="s">
        <v>24</v>
      </c>
      <c r="J2072" t="s">
        <v>25</v>
      </c>
      <c r="K2072" t="s">
        <v>22</v>
      </c>
      <c r="L2072">
        <v>4</v>
      </c>
      <c r="M2072" s="12">
        <v>35800</v>
      </c>
      <c r="N2072" s="12">
        <v>28640</v>
      </c>
      <c r="O2072">
        <v>7</v>
      </c>
      <c r="P2072" s="12">
        <v>133176</v>
      </c>
      <c r="Q2072" s="12">
        <v>114560</v>
      </c>
      <c r="R2072" s="12">
        <v>18616</v>
      </c>
      <c r="S2072" t="s">
        <v>1246</v>
      </c>
      <c r="T2072" t="s">
        <v>109</v>
      </c>
      <c r="U2072" t="s">
        <v>1201</v>
      </c>
    </row>
    <row r="2073" spans="1:21" x14ac:dyDescent="0.25">
      <c r="A2073" t="s">
        <v>4098</v>
      </c>
      <c r="B2073" s="8">
        <v>45760</v>
      </c>
      <c r="C2073" t="s">
        <v>1265</v>
      </c>
      <c r="D2073" t="s">
        <v>972</v>
      </c>
      <c r="E2073" t="s">
        <v>198</v>
      </c>
      <c r="F2073">
        <v>61</v>
      </c>
      <c r="G2073" t="s">
        <v>17</v>
      </c>
      <c r="H2073" t="s">
        <v>15</v>
      </c>
      <c r="I2073" t="s">
        <v>47</v>
      </c>
      <c r="J2073" t="s">
        <v>52</v>
      </c>
      <c r="K2073" t="s">
        <v>43</v>
      </c>
      <c r="L2073">
        <v>2</v>
      </c>
      <c r="M2073" s="12">
        <v>42999</v>
      </c>
      <c r="N2073" s="12">
        <v>33539.22</v>
      </c>
      <c r="O2073">
        <v>9</v>
      </c>
      <c r="P2073" s="12">
        <v>78258.180000000008</v>
      </c>
      <c r="Q2073" s="12">
        <v>67078.44</v>
      </c>
      <c r="R2073" s="12">
        <v>11179.740000000005</v>
      </c>
      <c r="S2073" t="s">
        <v>113</v>
      </c>
      <c r="T2073" t="s">
        <v>108</v>
      </c>
      <c r="U2073" t="s">
        <v>1196</v>
      </c>
    </row>
    <row r="2074" spans="1:21" x14ac:dyDescent="0.25">
      <c r="A2074" t="s">
        <v>4099</v>
      </c>
      <c r="B2074" s="8">
        <v>45763</v>
      </c>
      <c r="C2074" t="s">
        <v>2046</v>
      </c>
      <c r="D2074" t="s">
        <v>783</v>
      </c>
      <c r="E2074" t="s">
        <v>218</v>
      </c>
      <c r="F2074">
        <v>54</v>
      </c>
      <c r="G2074" t="s">
        <v>11</v>
      </c>
      <c r="H2074" t="s">
        <v>12</v>
      </c>
      <c r="I2074" t="s">
        <v>21</v>
      </c>
      <c r="J2074" t="s">
        <v>23</v>
      </c>
      <c r="K2074" t="s">
        <v>22</v>
      </c>
      <c r="L2074">
        <v>5</v>
      </c>
      <c r="M2074" s="12">
        <v>54999</v>
      </c>
      <c r="N2074" s="12">
        <v>45099.18</v>
      </c>
      <c r="O2074">
        <v>4</v>
      </c>
      <c r="P2074" s="12">
        <v>263995.2</v>
      </c>
      <c r="Q2074" s="12">
        <v>225495.9</v>
      </c>
      <c r="R2074" s="12">
        <v>38499.300000000017</v>
      </c>
      <c r="S2074" t="s">
        <v>1246</v>
      </c>
      <c r="T2074" t="s">
        <v>109</v>
      </c>
      <c r="U2074" t="s">
        <v>1201</v>
      </c>
    </row>
    <row r="2075" spans="1:21" x14ac:dyDescent="0.25">
      <c r="A2075" t="s">
        <v>4100</v>
      </c>
      <c r="B2075" s="8">
        <v>45735</v>
      </c>
      <c r="C2075" t="s">
        <v>2815</v>
      </c>
      <c r="D2075" t="s">
        <v>816</v>
      </c>
      <c r="E2075" t="s">
        <v>218</v>
      </c>
      <c r="F2075">
        <v>55</v>
      </c>
      <c r="G2075" t="s">
        <v>10</v>
      </c>
      <c r="H2075" t="s">
        <v>8</v>
      </c>
      <c r="I2075" t="s">
        <v>55</v>
      </c>
      <c r="J2075" t="s">
        <v>65</v>
      </c>
      <c r="K2075" t="s">
        <v>64</v>
      </c>
      <c r="L2075">
        <v>2</v>
      </c>
      <c r="M2075" s="12">
        <v>80</v>
      </c>
      <c r="N2075" s="12">
        <v>56</v>
      </c>
      <c r="O2075">
        <v>2</v>
      </c>
      <c r="P2075" s="12">
        <v>156.80000000000001</v>
      </c>
      <c r="Q2075" s="12">
        <v>112</v>
      </c>
      <c r="R2075" s="12">
        <v>44.800000000000011</v>
      </c>
      <c r="S2075" t="s">
        <v>113</v>
      </c>
      <c r="T2075" t="s">
        <v>107</v>
      </c>
      <c r="U2075" t="s">
        <v>1203</v>
      </c>
    </row>
    <row r="2076" spans="1:21" x14ac:dyDescent="0.25">
      <c r="A2076" t="s">
        <v>4101</v>
      </c>
      <c r="B2076" s="8">
        <v>45802</v>
      </c>
      <c r="C2076" t="s">
        <v>3290</v>
      </c>
      <c r="D2076" t="s">
        <v>1179</v>
      </c>
      <c r="E2076" t="s">
        <v>198</v>
      </c>
      <c r="F2076">
        <v>56</v>
      </c>
      <c r="G2076" t="s">
        <v>14</v>
      </c>
      <c r="H2076" t="s">
        <v>15</v>
      </c>
      <c r="I2076" t="s">
        <v>21</v>
      </c>
      <c r="J2076" t="s">
        <v>23</v>
      </c>
      <c r="K2076" t="s">
        <v>22</v>
      </c>
      <c r="L2076">
        <v>5</v>
      </c>
      <c r="M2076" s="12">
        <v>54999</v>
      </c>
      <c r="N2076" s="12">
        <v>45099.18</v>
      </c>
      <c r="O2076">
        <v>10</v>
      </c>
      <c r="P2076" s="12">
        <v>247495.5</v>
      </c>
      <c r="Q2076" s="12">
        <v>225495.9</v>
      </c>
      <c r="R2076" s="12">
        <v>21999.600000000006</v>
      </c>
      <c r="S2076" t="s">
        <v>1246</v>
      </c>
      <c r="T2076" t="s">
        <v>107</v>
      </c>
      <c r="U2076" t="s">
        <v>1198</v>
      </c>
    </row>
    <row r="2077" spans="1:21" x14ac:dyDescent="0.25">
      <c r="A2077" t="s">
        <v>4102</v>
      </c>
      <c r="B2077" s="8">
        <v>45827</v>
      </c>
      <c r="C2077" t="s">
        <v>3765</v>
      </c>
      <c r="D2077" t="s">
        <v>591</v>
      </c>
      <c r="E2077" t="s">
        <v>218</v>
      </c>
      <c r="F2077">
        <v>29</v>
      </c>
      <c r="G2077" t="s">
        <v>290</v>
      </c>
      <c r="H2077" t="s">
        <v>3</v>
      </c>
      <c r="I2077" t="s">
        <v>24</v>
      </c>
      <c r="J2077" t="s">
        <v>25</v>
      </c>
      <c r="K2077" t="s">
        <v>22</v>
      </c>
      <c r="L2077">
        <v>2</v>
      </c>
      <c r="M2077" s="12">
        <v>35800</v>
      </c>
      <c r="N2077" s="12">
        <v>28640</v>
      </c>
      <c r="O2077">
        <v>9</v>
      </c>
      <c r="P2077" s="12">
        <v>65156</v>
      </c>
      <c r="Q2077" s="12">
        <v>57280</v>
      </c>
      <c r="R2077" s="12">
        <v>7876</v>
      </c>
      <c r="S2077" t="s">
        <v>1246</v>
      </c>
      <c r="T2077" t="s">
        <v>109</v>
      </c>
      <c r="U2077" t="s">
        <v>1207</v>
      </c>
    </row>
    <row r="2078" spans="1:21" x14ac:dyDescent="0.25">
      <c r="A2078" t="s">
        <v>4103</v>
      </c>
      <c r="B2078" s="8">
        <v>45731</v>
      </c>
      <c r="C2078" t="s">
        <v>3162</v>
      </c>
      <c r="D2078" t="s">
        <v>1144</v>
      </c>
      <c r="E2078" t="s">
        <v>198</v>
      </c>
      <c r="F2078">
        <v>45</v>
      </c>
      <c r="G2078" t="s">
        <v>290</v>
      </c>
      <c r="H2078" t="s">
        <v>3</v>
      </c>
      <c r="I2078" t="s">
        <v>21</v>
      </c>
      <c r="J2078" t="s">
        <v>23</v>
      </c>
      <c r="K2078" t="s">
        <v>22</v>
      </c>
      <c r="L2078">
        <v>5</v>
      </c>
      <c r="M2078" s="12">
        <v>54999</v>
      </c>
      <c r="N2078" s="12">
        <v>45099.18</v>
      </c>
      <c r="O2078">
        <v>4</v>
      </c>
      <c r="P2078" s="12">
        <v>263995.2</v>
      </c>
      <c r="Q2078" s="12">
        <v>225495.9</v>
      </c>
      <c r="R2078" s="12">
        <v>38499.300000000017</v>
      </c>
      <c r="S2078" t="s">
        <v>1246</v>
      </c>
      <c r="T2078" t="s">
        <v>107</v>
      </c>
      <c r="U2078" t="s">
        <v>1205</v>
      </c>
    </row>
    <row r="2079" spans="1:21" x14ac:dyDescent="0.25">
      <c r="A2079" t="s">
        <v>4104</v>
      </c>
      <c r="B2079" s="8">
        <v>45908</v>
      </c>
      <c r="C2079" t="s">
        <v>2530</v>
      </c>
      <c r="D2079" t="s">
        <v>899</v>
      </c>
      <c r="E2079" t="s">
        <v>198</v>
      </c>
      <c r="F2079">
        <v>57</v>
      </c>
      <c r="G2079" t="s">
        <v>2</v>
      </c>
      <c r="H2079" t="s">
        <v>3</v>
      </c>
      <c r="I2079" t="s">
        <v>63</v>
      </c>
      <c r="J2079" t="s">
        <v>77</v>
      </c>
      <c r="K2079" t="s">
        <v>64</v>
      </c>
      <c r="L2079">
        <v>3</v>
      </c>
      <c r="M2079" s="12">
        <v>650</v>
      </c>
      <c r="N2079" s="12">
        <v>468</v>
      </c>
      <c r="O2079">
        <v>1</v>
      </c>
      <c r="P2079" s="12">
        <v>1930.5</v>
      </c>
      <c r="Q2079" s="12">
        <v>1404</v>
      </c>
      <c r="R2079" s="12">
        <v>526.5</v>
      </c>
      <c r="S2079" t="s">
        <v>1249</v>
      </c>
      <c r="T2079" t="s">
        <v>109</v>
      </c>
      <c r="U2079" t="s">
        <v>1205</v>
      </c>
    </row>
    <row r="2080" spans="1:21" x14ac:dyDescent="0.25">
      <c r="A2080" t="s">
        <v>4105</v>
      </c>
      <c r="B2080" s="8">
        <v>46010</v>
      </c>
      <c r="C2080" t="s">
        <v>2250</v>
      </c>
      <c r="D2080" t="s">
        <v>983</v>
      </c>
      <c r="E2080" t="s">
        <v>198</v>
      </c>
      <c r="F2080">
        <v>25</v>
      </c>
      <c r="G2080" t="s">
        <v>289</v>
      </c>
      <c r="H2080" t="s">
        <v>3</v>
      </c>
      <c r="I2080" t="s">
        <v>24</v>
      </c>
      <c r="J2080" t="s">
        <v>25</v>
      </c>
      <c r="K2080" t="s">
        <v>22</v>
      </c>
      <c r="L2080">
        <v>4</v>
      </c>
      <c r="M2080" s="12">
        <v>35800</v>
      </c>
      <c r="N2080" s="12">
        <v>28640</v>
      </c>
      <c r="O2080">
        <v>12</v>
      </c>
      <c r="P2080" s="12">
        <v>126016</v>
      </c>
      <c r="Q2080" s="12">
        <v>114560</v>
      </c>
      <c r="R2080" s="12">
        <v>11456</v>
      </c>
      <c r="S2080" t="s">
        <v>113</v>
      </c>
      <c r="T2080" t="s">
        <v>107</v>
      </c>
      <c r="U2080" t="s">
        <v>1194</v>
      </c>
    </row>
    <row r="2081" spans="1:21" x14ac:dyDescent="0.25">
      <c r="A2081" t="s">
        <v>4106</v>
      </c>
      <c r="B2081" s="8">
        <v>45811</v>
      </c>
      <c r="C2081" t="s">
        <v>3139</v>
      </c>
      <c r="D2081" t="s">
        <v>387</v>
      </c>
      <c r="E2081" t="s">
        <v>198</v>
      </c>
      <c r="F2081">
        <v>30</v>
      </c>
      <c r="G2081" t="s">
        <v>9</v>
      </c>
      <c r="H2081" t="s">
        <v>8</v>
      </c>
      <c r="I2081" t="s">
        <v>34</v>
      </c>
      <c r="J2081" t="s">
        <v>137</v>
      </c>
      <c r="K2081" t="s">
        <v>22</v>
      </c>
      <c r="L2081">
        <v>4</v>
      </c>
      <c r="M2081" s="12">
        <v>6900</v>
      </c>
      <c r="N2081" s="12">
        <v>5727</v>
      </c>
      <c r="O2081">
        <v>5</v>
      </c>
      <c r="P2081" s="12">
        <v>26220</v>
      </c>
      <c r="Q2081" s="12">
        <v>22908</v>
      </c>
      <c r="R2081" s="12">
        <v>3312</v>
      </c>
      <c r="S2081" t="s">
        <v>113</v>
      </c>
      <c r="T2081" t="s">
        <v>111</v>
      </c>
      <c r="U2081" t="s">
        <v>1205</v>
      </c>
    </row>
    <row r="2082" spans="1:21" x14ac:dyDescent="0.25">
      <c r="A2082" t="s">
        <v>4107</v>
      </c>
      <c r="B2082" s="8">
        <v>45683</v>
      </c>
      <c r="C2082" t="s">
        <v>2165</v>
      </c>
      <c r="D2082" t="s">
        <v>382</v>
      </c>
      <c r="E2082" t="s">
        <v>198</v>
      </c>
      <c r="F2082">
        <v>46</v>
      </c>
      <c r="G2082" t="s">
        <v>289</v>
      </c>
      <c r="H2082" t="s">
        <v>3</v>
      </c>
      <c r="I2082" t="s">
        <v>49</v>
      </c>
      <c r="J2082" t="s">
        <v>56</v>
      </c>
      <c r="K2082" t="s">
        <v>43</v>
      </c>
      <c r="L2082">
        <v>3</v>
      </c>
      <c r="M2082" s="12">
        <v>31999</v>
      </c>
      <c r="N2082" s="12">
        <v>25599.200000000001</v>
      </c>
      <c r="O2082">
        <v>2</v>
      </c>
      <c r="P2082" s="12">
        <v>94077.06</v>
      </c>
      <c r="Q2082" s="12">
        <v>76797.600000000006</v>
      </c>
      <c r="R2082" s="12">
        <v>17279.459999999992</v>
      </c>
      <c r="S2082" t="s">
        <v>113</v>
      </c>
      <c r="T2082" t="s">
        <v>107</v>
      </c>
      <c r="U2082" t="s">
        <v>1201</v>
      </c>
    </row>
    <row r="2083" spans="1:21" x14ac:dyDescent="0.25">
      <c r="A2083" t="s">
        <v>4108</v>
      </c>
      <c r="B2083" s="8">
        <v>45982</v>
      </c>
      <c r="C2083" t="s">
        <v>1850</v>
      </c>
      <c r="D2083" t="s">
        <v>918</v>
      </c>
      <c r="E2083" t="s">
        <v>218</v>
      </c>
      <c r="F2083">
        <v>44</v>
      </c>
      <c r="G2083" t="s">
        <v>9</v>
      </c>
      <c r="H2083" t="s">
        <v>8</v>
      </c>
      <c r="I2083" t="s">
        <v>36</v>
      </c>
      <c r="J2083" t="s">
        <v>136</v>
      </c>
      <c r="K2083" t="s">
        <v>22</v>
      </c>
      <c r="L2083">
        <v>4</v>
      </c>
      <c r="M2083" s="12">
        <v>3590</v>
      </c>
      <c r="N2083" s="12">
        <v>2333.5</v>
      </c>
      <c r="O2083">
        <v>10</v>
      </c>
      <c r="P2083" s="12">
        <v>12924</v>
      </c>
      <c r="Q2083" s="12">
        <v>9334</v>
      </c>
      <c r="R2083" s="12">
        <v>3590</v>
      </c>
      <c r="S2083" t="s">
        <v>113</v>
      </c>
      <c r="T2083" t="s">
        <v>110</v>
      </c>
      <c r="U2083" t="s">
        <v>1198</v>
      </c>
    </row>
    <row r="2084" spans="1:21" x14ac:dyDescent="0.25">
      <c r="A2084" t="s">
        <v>4109</v>
      </c>
      <c r="B2084" s="8">
        <v>45995</v>
      </c>
      <c r="C2084" t="s">
        <v>2131</v>
      </c>
      <c r="D2084" t="s">
        <v>716</v>
      </c>
      <c r="E2084" t="s">
        <v>198</v>
      </c>
      <c r="F2084">
        <v>42</v>
      </c>
      <c r="G2084" t="s">
        <v>17</v>
      </c>
      <c r="H2084" t="s">
        <v>15</v>
      </c>
      <c r="I2084" t="s">
        <v>24</v>
      </c>
      <c r="J2084" t="s">
        <v>25</v>
      </c>
      <c r="K2084" t="s">
        <v>22</v>
      </c>
      <c r="L2084">
        <v>4</v>
      </c>
      <c r="M2084" s="12">
        <v>35800</v>
      </c>
      <c r="N2084" s="12">
        <v>28640</v>
      </c>
      <c r="O2084">
        <v>15</v>
      </c>
      <c r="P2084" s="12">
        <v>121720</v>
      </c>
      <c r="Q2084" s="12">
        <v>114560</v>
      </c>
      <c r="R2084" s="12">
        <v>7160</v>
      </c>
      <c r="S2084" t="s">
        <v>1246</v>
      </c>
      <c r="T2084" t="s">
        <v>107</v>
      </c>
      <c r="U2084" t="s">
        <v>1196</v>
      </c>
    </row>
    <row r="2085" spans="1:21" x14ac:dyDescent="0.25">
      <c r="A2085" t="s">
        <v>4110</v>
      </c>
      <c r="B2085" s="8">
        <v>45725</v>
      </c>
      <c r="C2085" t="s">
        <v>2924</v>
      </c>
      <c r="D2085" t="s">
        <v>637</v>
      </c>
      <c r="E2085" t="s">
        <v>218</v>
      </c>
      <c r="F2085">
        <v>55</v>
      </c>
      <c r="G2085" t="s">
        <v>10</v>
      </c>
      <c r="H2085" t="s">
        <v>8</v>
      </c>
      <c r="I2085" t="s">
        <v>53</v>
      </c>
      <c r="J2085" t="s">
        <v>48</v>
      </c>
      <c r="K2085" t="s">
        <v>43</v>
      </c>
      <c r="L2085">
        <v>3</v>
      </c>
      <c r="M2085" s="12">
        <v>6499</v>
      </c>
      <c r="N2085" s="12">
        <v>4549.2999999999993</v>
      </c>
      <c r="O2085">
        <v>9</v>
      </c>
      <c r="P2085" s="12">
        <v>17742.27</v>
      </c>
      <c r="Q2085" s="12">
        <v>13647.899999999998</v>
      </c>
      <c r="R2085" s="12">
        <v>4094.3700000000026</v>
      </c>
      <c r="S2085" t="s">
        <v>113</v>
      </c>
      <c r="T2085" t="s">
        <v>107</v>
      </c>
      <c r="U2085" t="s">
        <v>1194</v>
      </c>
    </row>
    <row r="2086" spans="1:21" x14ac:dyDescent="0.25">
      <c r="A2086" t="s">
        <v>4111</v>
      </c>
      <c r="B2086" s="8">
        <v>45896</v>
      </c>
      <c r="C2086" t="s">
        <v>3220</v>
      </c>
      <c r="D2086" t="s">
        <v>941</v>
      </c>
      <c r="E2086" t="s">
        <v>198</v>
      </c>
      <c r="F2086">
        <v>61</v>
      </c>
      <c r="G2086" t="s">
        <v>9</v>
      </c>
      <c r="H2086" t="s">
        <v>8</v>
      </c>
      <c r="I2086" t="s">
        <v>51</v>
      </c>
      <c r="J2086" t="s">
        <v>54</v>
      </c>
      <c r="K2086" t="s">
        <v>43</v>
      </c>
      <c r="L2086">
        <v>3</v>
      </c>
      <c r="M2086" s="12">
        <v>27499</v>
      </c>
      <c r="N2086" s="12">
        <v>21724.210000000003</v>
      </c>
      <c r="O2086">
        <v>8</v>
      </c>
      <c r="P2086" s="12">
        <v>75897.240000000005</v>
      </c>
      <c r="Q2086" s="12">
        <v>65172.630000000005</v>
      </c>
      <c r="R2086" s="12">
        <v>10724.61</v>
      </c>
      <c r="S2086" t="s">
        <v>1246</v>
      </c>
      <c r="T2086" t="s">
        <v>108</v>
      </c>
      <c r="U2086" t="s">
        <v>1199</v>
      </c>
    </row>
    <row r="2087" spans="1:21" x14ac:dyDescent="0.25">
      <c r="A2087" t="s">
        <v>4112</v>
      </c>
      <c r="B2087" s="8">
        <v>45730</v>
      </c>
      <c r="C2087" t="s">
        <v>1438</v>
      </c>
      <c r="D2087" t="s">
        <v>822</v>
      </c>
      <c r="E2087" t="s">
        <v>218</v>
      </c>
      <c r="F2087">
        <v>41</v>
      </c>
      <c r="G2087" t="s">
        <v>17</v>
      </c>
      <c r="H2087" t="s">
        <v>15</v>
      </c>
      <c r="I2087" t="s">
        <v>55</v>
      </c>
      <c r="J2087" t="s">
        <v>65</v>
      </c>
      <c r="K2087" t="s">
        <v>64</v>
      </c>
      <c r="L2087">
        <v>3</v>
      </c>
      <c r="M2087" s="12">
        <v>80</v>
      </c>
      <c r="N2087" s="12">
        <v>56</v>
      </c>
      <c r="O2087">
        <v>5</v>
      </c>
      <c r="P2087" s="12">
        <v>228</v>
      </c>
      <c r="Q2087" s="12">
        <v>168</v>
      </c>
      <c r="R2087" s="12">
        <v>60</v>
      </c>
      <c r="S2087" t="s">
        <v>1246</v>
      </c>
      <c r="T2087" t="s">
        <v>109</v>
      </c>
      <c r="U2087" t="s">
        <v>1198</v>
      </c>
    </row>
    <row r="2088" spans="1:21" x14ac:dyDescent="0.25">
      <c r="A2088" t="s">
        <v>4113</v>
      </c>
      <c r="B2088" s="8">
        <v>45978</v>
      </c>
      <c r="C2088" t="s">
        <v>1881</v>
      </c>
      <c r="D2088" t="s">
        <v>1189</v>
      </c>
      <c r="E2088" t="s">
        <v>218</v>
      </c>
      <c r="F2088">
        <v>21</v>
      </c>
      <c r="G2088" t="s">
        <v>11</v>
      </c>
      <c r="H2088" t="s">
        <v>12</v>
      </c>
      <c r="I2088" t="s">
        <v>55</v>
      </c>
      <c r="J2088" t="s">
        <v>65</v>
      </c>
      <c r="K2088" t="s">
        <v>64</v>
      </c>
      <c r="L2088">
        <v>5</v>
      </c>
      <c r="M2088" s="12">
        <v>80</v>
      </c>
      <c r="N2088" s="12">
        <v>56</v>
      </c>
      <c r="O2088">
        <v>5</v>
      </c>
      <c r="P2088" s="12">
        <v>380</v>
      </c>
      <c r="Q2088" s="12">
        <v>280</v>
      </c>
      <c r="R2088" s="12">
        <v>100</v>
      </c>
      <c r="S2088" t="s">
        <v>1246</v>
      </c>
      <c r="T2088" t="s">
        <v>108</v>
      </c>
      <c r="U2088" t="s">
        <v>1201</v>
      </c>
    </row>
    <row r="2089" spans="1:21" x14ac:dyDescent="0.25">
      <c r="A2089" t="s">
        <v>4114</v>
      </c>
      <c r="B2089" s="8">
        <v>45931</v>
      </c>
      <c r="C2089" t="s">
        <v>2600</v>
      </c>
      <c r="D2089" t="s">
        <v>452</v>
      </c>
      <c r="E2089" t="s">
        <v>198</v>
      </c>
      <c r="F2089">
        <v>32</v>
      </c>
      <c r="G2089" t="s">
        <v>7</v>
      </c>
      <c r="H2089" t="s">
        <v>8</v>
      </c>
      <c r="I2089" t="s">
        <v>59</v>
      </c>
      <c r="J2089" t="s">
        <v>73</v>
      </c>
      <c r="K2089" t="s">
        <v>64</v>
      </c>
      <c r="L2089">
        <v>5</v>
      </c>
      <c r="M2089" s="12">
        <v>120</v>
      </c>
      <c r="N2089" s="12">
        <v>81.599999999999994</v>
      </c>
      <c r="O2089">
        <v>4</v>
      </c>
      <c r="P2089" s="12">
        <v>576</v>
      </c>
      <c r="Q2089" s="12">
        <v>408</v>
      </c>
      <c r="R2089" s="12">
        <v>168</v>
      </c>
      <c r="S2089" t="s">
        <v>1246</v>
      </c>
      <c r="T2089" t="s">
        <v>107</v>
      </c>
      <c r="U2089" t="s">
        <v>1199</v>
      </c>
    </row>
    <row r="2090" spans="1:21" x14ac:dyDescent="0.25">
      <c r="A2090" t="s">
        <v>4115</v>
      </c>
      <c r="B2090" s="8">
        <v>45930</v>
      </c>
      <c r="C2090" t="s">
        <v>2878</v>
      </c>
      <c r="D2090" t="s">
        <v>525</v>
      </c>
      <c r="E2090" t="s">
        <v>198</v>
      </c>
      <c r="F2090">
        <v>24</v>
      </c>
      <c r="G2090" t="s">
        <v>16</v>
      </c>
      <c r="H2090" t="s">
        <v>15</v>
      </c>
      <c r="I2090" t="s">
        <v>24</v>
      </c>
      <c r="J2090" t="s">
        <v>25</v>
      </c>
      <c r="K2090" t="s">
        <v>22</v>
      </c>
      <c r="L2090">
        <v>2</v>
      </c>
      <c r="M2090" s="12">
        <v>35800</v>
      </c>
      <c r="N2090" s="12">
        <v>28640</v>
      </c>
      <c r="O2090">
        <v>7</v>
      </c>
      <c r="P2090" s="12">
        <v>66588</v>
      </c>
      <c r="Q2090" s="12">
        <v>57280</v>
      </c>
      <c r="R2090" s="12">
        <v>9308</v>
      </c>
      <c r="S2090" t="s">
        <v>1246</v>
      </c>
      <c r="T2090" t="s">
        <v>107</v>
      </c>
      <c r="U2090" t="s">
        <v>1194</v>
      </c>
    </row>
    <row r="2091" spans="1:21" x14ac:dyDescent="0.25">
      <c r="A2091" t="s">
        <v>4116</v>
      </c>
      <c r="B2091" s="8">
        <v>45730</v>
      </c>
      <c r="C2091" t="s">
        <v>2392</v>
      </c>
      <c r="D2091" t="s">
        <v>667</v>
      </c>
      <c r="E2091" t="s">
        <v>218</v>
      </c>
      <c r="F2091">
        <v>25</v>
      </c>
      <c r="G2091" t="s">
        <v>10</v>
      </c>
      <c r="H2091" t="s">
        <v>8</v>
      </c>
      <c r="I2091" t="s">
        <v>51</v>
      </c>
      <c r="J2091" t="s">
        <v>54</v>
      </c>
      <c r="K2091" t="s">
        <v>43</v>
      </c>
      <c r="L2091">
        <v>5</v>
      </c>
      <c r="M2091" s="12">
        <v>27499</v>
      </c>
      <c r="N2091" s="12">
        <v>21724.210000000003</v>
      </c>
      <c r="O2091">
        <v>8</v>
      </c>
      <c r="P2091" s="12">
        <v>126495.40000000001</v>
      </c>
      <c r="Q2091" s="12">
        <v>108621.05000000002</v>
      </c>
      <c r="R2091" s="12">
        <v>17874.349999999991</v>
      </c>
      <c r="S2091" t="s">
        <v>1246</v>
      </c>
      <c r="T2091" t="s">
        <v>109</v>
      </c>
      <c r="U2091" t="s">
        <v>1201</v>
      </c>
    </row>
    <row r="2092" spans="1:21" x14ac:dyDescent="0.25">
      <c r="A2092" t="s">
        <v>4117</v>
      </c>
      <c r="B2092" s="8">
        <v>45780</v>
      </c>
      <c r="C2092" t="s">
        <v>3211</v>
      </c>
      <c r="D2092" t="s">
        <v>1032</v>
      </c>
      <c r="E2092" t="s">
        <v>198</v>
      </c>
      <c r="F2092">
        <v>51</v>
      </c>
      <c r="G2092" t="s">
        <v>10</v>
      </c>
      <c r="H2092" t="s">
        <v>8</v>
      </c>
      <c r="I2092" t="s">
        <v>24</v>
      </c>
      <c r="J2092" t="s">
        <v>25</v>
      </c>
      <c r="K2092" t="s">
        <v>22</v>
      </c>
      <c r="L2092">
        <v>2</v>
      </c>
      <c r="M2092" s="12">
        <v>35800</v>
      </c>
      <c r="N2092" s="12">
        <v>28640</v>
      </c>
      <c r="O2092">
        <v>7</v>
      </c>
      <c r="P2092" s="12">
        <v>66588</v>
      </c>
      <c r="Q2092" s="12">
        <v>57280</v>
      </c>
      <c r="R2092" s="12">
        <v>9308</v>
      </c>
      <c r="S2092" t="s">
        <v>1246</v>
      </c>
      <c r="T2092" t="s">
        <v>107</v>
      </c>
      <c r="U2092" t="s">
        <v>1207</v>
      </c>
    </row>
    <row r="2093" spans="1:21" x14ac:dyDescent="0.25">
      <c r="A2093" t="s">
        <v>4118</v>
      </c>
      <c r="B2093" s="8">
        <v>45751</v>
      </c>
      <c r="C2093" t="s">
        <v>2419</v>
      </c>
      <c r="D2093" t="s">
        <v>491</v>
      </c>
      <c r="E2093" t="s">
        <v>198</v>
      </c>
      <c r="F2093">
        <v>60</v>
      </c>
      <c r="G2093" t="s">
        <v>289</v>
      </c>
      <c r="H2093" t="s">
        <v>3</v>
      </c>
      <c r="I2093" t="s">
        <v>32</v>
      </c>
      <c r="J2093" t="s">
        <v>29</v>
      </c>
      <c r="K2093" t="s">
        <v>22</v>
      </c>
      <c r="L2093">
        <v>2</v>
      </c>
      <c r="M2093" s="12">
        <v>9500</v>
      </c>
      <c r="N2093" s="12">
        <v>6650</v>
      </c>
      <c r="O2093">
        <v>4</v>
      </c>
      <c r="P2093" s="12">
        <v>18240</v>
      </c>
      <c r="Q2093" s="12">
        <v>13300</v>
      </c>
      <c r="R2093" s="12">
        <v>4940</v>
      </c>
      <c r="S2093" t="s">
        <v>1246</v>
      </c>
      <c r="T2093" t="s">
        <v>108</v>
      </c>
      <c r="U2093" t="s">
        <v>1198</v>
      </c>
    </row>
    <row r="2094" spans="1:21" x14ac:dyDescent="0.25">
      <c r="A2094" t="s">
        <v>4119</v>
      </c>
      <c r="B2094" s="8">
        <v>45675</v>
      </c>
      <c r="C2094" t="s">
        <v>1696</v>
      </c>
      <c r="D2094" t="s">
        <v>629</v>
      </c>
      <c r="E2094" t="s">
        <v>218</v>
      </c>
      <c r="F2094">
        <v>48</v>
      </c>
      <c r="G2094" t="s">
        <v>16</v>
      </c>
      <c r="H2094" t="s">
        <v>15</v>
      </c>
      <c r="I2094" t="s">
        <v>38</v>
      </c>
      <c r="J2094" t="s">
        <v>37</v>
      </c>
      <c r="K2094" t="s">
        <v>22</v>
      </c>
      <c r="L2094">
        <v>1</v>
      </c>
      <c r="M2094" s="12">
        <v>1650</v>
      </c>
      <c r="N2094" s="12">
        <v>990</v>
      </c>
      <c r="O2094">
        <v>5</v>
      </c>
      <c r="P2094" s="12">
        <v>1567.5</v>
      </c>
      <c r="Q2094" s="12">
        <v>990</v>
      </c>
      <c r="R2094" s="12">
        <v>577.5</v>
      </c>
      <c r="S2094" t="s">
        <v>1246</v>
      </c>
      <c r="T2094" t="s">
        <v>107</v>
      </c>
      <c r="U2094" t="s">
        <v>1194</v>
      </c>
    </row>
    <row r="2095" spans="1:21" x14ac:dyDescent="0.25">
      <c r="A2095" t="s">
        <v>4121</v>
      </c>
      <c r="B2095" s="8">
        <v>45905</v>
      </c>
      <c r="C2095" t="s">
        <v>3993</v>
      </c>
      <c r="D2095" t="s">
        <v>1192</v>
      </c>
      <c r="E2095" t="s">
        <v>218</v>
      </c>
      <c r="F2095">
        <v>59</v>
      </c>
      <c r="G2095" t="s">
        <v>14</v>
      </c>
      <c r="H2095" t="s">
        <v>15</v>
      </c>
      <c r="I2095" t="s">
        <v>61</v>
      </c>
      <c r="J2095" t="s">
        <v>146</v>
      </c>
      <c r="K2095" t="s">
        <v>64</v>
      </c>
      <c r="L2095">
        <v>1</v>
      </c>
      <c r="M2095" s="12">
        <v>250</v>
      </c>
      <c r="N2095" s="12">
        <v>155</v>
      </c>
      <c r="O2095">
        <v>4</v>
      </c>
      <c r="P2095" s="12">
        <v>240</v>
      </c>
      <c r="Q2095" s="12">
        <v>155</v>
      </c>
      <c r="R2095" s="12">
        <v>85</v>
      </c>
      <c r="S2095" t="s">
        <v>1246</v>
      </c>
      <c r="T2095" t="s">
        <v>107</v>
      </c>
      <c r="U2095" t="s">
        <v>1199</v>
      </c>
    </row>
    <row r="2096" spans="1:21" x14ac:dyDescent="0.25">
      <c r="A2096" t="s">
        <v>4122</v>
      </c>
      <c r="B2096" s="8">
        <v>45908</v>
      </c>
      <c r="C2096" t="s">
        <v>3044</v>
      </c>
      <c r="D2096" t="s">
        <v>1191</v>
      </c>
      <c r="E2096" t="s">
        <v>218</v>
      </c>
      <c r="F2096">
        <v>39</v>
      </c>
      <c r="G2096" t="s">
        <v>7</v>
      </c>
      <c r="H2096" t="s">
        <v>8</v>
      </c>
      <c r="I2096" t="s">
        <v>42</v>
      </c>
      <c r="J2096" t="s">
        <v>44</v>
      </c>
      <c r="K2096" t="s">
        <v>43</v>
      </c>
      <c r="L2096">
        <v>5</v>
      </c>
      <c r="M2096" s="12">
        <v>8999</v>
      </c>
      <c r="N2096" s="12">
        <v>6479.28</v>
      </c>
      <c r="O2096">
        <v>7</v>
      </c>
      <c r="P2096" s="12">
        <v>41845.35</v>
      </c>
      <c r="Q2096" s="12">
        <v>32396.399999999998</v>
      </c>
      <c r="R2096" s="12">
        <v>9448.9500000000007</v>
      </c>
      <c r="S2096" t="s">
        <v>113</v>
      </c>
      <c r="T2096" t="s">
        <v>107</v>
      </c>
      <c r="U2096" t="s">
        <v>1211</v>
      </c>
    </row>
    <row r="2097" spans="1:21" x14ac:dyDescent="0.25">
      <c r="A2097" t="s">
        <v>4124</v>
      </c>
      <c r="B2097" s="8">
        <v>45959</v>
      </c>
      <c r="C2097" t="s">
        <v>2584</v>
      </c>
      <c r="D2097" t="s">
        <v>463</v>
      </c>
      <c r="E2097" t="s">
        <v>218</v>
      </c>
      <c r="F2097">
        <v>32</v>
      </c>
      <c r="G2097" t="s">
        <v>16</v>
      </c>
      <c r="H2097" t="s">
        <v>15</v>
      </c>
      <c r="I2097" t="s">
        <v>53</v>
      </c>
      <c r="J2097" t="s">
        <v>48</v>
      </c>
      <c r="K2097" t="s">
        <v>43</v>
      </c>
      <c r="L2097">
        <v>2</v>
      </c>
      <c r="M2097" s="12">
        <v>6499</v>
      </c>
      <c r="N2097" s="12">
        <v>4549.2999999999993</v>
      </c>
      <c r="O2097">
        <v>10</v>
      </c>
      <c r="P2097" s="12">
        <v>11698.2</v>
      </c>
      <c r="Q2097" s="12">
        <v>9098.5999999999985</v>
      </c>
      <c r="R2097" s="12">
        <v>2599.6000000000022</v>
      </c>
      <c r="S2097" t="s">
        <v>1246</v>
      </c>
      <c r="T2097" t="s">
        <v>108</v>
      </c>
      <c r="U2097" t="s">
        <v>1207</v>
      </c>
    </row>
    <row r="2098" spans="1:21" x14ac:dyDescent="0.25">
      <c r="A2098" t="s">
        <v>4125</v>
      </c>
      <c r="B2098" s="8">
        <v>45719</v>
      </c>
      <c r="C2098" t="s">
        <v>1802</v>
      </c>
      <c r="D2098" t="s">
        <v>932</v>
      </c>
      <c r="E2098" t="s">
        <v>198</v>
      </c>
      <c r="F2098">
        <v>42</v>
      </c>
      <c r="G2098" t="s">
        <v>289</v>
      </c>
      <c r="H2098" t="s">
        <v>3</v>
      </c>
      <c r="I2098" t="s">
        <v>55</v>
      </c>
      <c r="J2098" t="s">
        <v>65</v>
      </c>
      <c r="K2098" t="s">
        <v>64</v>
      </c>
      <c r="L2098">
        <v>4</v>
      </c>
      <c r="M2098" s="12">
        <v>80</v>
      </c>
      <c r="N2098" s="12">
        <v>56</v>
      </c>
      <c r="O2098">
        <v>0</v>
      </c>
      <c r="P2098" s="12">
        <v>320</v>
      </c>
      <c r="Q2098" s="12">
        <v>224</v>
      </c>
      <c r="R2098" s="12">
        <v>96</v>
      </c>
      <c r="S2098" t="s">
        <v>1246</v>
      </c>
      <c r="T2098" t="s">
        <v>108</v>
      </c>
      <c r="U2098" t="s">
        <v>1196</v>
      </c>
    </row>
    <row r="2099" spans="1:21" x14ac:dyDescent="0.25">
      <c r="A2099" t="s">
        <v>4126</v>
      </c>
      <c r="B2099" s="8">
        <v>45959</v>
      </c>
      <c r="C2099" t="s">
        <v>3929</v>
      </c>
      <c r="D2099" t="s">
        <v>953</v>
      </c>
      <c r="E2099" t="s">
        <v>198</v>
      </c>
      <c r="F2099">
        <v>51</v>
      </c>
      <c r="G2099" t="s">
        <v>289</v>
      </c>
      <c r="H2099" t="s">
        <v>3</v>
      </c>
      <c r="I2099" t="s">
        <v>32</v>
      </c>
      <c r="J2099" t="s">
        <v>29</v>
      </c>
      <c r="K2099" t="s">
        <v>22</v>
      </c>
      <c r="L2099">
        <v>2</v>
      </c>
      <c r="M2099" s="12">
        <v>9500</v>
      </c>
      <c r="N2099" s="12">
        <v>6650</v>
      </c>
      <c r="O2099">
        <v>8</v>
      </c>
      <c r="P2099" s="12">
        <v>17480</v>
      </c>
      <c r="Q2099" s="12">
        <v>13300</v>
      </c>
      <c r="R2099" s="12">
        <v>4180</v>
      </c>
      <c r="S2099" t="s">
        <v>113</v>
      </c>
      <c r="T2099" t="s">
        <v>108</v>
      </c>
      <c r="U2099" t="s">
        <v>1198</v>
      </c>
    </row>
    <row r="2100" spans="1:21" x14ac:dyDescent="0.25">
      <c r="A2100" t="s">
        <v>4127</v>
      </c>
      <c r="B2100" s="8">
        <v>45725</v>
      </c>
      <c r="C2100" t="s">
        <v>3246</v>
      </c>
      <c r="D2100" t="s">
        <v>1084</v>
      </c>
      <c r="E2100" t="s">
        <v>218</v>
      </c>
      <c r="F2100">
        <v>28</v>
      </c>
      <c r="G2100" t="s">
        <v>10</v>
      </c>
      <c r="H2100" t="s">
        <v>8</v>
      </c>
      <c r="I2100" t="s">
        <v>34</v>
      </c>
      <c r="J2100" t="s">
        <v>137</v>
      </c>
      <c r="K2100" t="s">
        <v>22</v>
      </c>
      <c r="L2100">
        <v>3</v>
      </c>
      <c r="M2100" s="12">
        <v>6900</v>
      </c>
      <c r="N2100" s="12">
        <v>5727</v>
      </c>
      <c r="O2100">
        <v>8</v>
      </c>
      <c r="P2100" s="12">
        <v>19044</v>
      </c>
      <c r="Q2100" s="12">
        <v>17181</v>
      </c>
      <c r="R2100" s="12">
        <v>1863</v>
      </c>
      <c r="S2100" t="s">
        <v>1246</v>
      </c>
      <c r="T2100" t="s">
        <v>107</v>
      </c>
      <c r="U2100" t="s">
        <v>1207</v>
      </c>
    </row>
    <row r="2101" spans="1:21" x14ac:dyDescent="0.25">
      <c r="A2101" t="s">
        <v>4128</v>
      </c>
      <c r="B2101" s="8">
        <v>45668</v>
      </c>
      <c r="C2101" t="s">
        <v>4654</v>
      </c>
      <c r="D2101" t="s">
        <v>943</v>
      </c>
      <c r="E2101" t="s">
        <v>198</v>
      </c>
      <c r="F2101">
        <v>23</v>
      </c>
      <c r="G2101" t="s">
        <v>16</v>
      </c>
      <c r="H2101" t="s">
        <v>15</v>
      </c>
      <c r="I2101" t="s">
        <v>63</v>
      </c>
      <c r="J2101" t="s">
        <v>77</v>
      </c>
      <c r="K2101" t="s">
        <v>64</v>
      </c>
      <c r="L2101">
        <v>1</v>
      </c>
      <c r="M2101" s="12">
        <v>650</v>
      </c>
      <c r="N2101" s="12">
        <v>468</v>
      </c>
      <c r="O2101">
        <v>10</v>
      </c>
      <c r="P2101" s="12">
        <v>585</v>
      </c>
      <c r="Q2101" s="12">
        <v>468</v>
      </c>
      <c r="R2101" s="12">
        <v>117</v>
      </c>
      <c r="S2101" t="s">
        <v>113</v>
      </c>
      <c r="T2101" t="s">
        <v>108</v>
      </c>
      <c r="U2101" t="s">
        <v>1199</v>
      </c>
    </row>
    <row r="2102" spans="1:21" x14ac:dyDescent="0.25">
      <c r="A2102" t="s">
        <v>4129</v>
      </c>
      <c r="B2102" s="8">
        <v>45990</v>
      </c>
      <c r="C2102" t="s">
        <v>2178</v>
      </c>
      <c r="D2102" t="s">
        <v>444</v>
      </c>
      <c r="E2102" t="s">
        <v>218</v>
      </c>
      <c r="F2102">
        <v>23</v>
      </c>
      <c r="G2102" t="s">
        <v>11</v>
      </c>
      <c r="H2102" t="s">
        <v>12</v>
      </c>
      <c r="I2102" t="s">
        <v>32</v>
      </c>
      <c r="J2102" t="s">
        <v>29</v>
      </c>
      <c r="K2102" t="s">
        <v>22</v>
      </c>
      <c r="L2102">
        <v>2</v>
      </c>
      <c r="M2102" s="12">
        <v>9500</v>
      </c>
      <c r="N2102" s="12">
        <v>6650</v>
      </c>
      <c r="O2102">
        <v>10</v>
      </c>
      <c r="P2102" s="12">
        <v>17100</v>
      </c>
      <c r="Q2102" s="12">
        <v>13300</v>
      </c>
      <c r="R2102" s="12">
        <v>3800</v>
      </c>
      <c r="S2102" t="s">
        <v>113</v>
      </c>
      <c r="T2102" t="s">
        <v>107</v>
      </c>
      <c r="U2102" t="s">
        <v>1201</v>
      </c>
    </row>
    <row r="2103" spans="1:21" x14ac:dyDescent="0.25">
      <c r="A2103" t="s">
        <v>4130</v>
      </c>
      <c r="B2103" s="8">
        <v>45740</v>
      </c>
      <c r="C2103" t="s">
        <v>2392</v>
      </c>
      <c r="D2103" t="s">
        <v>667</v>
      </c>
      <c r="E2103" t="s">
        <v>218</v>
      </c>
      <c r="F2103">
        <v>25</v>
      </c>
      <c r="G2103" t="s">
        <v>10</v>
      </c>
      <c r="H2103" t="s">
        <v>8</v>
      </c>
      <c r="I2103" t="s">
        <v>24</v>
      </c>
      <c r="J2103" t="s">
        <v>25</v>
      </c>
      <c r="K2103" t="s">
        <v>22</v>
      </c>
      <c r="L2103">
        <v>5</v>
      </c>
      <c r="M2103" s="12">
        <v>35800</v>
      </c>
      <c r="N2103" s="12">
        <v>28640</v>
      </c>
      <c r="O2103">
        <v>4</v>
      </c>
      <c r="P2103" s="12">
        <v>171840</v>
      </c>
      <c r="Q2103" s="12">
        <v>143200</v>
      </c>
      <c r="R2103" s="12">
        <v>28640</v>
      </c>
      <c r="S2103" t="s">
        <v>113</v>
      </c>
      <c r="T2103" t="s">
        <v>107</v>
      </c>
      <c r="U2103" t="s">
        <v>1205</v>
      </c>
    </row>
    <row r="2104" spans="1:21" x14ac:dyDescent="0.25">
      <c r="A2104" t="s">
        <v>4131</v>
      </c>
      <c r="B2104" s="8">
        <v>45808</v>
      </c>
      <c r="C2104" t="s">
        <v>1417</v>
      </c>
      <c r="D2104" t="s">
        <v>916</v>
      </c>
      <c r="E2104" t="s">
        <v>218</v>
      </c>
      <c r="F2104">
        <v>47</v>
      </c>
      <c r="G2104" t="s">
        <v>17</v>
      </c>
      <c r="H2104" t="s">
        <v>15</v>
      </c>
      <c r="I2104" t="s">
        <v>28</v>
      </c>
      <c r="J2104" t="s">
        <v>35</v>
      </c>
      <c r="K2104" t="s">
        <v>22</v>
      </c>
      <c r="L2104">
        <v>5</v>
      </c>
      <c r="M2104" s="12">
        <v>16499</v>
      </c>
      <c r="N2104" s="12">
        <v>14519.12</v>
      </c>
      <c r="O2104">
        <v>6</v>
      </c>
      <c r="P2104" s="12">
        <v>77545.299999999988</v>
      </c>
      <c r="Q2104" s="12">
        <v>72595.600000000006</v>
      </c>
      <c r="R2104" s="12">
        <v>4949.6999999999825</v>
      </c>
      <c r="S2104" t="s">
        <v>1246</v>
      </c>
      <c r="T2104" t="s">
        <v>111</v>
      </c>
      <c r="U2104" t="s">
        <v>1211</v>
      </c>
    </row>
    <row r="2105" spans="1:21" x14ac:dyDescent="0.25">
      <c r="A2105" t="s">
        <v>4133</v>
      </c>
      <c r="B2105" s="8">
        <v>45849</v>
      </c>
      <c r="C2105" t="s">
        <v>1762</v>
      </c>
      <c r="D2105" t="s">
        <v>501</v>
      </c>
      <c r="E2105" t="s">
        <v>218</v>
      </c>
      <c r="F2105">
        <v>62</v>
      </c>
      <c r="G2105" t="s">
        <v>5</v>
      </c>
      <c r="H2105" t="s">
        <v>3</v>
      </c>
      <c r="I2105" t="s">
        <v>36</v>
      </c>
      <c r="J2105" t="s">
        <v>136</v>
      </c>
      <c r="K2105" t="s">
        <v>22</v>
      </c>
      <c r="L2105">
        <v>1</v>
      </c>
      <c r="M2105" s="12">
        <v>3590</v>
      </c>
      <c r="N2105" s="12">
        <v>2333.5</v>
      </c>
      <c r="O2105">
        <v>5</v>
      </c>
      <c r="P2105" s="12">
        <v>3410.5</v>
      </c>
      <c r="Q2105" s="12">
        <v>2333.5</v>
      </c>
      <c r="R2105" s="12">
        <v>1077</v>
      </c>
      <c r="S2105" t="s">
        <v>1246</v>
      </c>
      <c r="T2105" t="s">
        <v>110</v>
      </c>
      <c r="U2105" t="s">
        <v>1198</v>
      </c>
    </row>
    <row r="2106" spans="1:21" x14ac:dyDescent="0.25">
      <c r="A2106" t="s">
        <v>4134</v>
      </c>
      <c r="B2106" s="8">
        <v>45740</v>
      </c>
      <c r="C2106" t="s">
        <v>1694</v>
      </c>
      <c r="D2106" t="s">
        <v>1069</v>
      </c>
      <c r="E2106" t="s">
        <v>218</v>
      </c>
      <c r="F2106">
        <v>40</v>
      </c>
      <c r="G2106" t="s">
        <v>5</v>
      </c>
      <c r="H2106" t="s">
        <v>3</v>
      </c>
      <c r="I2106" t="s">
        <v>55</v>
      </c>
      <c r="J2106" t="s">
        <v>65</v>
      </c>
      <c r="K2106" t="s">
        <v>64</v>
      </c>
      <c r="L2106">
        <v>1</v>
      </c>
      <c r="M2106" s="12">
        <v>80</v>
      </c>
      <c r="N2106" s="12">
        <v>56</v>
      </c>
      <c r="O2106">
        <v>2</v>
      </c>
      <c r="P2106" s="12">
        <v>78.400000000000006</v>
      </c>
      <c r="Q2106" s="12">
        <v>56</v>
      </c>
      <c r="R2106" s="12">
        <v>22.400000000000006</v>
      </c>
      <c r="S2106" t="s">
        <v>1246</v>
      </c>
      <c r="T2106" t="s">
        <v>107</v>
      </c>
      <c r="U2106" t="s">
        <v>1196</v>
      </c>
    </row>
    <row r="2107" spans="1:21" x14ac:dyDescent="0.25">
      <c r="A2107" t="s">
        <v>4135</v>
      </c>
      <c r="B2107" s="8">
        <v>45818</v>
      </c>
      <c r="C2107" t="s">
        <v>1526</v>
      </c>
      <c r="D2107" t="s">
        <v>697</v>
      </c>
      <c r="E2107" t="s">
        <v>218</v>
      </c>
      <c r="F2107">
        <v>48</v>
      </c>
      <c r="G2107" t="s">
        <v>9</v>
      </c>
      <c r="H2107" t="s">
        <v>8</v>
      </c>
      <c r="I2107" t="s">
        <v>59</v>
      </c>
      <c r="J2107" t="s">
        <v>73</v>
      </c>
      <c r="K2107" t="s">
        <v>64</v>
      </c>
      <c r="L2107">
        <v>4</v>
      </c>
      <c r="M2107" s="12">
        <v>120</v>
      </c>
      <c r="N2107" s="12">
        <v>81.599999999999994</v>
      </c>
      <c r="O2107">
        <v>13</v>
      </c>
      <c r="P2107" s="12">
        <v>417.6</v>
      </c>
      <c r="Q2107" s="12">
        <v>326.39999999999998</v>
      </c>
      <c r="R2107" s="12">
        <v>91.200000000000045</v>
      </c>
      <c r="S2107" t="s">
        <v>1249</v>
      </c>
      <c r="T2107" t="s">
        <v>107</v>
      </c>
      <c r="U2107" t="s">
        <v>1199</v>
      </c>
    </row>
    <row r="2108" spans="1:21" x14ac:dyDescent="0.25">
      <c r="A2108" t="s">
        <v>4136</v>
      </c>
      <c r="B2108" s="8">
        <v>45783</v>
      </c>
      <c r="C2108" t="s">
        <v>2017</v>
      </c>
      <c r="D2108" t="s">
        <v>421</v>
      </c>
      <c r="E2108" t="s">
        <v>218</v>
      </c>
      <c r="F2108">
        <v>38</v>
      </c>
      <c r="G2108" t="s">
        <v>11</v>
      </c>
      <c r="H2108" t="s">
        <v>12</v>
      </c>
      <c r="I2108" t="s">
        <v>51</v>
      </c>
      <c r="J2108" t="s">
        <v>54</v>
      </c>
      <c r="K2108" t="s">
        <v>43</v>
      </c>
      <c r="L2108">
        <v>3</v>
      </c>
      <c r="M2108" s="12">
        <v>27499</v>
      </c>
      <c r="N2108" s="12">
        <v>21724.210000000003</v>
      </c>
      <c r="O2108">
        <v>3</v>
      </c>
      <c r="P2108" s="12">
        <v>80022.09</v>
      </c>
      <c r="Q2108" s="12">
        <v>65172.630000000005</v>
      </c>
      <c r="R2108" s="12">
        <v>14849.459999999992</v>
      </c>
      <c r="S2108" t="s">
        <v>1249</v>
      </c>
      <c r="T2108" t="s">
        <v>107</v>
      </c>
      <c r="U2108" t="s">
        <v>1196</v>
      </c>
    </row>
    <row r="2109" spans="1:21" x14ac:dyDescent="0.25">
      <c r="A2109" t="s">
        <v>4137</v>
      </c>
      <c r="B2109" s="8">
        <v>45759</v>
      </c>
      <c r="C2109" t="s">
        <v>2001</v>
      </c>
      <c r="D2109" t="s">
        <v>597</v>
      </c>
      <c r="E2109" t="s">
        <v>218</v>
      </c>
      <c r="F2109">
        <v>27</v>
      </c>
      <c r="G2109" t="s">
        <v>17</v>
      </c>
      <c r="H2109" t="s">
        <v>15</v>
      </c>
      <c r="I2109" t="s">
        <v>40</v>
      </c>
      <c r="J2109" t="s">
        <v>39</v>
      </c>
      <c r="K2109" t="s">
        <v>22</v>
      </c>
      <c r="L2109">
        <v>2</v>
      </c>
      <c r="M2109" s="12">
        <v>1100</v>
      </c>
      <c r="N2109" s="12">
        <v>715</v>
      </c>
      <c r="O2109">
        <v>3</v>
      </c>
      <c r="P2109" s="12">
        <v>2134</v>
      </c>
      <c r="Q2109" s="12">
        <v>1430</v>
      </c>
      <c r="R2109" s="12">
        <v>704</v>
      </c>
      <c r="S2109" t="s">
        <v>1249</v>
      </c>
      <c r="T2109" t="s">
        <v>110</v>
      </c>
      <c r="U2109" t="s">
        <v>1199</v>
      </c>
    </row>
    <row r="2110" spans="1:21" x14ac:dyDescent="0.25">
      <c r="A2110" t="s">
        <v>4138</v>
      </c>
      <c r="B2110" s="8">
        <v>45927</v>
      </c>
      <c r="C2110" t="s">
        <v>2265</v>
      </c>
      <c r="D2110" t="s">
        <v>878</v>
      </c>
      <c r="E2110" t="s">
        <v>218</v>
      </c>
      <c r="F2110">
        <v>34</v>
      </c>
      <c r="G2110" t="s">
        <v>17</v>
      </c>
      <c r="H2110" t="s">
        <v>15</v>
      </c>
      <c r="I2110" t="s">
        <v>63</v>
      </c>
      <c r="J2110" t="s">
        <v>77</v>
      </c>
      <c r="K2110" t="s">
        <v>64</v>
      </c>
      <c r="L2110">
        <v>3</v>
      </c>
      <c r="M2110" s="12">
        <v>650</v>
      </c>
      <c r="N2110" s="12">
        <v>468</v>
      </c>
      <c r="O2110">
        <v>2</v>
      </c>
      <c r="P2110" s="12">
        <v>1911</v>
      </c>
      <c r="Q2110" s="12">
        <v>1404</v>
      </c>
      <c r="R2110" s="12">
        <v>507</v>
      </c>
      <c r="S2110" t="s">
        <v>1246</v>
      </c>
      <c r="T2110" t="s">
        <v>109</v>
      </c>
      <c r="U2110" t="s">
        <v>1205</v>
      </c>
    </row>
    <row r="2111" spans="1:21" x14ac:dyDescent="0.25">
      <c r="A2111" t="s">
        <v>4139</v>
      </c>
      <c r="B2111" s="8">
        <v>45788</v>
      </c>
      <c r="C2111" t="s">
        <v>2766</v>
      </c>
      <c r="D2111" t="s">
        <v>484</v>
      </c>
      <c r="E2111" t="s">
        <v>198</v>
      </c>
      <c r="F2111">
        <v>46</v>
      </c>
      <c r="G2111" t="s">
        <v>2</v>
      </c>
      <c r="H2111" t="s">
        <v>3</v>
      </c>
      <c r="I2111" t="s">
        <v>53</v>
      </c>
      <c r="J2111" t="s">
        <v>48</v>
      </c>
      <c r="K2111" t="s">
        <v>43</v>
      </c>
      <c r="L2111">
        <v>1</v>
      </c>
      <c r="M2111" s="12">
        <v>6499</v>
      </c>
      <c r="N2111" s="12">
        <v>4549.2999999999993</v>
      </c>
      <c r="O2111">
        <v>5</v>
      </c>
      <c r="P2111" s="12">
        <v>6174.0499999999993</v>
      </c>
      <c r="Q2111" s="12">
        <v>4549.2999999999993</v>
      </c>
      <c r="R2111" s="12">
        <v>1624.75</v>
      </c>
      <c r="S2111" t="s">
        <v>1246</v>
      </c>
      <c r="T2111" t="s">
        <v>107</v>
      </c>
      <c r="U2111" t="s">
        <v>1194</v>
      </c>
    </row>
    <row r="2112" spans="1:21" x14ac:dyDescent="0.25">
      <c r="A2112" t="s">
        <v>4140</v>
      </c>
      <c r="B2112" s="8">
        <v>45981</v>
      </c>
      <c r="C2112" t="s">
        <v>2637</v>
      </c>
      <c r="D2112" t="s">
        <v>730</v>
      </c>
      <c r="E2112" t="s">
        <v>198</v>
      </c>
      <c r="F2112">
        <v>62</v>
      </c>
      <c r="G2112" t="s">
        <v>290</v>
      </c>
      <c r="H2112" t="s">
        <v>3</v>
      </c>
      <c r="I2112" t="s">
        <v>45</v>
      </c>
      <c r="J2112" t="s">
        <v>46</v>
      </c>
      <c r="K2112" t="s">
        <v>43</v>
      </c>
      <c r="L2112">
        <v>5</v>
      </c>
      <c r="M2112" s="12">
        <v>11999</v>
      </c>
      <c r="N2112" s="12">
        <v>8999.25</v>
      </c>
      <c r="O2112">
        <v>12</v>
      </c>
      <c r="P2112" s="12">
        <v>52795.6</v>
      </c>
      <c r="Q2112" s="12">
        <v>44996.25</v>
      </c>
      <c r="R2112" s="12">
        <v>7799.3499999999985</v>
      </c>
      <c r="S2112" t="s">
        <v>1246</v>
      </c>
      <c r="T2112" t="s">
        <v>110</v>
      </c>
      <c r="U2112" t="s">
        <v>1196</v>
      </c>
    </row>
    <row r="2113" spans="1:21" x14ac:dyDescent="0.25">
      <c r="A2113" t="s">
        <v>4141</v>
      </c>
      <c r="B2113" s="8">
        <v>45724</v>
      </c>
      <c r="C2113" t="s">
        <v>4257</v>
      </c>
      <c r="D2113" t="s">
        <v>682</v>
      </c>
      <c r="E2113" t="s">
        <v>198</v>
      </c>
      <c r="F2113">
        <v>29</v>
      </c>
      <c r="G2113" t="s">
        <v>289</v>
      </c>
      <c r="H2113" t="s">
        <v>3</v>
      </c>
      <c r="I2113" t="s">
        <v>26</v>
      </c>
      <c r="J2113" t="s">
        <v>27</v>
      </c>
      <c r="K2113" t="s">
        <v>22</v>
      </c>
      <c r="L2113">
        <v>1</v>
      </c>
      <c r="M2113" s="12">
        <v>27499</v>
      </c>
      <c r="N2113" s="12">
        <v>23374.149999999998</v>
      </c>
      <c r="O2113">
        <v>6</v>
      </c>
      <c r="P2113" s="12">
        <v>25849.059999999998</v>
      </c>
      <c r="Q2113" s="12">
        <v>23374.149999999998</v>
      </c>
      <c r="R2113" s="12">
        <v>2474.91</v>
      </c>
      <c r="S2113" t="s">
        <v>1246</v>
      </c>
      <c r="T2113" t="s">
        <v>110</v>
      </c>
      <c r="U2113" t="s">
        <v>1194</v>
      </c>
    </row>
    <row r="2114" spans="1:21" x14ac:dyDescent="0.25">
      <c r="A2114" t="s">
        <v>4142</v>
      </c>
      <c r="B2114" s="8">
        <v>45832</v>
      </c>
      <c r="C2114" t="s">
        <v>2250</v>
      </c>
      <c r="D2114" t="s">
        <v>983</v>
      </c>
      <c r="E2114" t="s">
        <v>198</v>
      </c>
      <c r="F2114">
        <v>25</v>
      </c>
      <c r="G2114" t="s">
        <v>289</v>
      </c>
      <c r="H2114" t="s">
        <v>3</v>
      </c>
      <c r="I2114" t="s">
        <v>47</v>
      </c>
      <c r="J2114" t="s">
        <v>52</v>
      </c>
      <c r="K2114" t="s">
        <v>43</v>
      </c>
      <c r="L2114">
        <v>2</v>
      </c>
      <c r="M2114" s="12">
        <v>42999</v>
      </c>
      <c r="N2114" s="12">
        <v>33539.22</v>
      </c>
      <c r="O2114">
        <v>4</v>
      </c>
      <c r="P2114" s="12">
        <v>82558.080000000002</v>
      </c>
      <c r="Q2114" s="12">
        <v>67078.44</v>
      </c>
      <c r="R2114" s="12">
        <v>15479.64</v>
      </c>
      <c r="S2114" t="s">
        <v>1246</v>
      </c>
      <c r="T2114" t="s">
        <v>109</v>
      </c>
      <c r="U2114" t="s">
        <v>1205</v>
      </c>
    </row>
    <row r="2115" spans="1:21" x14ac:dyDescent="0.25">
      <c r="A2115" t="s">
        <v>4143</v>
      </c>
      <c r="B2115" s="8">
        <v>46016</v>
      </c>
      <c r="C2115" t="s">
        <v>3018</v>
      </c>
      <c r="D2115" t="s">
        <v>459</v>
      </c>
      <c r="E2115" t="s">
        <v>218</v>
      </c>
      <c r="F2115">
        <v>21</v>
      </c>
      <c r="G2115" t="s">
        <v>5</v>
      </c>
      <c r="H2115" t="s">
        <v>3</v>
      </c>
      <c r="I2115" t="s">
        <v>42</v>
      </c>
      <c r="J2115" t="s">
        <v>44</v>
      </c>
      <c r="K2115" t="s">
        <v>43</v>
      </c>
      <c r="L2115">
        <v>4</v>
      </c>
      <c r="M2115" s="12">
        <v>8999</v>
      </c>
      <c r="N2115" s="12">
        <v>6479.28</v>
      </c>
      <c r="O2115">
        <v>12</v>
      </c>
      <c r="P2115" s="12">
        <v>31676.48</v>
      </c>
      <c r="Q2115" s="12">
        <v>25917.119999999999</v>
      </c>
      <c r="R2115" s="12">
        <v>5759.3600000000006</v>
      </c>
      <c r="S2115" t="s">
        <v>1246</v>
      </c>
      <c r="T2115" t="s">
        <v>111</v>
      </c>
      <c r="U2115" t="s">
        <v>1205</v>
      </c>
    </row>
    <row r="2116" spans="1:21" x14ac:dyDescent="0.25">
      <c r="A2116" t="s">
        <v>4144</v>
      </c>
      <c r="B2116" s="8">
        <v>45840</v>
      </c>
      <c r="C2116" t="s">
        <v>1376</v>
      </c>
      <c r="D2116" t="s">
        <v>1011</v>
      </c>
      <c r="E2116" t="s">
        <v>218</v>
      </c>
      <c r="F2116">
        <v>51</v>
      </c>
      <c r="G2116" t="s">
        <v>7</v>
      </c>
      <c r="H2116" t="s">
        <v>8</v>
      </c>
      <c r="I2116" t="s">
        <v>34</v>
      </c>
      <c r="J2116" t="s">
        <v>137</v>
      </c>
      <c r="K2116" t="s">
        <v>22</v>
      </c>
      <c r="L2116">
        <v>4</v>
      </c>
      <c r="M2116" s="12">
        <v>6900</v>
      </c>
      <c r="N2116" s="12">
        <v>5727</v>
      </c>
      <c r="O2116">
        <v>6</v>
      </c>
      <c r="P2116" s="12">
        <v>25944</v>
      </c>
      <c r="Q2116" s="12">
        <v>22908</v>
      </c>
      <c r="R2116" s="12">
        <v>3036</v>
      </c>
      <c r="S2116" t="s">
        <v>1249</v>
      </c>
      <c r="T2116" t="s">
        <v>109</v>
      </c>
      <c r="U2116" t="s">
        <v>1211</v>
      </c>
    </row>
    <row r="2117" spans="1:21" x14ac:dyDescent="0.25">
      <c r="A2117" t="s">
        <v>4145</v>
      </c>
      <c r="B2117" s="8">
        <v>45908</v>
      </c>
      <c r="C2117" t="s">
        <v>5082</v>
      </c>
      <c r="D2117" t="s">
        <v>628</v>
      </c>
      <c r="E2117" t="s">
        <v>198</v>
      </c>
      <c r="F2117">
        <v>42</v>
      </c>
      <c r="G2117" t="s">
        <v>16</v>
      </c>
      <c r="H2117" t="s">
        <v>15</v>
      </c>
      <c r="I2117" t="s">
        <v>51</v>
      </c>
      <c r="J2117" t="s">
        <v>54</v>
      </c>
      <c r="K2117" t="s">
        <v>43</v>
      </c>
      <c r="L2117">
        <v>4</v>
      </c>
      <c r="M2117" s="12">
        <v>27499</v>
      </c>
      <c r="N2117" s="12">
        <v>21724.210000000003</v>
      </c>
      <c r="O2117">
        <v>10</v>
      </c>
      <c r="P2117" s="12">
        <v>98996.400000000009</v>
      </c>
      <c r="Q2117" s="12">
        <v>86896.840000000011</v>
      </c>
      <c r="R2117" s="12">
        <v>12099.559999999998</v>
      </c>
      <c r="S2117" t="s">
        <v>1246</v>
      </c>
      <c r="T2117" t="s">
        <v>107</v>
      </c>
      <c r="U2117" t="s">
        <v>1209</v>
      </c>
    </row>
    <row r="2118" spans="1:21" x14ac:dyDescent="0.25">
      <c r="A2118" t="s">
        <v>4146</v>
      </c>
      <c r="B2118" s="8">
        <v>45756</v>
      </c>
      <c r="C2118" t="s">
        <v>2898</v>
      </c>
      <c r="D2118" t="s">
        <v>1009</v>
      </c>
      <c r="E2118" t="s">
        <v>198</v>
      </c>
      <c r="F2118">
        <v>44</v>
      </c>
      <c r="G2118" t="s">
        <v>14</v>
      </c>
      <c r="H2118" t="s">
        <v>15</v>
      </c>
      <c r="I2118" t="s">
        <v>49</v>
      </c>
      <c r="J2118" t="s">
        <v>56</v>
      </c>
      <c r="K2118" t="s">
        <v>43</v>
      </c>
      <c r="L2118">
        <v>2</v>
      </c>
      <c r="M2118" s="12">
        <v>31999</v>
      </c>
      <c r="N2118" s="12">
        <v>25599.200000000001</v>
      </c>
      <c r="O2118">
        <v>8</v>
      </c>
      <c r="P2118" s="12">
        <v>58878.16</v>
      </c>
      <c r="Q2118" s="12">
        <v>51198.400000000001</v>
      </c>
      <c r="R2118" s="12">
        <v>7679.760000000002</v>
      </c>
      <c r="S2118" t="s">
        <v>113</v>
      </c>
      <c r="T2118" t="s">
        <v>110</v>
      </c>
      <c r="U2118" t="s">
        <v>1201</v>
      </c>
    </row>
    <row r="2119" spans="1:21" x14ac:dyDescent="0.25">
      <c r="A2119" t="s">
        <v>4147</v>
      </c>
      <c r="B2119" s="8">
        <v>45996</v>
      </c>
      <c r="C2119" t="s">
        <v>2154</v>
      </c>
      <c r="D2119" t="s">
        <v>828</v>
      </c>
      <c r="E2119" t="s">
        <v>218</v>
      </c>
      <c r="F2119">
        <v>63</v>
      </c>
      <c r="G2119" t="s">
        <v>11</v>
      </c>
      <c r="H2119" t="s">
        <v>12</v>
      </c>
      <c r="I2119" t="s">
        <v>30</v>
      </c>
      <c r="J2119" t="s">
        <v>41</v>
      </c>
      <c r="K2119" t="s">
        <v>22</v>
      </c>
      <c r="L2119">
        <v>1</v>
      </c>
      <c r="M2119" s="12">
        <v>13749</v>
      </c>
      <c r="N2119" s="12">
        <v>10999.2</v>
      </c>
      <c r="O2119">
        <v>11</v>
      </c>
      <c r="P2119" s="12">
        <v>12236.61</v>
      </c>
      <c r="Q2119" s="12">
        <v>10999.2</v>
      </c>
      <c r="R2119" s="12">
        <v>1237.4099999999999</v>
      </c>
      <c r="S2119" t="s">
        <v>113</v>
      </c>
      <c r="T2119" t="s">
        <v>111</v>
      </c>
      <c r="U2119" t="s">
        <v>1196</v>
      </c>
    </row>
    <row r="2120" spans="1:21" x14ac:dyDescent="0.25">
      <c r="A2120" t="s">
        <v>4148</v>
      </c>
      <c r="B2120" s="8">
        <v>45873</v>
      </c>
      <c r="C2120" t="s">
        <v>4935</v>
      </c>
      <c r="D2120" t="s">
        <v>1182</v>
      </c>
      <c r="E2120" t="s">
        <v>218</v>
      </c>
      <c r="F2120">
        <v>24</v>
      </c>
      <c r="G2120" t="s">
        <v>4</v>
      </c>
      <c r="H2120" t="s">
        <v>3</v>
      </c>
      <c r="I2120" t="s">
        <v>24</v>
      </c>
      <c r="J2120" t="s">
        <v>25</v>
      </c>
      <c r="K2120" t="s">
        <v>22</v>
      </c>
      <c r="L2120">
        <v>5</v>
      </c>
      <c r="M2120" s="12">
        <v>35800</v>
      </c>
      <c r="N2120" s="12">
        <v>28640</v>
      </c>
      <c r="O2120">
        <v>7</v>
      </c>
      <c r="P2120" s="12">
        <v>166470</v>
      </c>
      <c r="Q2120" s="12">
        <v>143200</v>
      </c>
      <c r="R2120" s="12">
        <v>23270</v>
      </c>
      <c r="S2120" t="s">
        <v>1246</v>
      </c>
      <c r="T2120" t="s">
        <v>107</v>
      </c>
      <c r="U2120" t="s">
        <v>1196</v>
      </c>
    </row>
    <row r="2121" spans="1:21" x14ac:dyDescent="0.25">
      <c r="A2121" t="s">
        <v>4149</v>
      </c>
      <c r="B2121" s="8">
        <v>45719</v>
      </c>
      <c r="C2121" t="s">
        <v>2005</v>
      </c>
      <c r="D2121" t="s">
        <v>804</v>
      </c>
      <c r="E2121" t="s">
        <v>198</v>
      </c>
      <c r="F2121">
        <v>18</v>
      </c>
      <c r="G2121" t="s">
        <v>290</v>
      </c>
      <c r="H2121" t="s">
        <v>3</v>
      </c>
      <c r="I2121" t="s">
        <v>40</v>
      </c>
      <c r="J2121" t="s">
        <v>39</v>
      </c>
      <c r="K2121" t="s">
        <v>22</v>
      </c>
      <c r="L2121">
        <v>4</v>
      </c>
      <c r="M2121" s="12">
        <v>1100</v>
      </c>
      <c r="N2121" s="12">
        <v>715</v>
      </c>
      <c r="O2121">
        <v>7</v>
      </c>
      <c r="P2121" s="12">
        <v>4091.9999999999995</v>
      </c>
      <c r="Q2121" s="12">
        <v>2860</v>
      </c>
      <c r="R2121" s="12">
        <v>1231.9999999999995</v>
      </c>
      <c r="S2121" t="s">
        <v>113</v>
      </c>
      <c r="T2121" t="s">
        <v>109</v>
      </c>
      <c r="U2121" t="s">
        <v>1211</v>
      </c>
    </row>
    <row r="2122" spans="1:21" x14ac:dyDescent="0.25">
      <c r="A2122" t="s">
        <v>4150</v>
      </c>
      <c r="B2122" s="8">
        <v>45836</v>
      </c>
      <c r="C2122" t="s">
        <v>2461</v>
      </c>
      <c r="D2122" t="s">
        <v>995</v>
      </c>
      <c r="E2122" t="s">
        <v>218</v>
      </c>
      <c r="F2122">
        <v>30</v>
      </c>
      <c r="G2122" t="s">
        <v>7</v>
      </c>
      <c r="H2122" t="s">
        <v>8</v>
      </c>
      <c r="I2122" t="s">
        <v>24</v>
      </c>
      <c r="J2122" t="s">
        <v>25</v>
      </c>
      <c r="K2122" t="s">
        <v>22</v>
      </c>
      <c r="L2122">
        <v>4</v>
      </c>
      <c r="M2122" s="12">
        <v>35800</v>
      </c>
      <c r="N2122" s="12">
        <v>28640</v>
      </c>
      <c r="O2122">
        <v>6</v>
      </c>
      <c r="P2122" s="12">
        <v>134608</v>
      </c>
      <c r="Q2122" s="12">
        <v>114560</v>
      </c>
      <c r="R2122" s="12">
        <v>20048</v>
      </c>
      <c r="S2122" t="s">
        <v>1246</v>
      </c>
      <c r="T2122" t="s">
        <v>107</v>
      </c>
      <c r="U2122" t="s">
        <v>1201</v>
      </c>
    </row>
    <row r="2123" spans="1:21" x14ac:dyDescent="0.25">
      <c r="A2123" t="s">
        <v>4151</v>
      </c>
      <c r="B2123" s="8">
        <v>45755</v>
      </c>
      <c r="C2123" t="s">
        <v>1433</v>
      </c>
      <c r="D2123" t="s">
        <v>464</v>
      </c>
      <c r="E2123" t="s">
        <v>218</v>
      </c>
      <c r="F2123">
        <v>46</v>
      </c>
      <c r="G2123" t="s">
        <v>9</v>
      </c>
      <c r="H2123" t="s">
        <v>8</v>
      </c>
      <c r="I2123" t="s">
        <v>24</v>
      </c>
      <c r="J2123" t="s">
        <v>25</v>
      </c>
      <c r="K2123" t="s">
        <v>22</v>
      </c>
      <c r="L2123">
        <v>2</v>
      </c>
      <c r="M2123" s="12">
        <v>35800</v>
      </c>
      <c r="N2123" s="12">
        <v>28640</v>
      </c>
      <c r="O2123">
        <v>7</v>
      </c>
      <c r="P2123" s="12">
        <v>66588</v>
      </c>
      <c r="Q2123" s="12">
        <v>57280</v>
      </c>
      <c r="R2123" s="12">
        <v>9308</v>
      </c>
      <c r="S2123" t="s">
        <v>1246</v>
      </c>
      <c r="T2123" t="s">
        <v>109</v>
      </c>
      <c r="U2123" t="s">
        <v>1194</v>
      </c>
    </row>
    <row r="2124" spans="1:21" x14ac:dyDescent="0.25">
      <c r="A2124" t="s">
        <v>4153</v>
      </c>
      <c r="B2124" s="8">
        <v>46009</v>
      </c>
      <c r="C2124" t="s">
        <v>2190</v>
      </c>
      <c r="D2124" t="s">
        <v>1090</v>
      </c>
      <c r="E2124" t="s">
        <v>218</v>
      </c>
      <c r="F2124">
        <v>44</v>
      </c>
      <c r="G2124" t="s">
        <v>11</v>
      </c>
      <c r="H2124" t="s">
        <v>12</v>
      </c>
      <c r="I2124" t="s">
        <v>42</v>
      </c>
      <c r="J2124" t="s">
        <v>44</v>
      </c>
      <c r="K2124" t="s">
        <v>43</v>
      </c>
      <c r="L2124">
        <v>2</v>
      </c>
      <c r="M2124" s="12">
        <v>8999</v>
      </c>
      <c r="N2124" s="12">
        <v>6479.28</v>
      </c>
      <c r="O2124">
        <v>17</v>
      </c>
      <c r="P2124" s="12">
        <v>14938.34</v>
      </c>
      <c r="Q2124" s="12">
        <v>12958.56</v>
      </c>
      <c r="R2124" s="12">
        <v>1979.7800000000007</v>
      </c>
      <c r="S2124" t="s">
        <v>113</v>
      </c>
      <c r="T2124" t="s">
        <v>108</v>
      </c>
      <c r="U2124" t="s">
        <v>1203</v>
      </c>
    </row>
    <row r="2125" spans="1:21" x14ac:dyDescent="0.25">
      <c r="A2125" t="s">
        <v>4154</v>
      </c>
      <c r="B2125" s="8">
        <v>45884</v>
      </c>
      <c r="C2125" t="s">
        <v>3189</v>
      </c>
      <c r="D2125" t="s">
        <v>384</v>
      </c>
      <c r="E2125" t="s">
        <v>218</v>
      </c>
      <c r="F2125">
        <v>27</v>
      </c>
      <c r="G2125" t="s">
        <v>4</v>
      </c>
      <c r="H2125" t="s">
        <v>3</v>
      </c>
      <c r="I2125" t="s">
        <v>32</v>
      </c>
      <c r="J2125" t="s">
        <v>29</v>
      </c>
      <c r="K2125" t="s">
        <v>22</v>
      </c>
      <c r="L2125">
        <v>5</v>
      </c>
      <c r="M2125" s="12">
        <v>9500</v>
      </c>
      <c r="N2125" s="12">
        <v>6650</v>
      </c>
      <c r="O2125">
        <v>4</v>
      </c>
      <c r="P2125" s="12">
        <v>45600</v>
      </c>
      <c r="Q2125" s="12">
        <v>33250</v>
      </c>
      <c r="R2125" s="12">
        <v>12350</v>
      </c>
      <c r="S2125" t="s">
        <v>1246</v>
      </c>
      <c r="T2125" t="s">
        <v>109</v>
      </c>
      <c r="U2125" t="s">
        <v>1203</v>
      </c>
    </row>
    <row r="2126" spans="1:21" x14ac:dyDescent="0.25">
      <c r="A2126" t="s">
        <v>4155</v>
      </c>
      <c r="B2126" s="8">
        <v>45684</v>
      </c>
      <c r="C2126" t="s">
        <v>1494</v>
      </c>
      <c r="D2126" t="s">
        <v>930</v>
      </c>
      <c r="E2126" t="s">
        <v>198</v>
      </c>
      <c r="F2126">
        <v>54</v>
      </c>
      <c r="G2126" t="s">
        <v>289</v>
      </c>
      <c r="H2126" t="s">
        <v>3</v>
      </c>
      <c r="I2126" t="s">
        <v>26</v>
      </c>
      <c r="J2126" t="s">
        <v>27</v>
      </c>
      <c r="K2126" t="s">
        <v>22</v>
      </c>
      <c r="L2126">
        <v>1</v>
      </c>
      <c r="M2126" s="12">
        <v>27499</v>
      </c>
      <c r="N2126" s="12">
        <v>23374.149999999998</v>
      </c>
      <c r="O2126">
        <v>7</v>
      </c>
      <c r="P2126" s="12">
        <v>25574.07</v>
      </c>
      <c r="Q2126" s="12">
        <v>23374.149999999998</v>
      </c>
      <c r="R2126" s="12">
        <v>2199.9200000000019</v>
      </c>
      <c r="S2126" t="s">
        <v>1246</v>
      </c>
      <c r="T2126" t="s">
        <v>109</v>
      </c>
      <c r="U2126" t="s">
        <v>1207</v>
      </c>
    </row>
    <row r="2127" spans="1:21" x14ac:dyDescent="0.25">
      <c r="A2127" t="s">
        <v>4156</v>
      </c>
      <c r="B2127" s="8">
        <v>45794</v>
      </c>
      <c r="C2127" t="s">
        <v>3197</v>
      </c>
      <c r="D2127" t="s">
        <v>648</v>
      </c>
      <c r="E2127" t="s">
        <v>218</v>
      </c>
      <c r="F2127">
        <v>20</v>
      </c>
      <c r="G2127" t="s">
        <v>290</v>
      </c>
      <c r="H2127" t="s">
        <v>3</v>
      </c>
      <c r="I2127" t="s">
        <v>47</v>
      </c>
      <c r="J2127" t="s">
        <v>52</v>
      </c>
      <c r="K2127" t="s">
        <v>43</v>
      </c>
      <c r="L2127">
        <v>2</v>
      </c>
      <c r="M2127" s="12">
        <v>42999</v>
      </c>
      <c r="N2127" s="12">
        <v>33539.22</v>
      </c>
      <c r="O2127">
        <v>5</v>
      </c>
      <c r="P2127" s="12">
        <v>81698.099999999991</v>
      </c>
      <c r="Q2127" s="12">
        <v>67078.44</v>
      </c>
      <c r="R2127" s="12">
        <v>14619.659999999989</v>
      </c>
      <c r="S2127" t="s">
        <v>1246</v>
      </c>
      <c r="T2127" t="s">
        <v>109</v>
      </c>
      <c r="U2127" t="s">
        <v>1209</v>
      </c>
    </row>
    <row r="2128" spans="1:21" x14ac:dyDescent="0.25">
      <c r="A2128" t="s">
        <v>4157</v>
      </c>
      <c r="B2128" s="8">
        <v>45933</v>
      </c>
      <c r="C2128" t="s">
        <v>1703</v>
      </c>
      <c r="D2128" t="s">
        <v>1091</v>
      </c>
      <c r="E2128" t="s">
        <v>218</v>
      </c>
      <c r="F2128">
        <v>58</v>
      </c>
      <c r="G2128" t="s">
        <v>11</v>
      </c>
      <c r="H2128" t="s">
        <v>12</v>
      </c>
      <c r="I2128" t="s">
        <v>45</v>
      </c>
      <c r="J2128" t="s">
        <v>46</v>
      </c>
      <c r="K2128" t="s">
        <v>43</v>
      </c>
      <c r="L2128">
        <v>5</v>
      </c>
      <c r="M2128" s="12">
        <v>11999</v>
      </c>
      <c r="N2128" s="12">
        <v>8999.25</v>
      </c>
      <c r="O2128">
        <v>9</v>
      </c>
      <c r="P2128" s="12">
        <v>54595.450000000004</v>
      </c>
      <c r="Q2128" s="12">
        <v>44996.25</v>
      </c>
      <c r="R2128" s="12">
        <v>9599.2000000000044</v>
      </c>
      <c r="S2128" t="s">
        <v>1246</v>
      </c>
      <c r="T2128" t="s">
        <v>109</v>
      </c>
      <c r="U2128" t="s">
        <v>1198</v>
      </c>
    </row>
    <row r="2129" spans="1:21" x14ac:dyDescent="0.25">
      <c r="A2129" t="s">
        <v>4158</v>
      </c>
      <c r="B2129" s="8">
        <v>45757</v>
      </c>
      <c r="C2129" t="s">
        <v>2890</v>
      </c>
      <c r="D2129" t="s">
        <v>1095</v>
      </c>
      <c r="E2129" t="s">
        <v>198</v>
      </c>
      <c r="F2129">
        <v>52</v>
      </c>
      <c r="G2129" t="s">
        <v>7</v>
      </c>
      <c r="H2129" t="s">
        <v>8</v>
      </c>
      <c r="I2129" t="s">
        <v>34</v>
      </c>
      <c r="J2129" t="s">
        <v>137</v>
      </c>
      <c r="K2129" t="s">
        <v>22</v>
      </c>
      <c r="L2129">
        <v>4</v>
      </c>
      <c r="M2129" s="12">
        <v>6900</v>
      </c>
      <c r="N2129" s="12">
        <v>5727</v>
      </c>
      <c r="O2129">
        <v>7</v>
      </c>
      <c r="P2129" s="12">
        <v>25668</v>
      </c>
      <c r="Q2129" s="12">
        <v>22908</v>
      </c>
      <c r="R2129" s="12">
        <v>2760</v>
      </c>
      <c r="S2129" t="s">
        <v>113</v>
      </c>
      <c r="T2129" t="s">
        <v>107</v>
      </c>
      <c r="U2129" t="s">
        <v>1194</v>
      </c>
    </row>
    <row r="2130" spans="1:21" x14ac:dyDescent="0.25">
      <c r="A2130" t="s">
        <v>4159</v>
      </c>
      <c r="B2130" s="8">
        <v>45875</v>
      </c>
      <c r="C2130" t="s">
        <v>2713</v>
      </c>
      <c r="D2130" t="s">
        <v>788</v>
      </c>
      <c r="E2130" t="s">
        <v>218</v>
      </c>
      <c r="F2130">
        <v>57</v>
      </c>
      <c r="G2130" t="s">
        <v>4</v>
      </c>
      <c r="H2130" t="s">
        <v>3</v>
      </c>
      <c r="I2130" t="s">
        <v>49</v>
      </c>
      <c r="J2130" t="s">
        <v>56</v>
      </c>
      <c r="K2130" t="s">
        <v>43</v>
      </c>
      <c r="L2130">
        <v>2</v>
      </c>
      <c r="M2130" s="12">
        <v>31999</v>
      </c>
      <c r="N2130" s="12">
        <v>25599.200000000001</v>
      </c>
      <c r="O2130">
        <v>7</v>
      </c>
      <c r="P2130" s="12">
        <v>59518.14</v>
      </c>
      <c r="Q2130" s="12">
        <v>51198.400000000001</v>
      </c>
      <c r="R2130" s="12">
        <v>8319.739999999998</v>
      </c>
      <c r="S2130" t="s">
        <v>1246</v>
      </c>
      <c r="T2130" t="s">
        <v>108</v>
      </c>
      <c r="U2130" t="s">
        <v>1211</v>
      </c>
    </row>
    <row r="2131" spans="1:21" x14ac:dyDescent="0.25">
      <c r="A2131" t="s">
        <v>4160</v>
      </c>
      <c r="B2131" s="8">
        <v>45910</v>
      </c>
      <c r="C2131" t="s">
        <v>5101</v>
      </c>
      <c r="D2131" t="s">
        <v>944</v>
      </c>
      <c r="E2131" t="s">
        <v>218</v>
      </c>
      <c r="F2131">
        <v>50</v>
      </c>
      <c r="G2131" t="s">
        <v>289</v>
      </c>
      <c r="H2131" t="s">
        <v>3</v>
      </c>
      <c r="I2131" t="s">
        <v>51</v>
      </c>
      <c r="J2131" t="s">
        <v>54</v>
      </c>
      <c r="K2131" t="s">
        <v>43</v>
      </c>
      <c r="L2131">
        <v>4</v>
      </c>
      <c r="M2131" s="12">
        <v>27499</v>
      </c>
      <c r="N2131" s="12">
        <v>21724.210000000003</v>
      </c>
      <c r="O2131">
        <v>7</v>
      </c>
      <c r="P2131" s="12">
        <v>102296.28</v>
      </c>
      <c r="Q2131" s="12">
        <v>86896.840000000011</v>
      </c>
      <c r="R2131" s="12">
        <v>15399.439999999988</v>
      </c>
      <c r="S2131" t="s">
        <v>1246</v>
      </c>
      <c r="T2131" t="s">
        <v>107</v>
      </c>
      <c r="U2131" t="s">
        <v>1201</v>
      </c>
    </row>
    <row r="2132" spans="1:21" x14ac:dyDescent="0.25">
      <c r="A2132" t="s">
        <v>4161</v>
      </c>
      <c r="B2132" s="8">
        <v>45830</v>
      </c>
      <c r="C2132" t="s">
        <v>2232</v>
      </c>
      <c r="D2132" t="s">
        <v>794</v>
      </c>
      <c r="E2132" t="s">
        <v>218</v>
      </c>
      <c r="F2132">
        <v>27</v>
      </c>
      <c r="G2132" t="s">
        <v>4</v>
      </c>
      <c r="H2132" t="s">
        <v>3</v>
      </c>
      <c r="I2132" t="s">
        <v>34</v>
      </c>
      <c r="J2132" t="s">
        <v>137</v>
      </c>
      <c r="K2132" t="s">
        <v>22</v>
      </c>
      <c r="L2132">
        <v>2</v>
      </c>
      <c r="M2132" s="12">
        <v>6900</v>
      </c>
      <c r="N2132" s="12">
        <v>5727</v>
      </c>
      <c r="O2132">
        <v>10</v>
      </c>
      <c r="P2132" s="12">
        <v>12420</v>
      </c>
      <c r="Q2132" s="12">
        <v>11454</v>
      </c>
      <c r="R2132" s="12">
        <v>966</v>
      </c>
      <c r="S2132" t="s">
        <v>1246</v>
      </c>
      <c r="T2132" t="s">
        <v>107</v>
      </c>
      <c r="U2132" t="s">
        <v>1207</v>
      </c>
    </row>
    <row r="2133" spans="1:21" x14ac:dyDescent="0.25">
      <c r="A2133" t="s">
        <v>4162</v>
      </c>
      <c r="B2133" s="8">
        <v>45790</v>
      </c>
      <c r="C2133" t="s">
        <v>1565</v>
      </c>
      <c r="D2133" t="s">
        <v>860</v>
      </c>
      <c r="E2133" t="s">
        <v>218</v>
      </c>
      <c r="F2133">
        <v>57</v>
      </c>
      <c r="G2133" t="s">
        <v>9</v>
      </c>
      <c r="H2133" t="s">
        <v>8</v>
      </c>
      <c r="I2133" t="s">
        <v>26</v>
      </c>
      <c r="J2133" t="s">
        <v>27</v>
      </c>
      <c r="K2133" t="s">
        <v>22</v>
      </c>
      <c r="L2133">
        <v>1</v>
      </c>
      <c r="M2133" s="12">
        <v>27499</v>
      </c>
      <c r="N2133" s="12">
        <v>23374.149999999998</v>
      </c>
      <c r="O2133">
        <v>10</v>
      </c>
      <c r="P2133" s="12">
        <v>24749.100000000002</v>
      </c>
      <c r="Q2133" s="12">
        <v>23374.149999999998</v>
      </c>
      <c r="R2133" s="12">
        <v>1374.9500000000044</v>
      </c>
      <c r="S2133" t="s">
        <v>1246</v>
      </c>
      <c r="T2133" t="s">
        <v>107</v>
      </c>
      <c r="U2133" t="s">
        <v>1211</v>
      </c>
    </row>
    <row r="2134" spans="1:21" x14ac:dyDescent="0.25">
      <c r="A2134" t="s">
        <v>4163</v>
      </c>
      <c r="B2134" s="8">
        <v>45840</v>
      </c>
      <c r="C2134" t="s">
        <v>1506</v>
      </c>
      <c r="D2134" t="s">
        <v>1072</v>
      </c>
      <c r="E2134" t="s">
        <v>198</v>
      </c>
      <c r="F2134">
        <v>48</v>
      </c>
      <c r="G2134" t="s">
        <v>5</v>
      </c>
      <c r="H2134" t="s">
        <v>3</v>
      </c>
      <c r="I2134" t="s">
        <v>53</v>
      </c>
      <c r="J2134" t="s">
        <v>48</v>
      </c>
      <c r="K2134" t="s">
        <v>43</v>
      </c>
      <c r="L2134">
        <v>1</v>
      </c>
      <c r="M2134" s="12">
        <v>6499</v>
      </c>
      <c r="N2134" s="12">
        <v>4549.2999999999993</v>
      </c>
      <c r="O2134">
        <v>10</v>
      </c>
      <c r="P2134" s="12">
        <v>5849.1</v>
      </c>
      <c r="Q2134" s="12">
        <v>4549.2999999999993</v>
      </c>
      <c r="R2134" s="12">
        <v>1299.8000000000011</v>
      </c>
      <c r="S2134" t="s">
        <v>1246</v>
      </c>
      <c r="T2134" t="s">
        <v>107</v>
      </c>
      <c r="U2134" t="s">
        <v>1209</v>
      </c>
    </row>
    <row r="2135" spans="1:21" x14ac:dyDescent="0.25">
      <c r="A2135" t="s">
        <v>4164</v>
      </c>
      <c r="B2135" s="8">
        <v>45708</v>
      </c>
      <c r="C2135" t="s">
        <v>1423</v>
      </c>
      <c r="D2135" t="s">
        <v>917</v>
      </c>
      <c r="E2135" t="s">
        <v>198</v>
      </c>
      <c r="F2135">
        <v>64</v>
      </c>
      <c r="G2135" t="s">
        <v>16</v>
      </c>
      <c r="H2135" t="s">
        <v>15</v>
      </c>
      <c r="I2135" t="s">
        <v>51</v>
      </c>
      <c r="J2135" t="s">
        <v>54</v>
      </c>
      <c r="K2135" t="s">
        <v>43</v>
      </c>
      <c r="L2135">
        <v>3</v>
      </c>
      <c r="M2135" s="12">
        <v>27499</v>
      </c>
      <c r="N2135" s="12">
        <v>21724.210000000003</v>
      </c>
      <c r="O2135">
        <v>5</v>
      </c>
      <c r="P2135" s="12">
        <v>78372.149999999994</v>
      </c>
      <c r="Q2135" s="12">
        <v>65172.630000000005</v>
      </c>
      <c r="R2135" s="12">
        <v>13199.51999999999</v>
      </c>
      <c r="S2135" t="s">
        <v>113</v>
      </c>
      <c r="T2135" t="s">
        <v>109</v>
      </c>
      <c r="U2135" t="s">
        <v>1211</v>
      </c>
    </row>
    <row r="2136" spans="1:21" x14ac:dyDescent="0.25">
      <c r="A2136" t="s">
        <v>4165</v>
      </c>
      <c r="B2136" s="8">
        <v>45744</v>
      </c>
      <c r="C2136" t="s">
        <v>2216</v>
      </c>
      <c r="D2136" t="s">
        <v>876</v>
      </c>
      <c r="E2136" t="s">
        <v>198</v>
      </c>
      <c r="F2136">
        <v>61</v>
      </c>
      <c r="G2136" t="s">
        <v>2</v>
      </c>
      <c r="H2136" t="s">
        <v>3</v>
      </c>
      <c r="I2136" t="s">
        <v>51</v>
      </c>
      <c r="J2136" t="s">
        <v>54</v>
      </c>
      <c r="K2136" t="s">
        <v>43</v>
      </c>
      <c r="L2136">
        <v>5</v>
      </c>
      <c r="M2136" s="12">
        <v>27499</v>
      </c>
      <c r="N2136" s="12">
        <v>21724.210000000003</v>
      </c>
      <c r="O2136">
        <v>9</v>
      </c>
      <c r="P2136" s="12">
        <v>125120.45</v>
      </c>
      <c r="Q2136" s="12">
        <v>108621.05000000002</v>
      </c>
      <c r="R2136" s="12">
        <v>16499.39999999998</v>
      </c>
      <c r="S2136" t="s">
        <v>113</v>
      </c>
      <c r="T2136" t="s">
        <v>107</v>
      </c>
      <c r="U2136" t="s">
        <v>1203</v>
      </c>
    </row>
    <row r="2137" spans="1:21" x14ac:dyDescent="0.25">
      <c r="A2137" t="s">
        <v>4166</v>
      </c>
      <c r="B2137" s="8">
        <v>45774</v>
      </c>
      <c r="C2137" t="s">
        <v>1528</v>
      </c>
      <c r="D2137" t="s">
        <v>954</v>
      </c>
      <c r="E2137" t="s">
        <v>218</v>
      </c>
      <c r="F2137">
        <v>26</v>
      </c>
      <c r="G2137" t="s">
        <v>4</v>
      </c>
      <c r="H2137" t="s">
        <v>3</v>
      </c>
      <c r="I2137" t="s">
        <v>63</v>
      </c>
      <c r="J2137" t="s">
        <v>77</v>
      </c>
      <c r="K2137" t="s">
        <v>64</v>
      </c>
      <c r="L2137">
        <v>2</v>
      </c>
      <c r="M2137" s="12">
        <v>650</v>
      </c>
      <c r="N2137" s="12">
        <v>468</v>
      </c>
      <c r="O2137">
        <v>1</v>
      </c>
      <c r="P2137" s="12">
        <v>1287</v>
      </c>
      <c r="Q2137" s="12">
        <v>936</v>
      </c>
      <c r="R2137" s="12">
        <v>351</v>
      </c>
      <c r="S2137" t="s">
        <v>1246</v>
      </c>
      <c r="T2137" t="s">
        <v>107</v>
      </c>
      <c r="U2137" t="s">
        <v>1196</v>
      </c>
    </row>
    <row r="2138" spans="1:21" x14ac:dyDescent="0.25">
      <c r="A2138" t="s">
        <v>4167</v>
      </c>
      <c r="B2138" s="8">
        <v>45787</v>
      </c>
      <c r="C2138" t="s">
        <v>1257</v>
      </c>
      <c r="D2138" t="s">
        <v>998</v>
      </c>
      <c r="E2138" t="s">
        <v>198</v>
      </c>
      <c r="F2138">
        <v>50</v>
      </c>
      <c r="G2138" t="s">
        <v>17</v>
      </c>
      <c r="H2138" t="s">
        <v>15</v>
      </c>
      <c r="I2138" t="s">
        <v>57</v>
      </c>
      <c r="J2138" t="s">
        <v>67</v>
      </c>
      <c r="K2138" t="s">
        <v>64</v>
      </c>
      <c r="L2138">
        <v>3</v>
      </c>
      <c r="M2138" s="12">
        <v>150</v>
      </c>
      <c r="N2138" s="12">
        <v>97.5</v>
      </c>
      <c r="O2138">
        <v>10</v>
      </c>
      <c r="P2138" s="12">
        <v>405</v>
      </c>
      <c r="Q2138" s="12">
        <v>292.5</v>
      </c>
      <c r="R2138" s="12">
        <v>112.5</v>
      </c>
      <c r="S2138" t="s">
        <v>113</v>
      </c>
      <c r="T2138" t="s">
        <v>107</v>
      </c>
      <c r="U2138" t="s">
        <v>1205</v>
      </c>
    </row>
    <row r="2139" spans="1:21" x14ac:dyDescent="0.25">
      <c r="A2139" t="s">
        <v>4169</v>
      </c>
      <c r="B2139" s="8">
        <v>45983</v>
      </c>
      <c r="C2139" t="s">
        <v>1522</v>
      </c>
      <c r="D2139" t="s">
        <v>964</v>
      </c>
      <c r="E2139" t="s">
        <v>198</v>
      </c>
      <c r="F2139">
        <v>40</v>
      </c>
      <c r="G2139" t="s">
        <v>11</v>
      </c>
      <c r="H2139" t="s">
        <v>12</v>
      </c>
      <c r="I2139" t="s">
        <v>36</v>
      </c>
      <c r="J2139" t="s">
        <v>136</v>
      </c>
      <c r="K2139" t="s">
        <v>22</v>
      </c>
      <c r="L2139">
        <v>3</v>
      </c>
      <c r="M2139" s="12">
        <v>3590</v>
      </c>
      <c r="N2139" s="12">
        <v>2333.5</v>
      </c>
      <c r="O2139">
        <v>12</v>
      </c>
      <c r="P2139" s="12">
        <v>9477.6</v>
      </c>
      <c r="Q2139" s="12">
        <v>7000.5</v>
      </c>
      <c r="R2139" s="12">
        <v>2477.1000000000004</v>
      </c>
      <c r="S2139" t="s">
        <v>113</v>
      </c>
      <c r="T2139" t="s">
        <v>110</v>
      </c>
      <c r="U2139" t="s">
        <v>1207</v>
      </c>
    </row>
    <row r="2140" spans="1:21" x14ac:dyDescent="0.25">
      <c r="A2140" t="s">
        <v>4170</v>
      </c>
      <c r="B2140" s="8">
        <v>45935</v>
      </c>
      <c r="C2140" t="s">
        <v>2088</v>
      </c>
      <c r="D2140" t="s">
        <v>595</v>
      </c>
      <c r="E2140" t="s">
        <v>218</v>
      </c>
      <c r="F2140">
        <v>28</v>
      </c>
      <c r="G2140" t="s">
        <v>14</v>
      </c>
      <c r="H2140" t="s">
        <v>15</v>
      </c>
      <c r="I2140" t="s">
        <v>38</v>
      </c>
      <c r="J2140" t="s">
        <v>37</v>
      </c>
      <c r="K2140" t="s">
        <v>22</v>
      </c>
      <c r="L2140">
        <v>4</v>
      </c>
      <c r="M2140" s="12">
        <v>1650</v>
      </c>
      <c r="N2140" s="12">
        <v>990</v>
      </c>
      <c r="O2140">
        <v>5</v>
      </c>
      <c r="P2140" s="12">
        <v>6270</v>
      </c>
      <c r="Q2140" s="12">
        <v>3960</v>
      </c>
      <c r="R2140" s="12">
        <v>2310</v>
      </c>
      <c r="S2140" t="s">
        <v>1246</v>
      </c>
      <c r="T2140" t="s">
        <v>110</v>
      </c>
      <c r="U2140" t="s">
        <v>1211</v>
      </c>
    </row>
    <row r="2141" spans="1:21" x14ac:dyDescent="0.25">
      <c r="A2141" t="s">
        <v>4171</v>
      </c>
      <c r="B2141" s="8">
        <v>45986</v>
      </c>
      <c r="C2141" t="s">
        <v>1481</v>
      </c>
      <c r="D2141" t="s">
        <v>886</v>
      </c>
      <c r="E2141" t="s">
        <v>198</v>
      </c>
      <c r="F2141">
        <v>54</v>
      </c>
      <c r="G2141" t="s">
        <v>7</v>
      </c>
      <c r="H2141" t="s">
        <v>8</v>
      </c>
      <c r="I2141" t="s">
        <v>34</v>
      </c>
      <c r="J2141" t="s">
        <v>137</v>
      </c>
      <c r="K2141" t="s">
        <v>22</v>
      </c>
      <c r="L2141">
        <v>4</v>
      </c>
      <c r="M2141" s="12">
        <v>6900</v>
      </c>
      <c r="N2141" s="12">
        <v>5727</v>
      </c>
      <c r="O2141">
        <v>12</v>
      </c>
      <c r="P2141" s="12">
        <v>24288</v>
      </c>
      <c r="Q2141" s="12">
        <v>22908</v>
      </c>
      <c r="R2141" s="12">
        <v>1380</v>
      </c>
      <c r="S2141" t="s">
        <v>1246</v>
      </c>
      <c r="T2141" t="s">
        <v>108</v>
      </c>
      <c r="U2141" t="s">
        <v>1199</v>
      </c>
    </row>
    <row r="2142" spans="1:21" x14ac:dyDescent="0.25">
      <c r="A2142" t="s">
        <v>4172</v>
      </c>
      <c r="B2142" s="8">
        <v>45953</v>
      </c>
      <c r="C2142" t="s">
        <v>1601</v>
      </c>
      <c r="D2142" t="s">
        <v>733</v>
      </c>
      <c r="E2142" t="s">
        <v>218</v>
      </c>
      <c r="F2142">
        <v>18</v>
      </c>
      <c r="G2142" t="s">
        <v>290</v>
      </c>
      <c r="H2142" t="s">
        <v>3</v>
      </c>
      <c r="I2142" t="s">
        <v>32</v>
      </c>
      <c r="J2142" t="s">
        <v>29</v>
      </c>
      <c r="K2142" t="s">
        <v>22</v>
      </c>
      <c r="L2142">
        <v>3</v>
      </c>
      <c r="M2142" s="12">
        <v>9500</v>
      </c>
      <c r="N2142" s="12">
        <v>6650</v>
      </c>
      <c r="O2142">
        <v>7</v>
      </c>
      <c r="P2142" s="12">
        <v>26505</v>
      </c>
      <c r="Q2142" s="12">
        <v>19950</v>
      </c>
      <c r="R2142" s="12">
        <v>6555</v>
      </c>
      <c r="S2142" t="s">
        <v>1246</v>
      </c>
      <c r="T2142" t="s">
        <v>108</v>
      </c>
      <c r="U2142" t="s">
        <v>1198</v>
      </c>
    </row>
    <row r="2143" spans="1:21" x14ac:dyDescent="0.25">
      <c r="A2143" t="s">
        <v>4173</v>
      </c>
      <c r="B2143" s="8">
        <v>45814</v>
      </c>
      <c r="C2143" t="s">
        <v>3634</v>
      </c>
      <c r="D2143" t="s">
        <v>1052</v>
      </c>
      <c r="E2143" t="s">
        <v>198</v>
      </c>
      <c r="F2143">
        <v>64</v>
      </c>
      <c r="G2143" t="s">
        <v>7</v>
      </c>
      <c r="H2143" t="s">
        <v>8</v>
      </c>
      <c r="I2143" t="s">
        <v>21</v>
      </c>
      <c r="J2143" t="s">
        <v>23</v>
      </c>
      <c r="K2143" t="s">
        <v>22</v>
      </c>
      <c r="L2143">
        <v>2</v>
      </c>
      <c r="M2143" s="12">
        <v>54999</v>
      </c>
      <c r="N2143" s="12">
        <v>45099.18</v>
      </c>
      <c r="O2143">
        <v>5</v>
      </c>
      <c r="P2143" s="12">
        <v>104498.09999999999</v>
      </c>
      <c r="Q2143" s="12">
        <v>90198.36</v>
      </c>
      <c r="R2143" s="12">
        <v>14299.739999999991</v>
      </c>
      <c r="S2143" t="s">
        <v>1246</v>
      </c>
      <c r="T2143" t="s">
        <v>107</v>
      </c>
      <c r="U2143" t="s">
        <v>1203</v>
      </c>
    </row>
    <row r="2144" spans="1:21" x14ac:dyDescent="0.25">
      <c r="A2144" t="s">
        <v>4174</v>
      </c>
      <c r="B2144" s="8">
        <v>45905</v>
      </c>
      <c r="C2144" t="s">
        <v>1541</v>
      </c>
      <c r="D2144" t="s">
        <v>994</v>
      </c>
      <c r="E2144" t="s">
        <v>218</v>
      </c>
      <c r="F2144">
        <v>23</v>
      </c>
      <c r="G2144" t="s">
        <v>7</v>
      </c>
      <c r="H2144" t="s">
        <v>8</v>
      </c>
      <c r="I2144" t="s">
        <v>49</v>
      </c>
      <c r="J2144" t="s">
        <v>56</v>
      </c>
      <c r="K2144" t="s">
        <v>43</v>
      </c>
      <c r="L2144">
        <v>3</v>
      </c>
      <c r="M2144" s="12">
        <v>31999</v>
      </c>
      <c r="N2144" s="12">
        <v>25599.200000000001</v>
      </c>
      <c r="O2144">
        <v>6</v>
      </c>
      <c r="P2144" s="12">
        <v>90237.18</v>
      </c>
      <c r="Q2144" s="12">
        <v>76797.600000000006</v>
      </c>
      <c r="R2144" s="12">
        <v>13439.579999999987</v>
      </c>
      <c r="S2144" t="s">
        <v>1246</v>
      </c>
      <c r="T2144" t="s">
        <v>109</v>
      </c>
      <c r="U2144" t="s">
        <v>1201</v>
      </c>
    </row>
    <row r="2145" spans="1:21" x14ac:dyDescent="0.25">
      <c r="A2145" t="s">
        <v>4175</v>
      </c>
      <c r="B2145" s="8">
        <v>45988</v>
      </c>
      <c r="C2145" t="s">
        <v>1635</v>
      </c>
      <c r="D2145" t="s">
        <v>962</v>
      </c>
      <c r="E2145" t="s">
        <v>218</v>
      </c>
      <c r="F2145">
        <v>51</v>
      </c>
      <c r="G2145" t="s">
        <v>17</v>
      </c>
      <c r="H2145" t="s">
        <v>15</v>
      </c>
      <c r="I2145" t="s">
        <v>28</v>
      </c>
      <c r="J2145" t="s">
        <v>35</v>
      </c>
      <c r="K2145" t="s">
        <v>22</v>
      </c>
      <c r="L2145">
        <v>4</v>
      </c>
      <c r="M2145" s="12">
        <v>16499</v>
      </c>
      <c r="N2145" s="12">
        <v>14519.12</v>
      </c>
      <c r="O2145">
        <v>11</v>
      </c>
      <c r="P2145" s="12">
        <v>58736.44</v>
      </c>
      <c r="Q2145" s="12">
        <v>58076.480000000003</v>
      </c>
      <c r="R2145" s="12">
        <v>659.95999999999913</v>
      </c>
      <c r="S2145" t="s">
        <v>113</v>
      </c>
      <c r="T2145" t="s">
        <v>108</v>
      </c>
      <c r="U2145" t="s">
        <v>1207</v>
      </c>
    </row>
    <row r="2146" spans="1:21" x14ac:dyDescent="0.25">
      <c r="A2146" t="s">
        <v>4176</v>
      </c>
      <c r="B2146" s="8">
        <v>45751</v>
      </c>
      <c r="C2146" t="s">
        <v>2807</v>
      </c>
      <c r="D2146" t="s">
        <v>475</v>
      </c>
      <c r="E2146" t="s">
        <v>218</v>
      </c>
      <c r="F2146">
        <v>55</v>
      </c>
      <c r="G2146" t="s">
        <v>4</v>
      </c>
      <c r="H2146" t="s">
        <v>3</v>
      </c>
      <c r="I2146" t="s">
        <v>40</v>
      </c>
      <c r="J2146" t="s">
        <v>39</v>
      </c>
      <c r="K2146" t="s">
        <v>22</v>
      </c>
      <c r="L2146">
        <v>5</v>
      </c>
      <c r="M2146" s="12">
        <v>1100</v>
      </c>
      <c r="N2146" s="12">
        <v>715</v>
      </c>
      <c r="O2146">
        <v>5</v>
      </c>
      <c r="P2146" s="12">
        <v>5225</v>
      </c>
      <c r="Q2146" s="12">
        <v>3575</v>
      </c>
      <c r="R2146" s="12">
        <v>1650</v>
      </c>
      <c r="S2146" t="s">
        <v>1246</v>
      </c>
      <c r="T2146" t="s">
        <v>107</v>
      </c>
      <c r="U2146" t="s">
        <v>1201</v>
      </c>
    </row>
    <row r="2147" spans="1:21" x14ac:dyDescent="0.25">
      <c r="A2147" t="s">
        <v>4177</v>
      </c>
      <c r="B2147" s="8">
        <v>45948</v>
      </c>
      <c r="C2147" t="s">
        <v>3177</v>
      </c>
      <c r="D2147" t="s">
        <v>564</v>
      </c>
      <c r="E2147" t="s">
        <v>198</v>
      </c>
      <c r="F2147">
        <v>22</v>
      </c>
      <c r="G2147" t="s">
        <v>289</v>
      </c>
      <c r="H2147" t="s">
        <v>3</v>
      </c>
      <c r="I2147" t="s">
        <v>30</v>
      </c>
      <c r="J2147" t="s">
        <v>41</v>
      </c>
      <c r="K2147" t="s">
        <v>22</v>
      </c>
      <c r="L2147">
        <v>2</v>
      </c>
      <c r="M2147" s="12">
        <v>13749</v>
      </c>
      <c r="N2147" s="12">
        <v>10999.2</v>
      </c>
      <c r="O2147">
        <v>6</v>
      </c>
      <c r="P2147" s="12">
        <v>25848.12</v>
      </c>
      <c r="Q2147" s="12">
        <v>21998.400000000001</v>
      </c>
      <c r="R2147" s="12">
        <v>3849.7199999999975</v>
      </c>
      <c r="S2147" t="s">
        <v>1246</v>
      </c>
      <c r="T2147" t="s">
        <v>108</v>
      </c>
      <c r="U2147" t="s">
        <v>1198</v>
      </c>
    </row>
    <row r="2148" spans="1:21" x14ac:dyDescent="0.25">
      <c r="A2148" t="s">
        <v>4178</v>
      </c>
      <c r="B2148" s="8">
        <v>45923</v>
      </c>
      <c r="C2148" t="s">
        <v>2188</v>
      </c>
      <c r="D2148" t="s">
        <v>961</v>
      </c>
      <c r="E2148" t="s">
        <v>198</v>
      </c>
      <c r="F2148">
        <v>60</v>
      </c>
      <c r="G2148" t="s">
        <v>2</v>
      </c>
      <c r="H2148" t="s">
        <v>3</v>
      </c>
      <c r="I2148" t="s">
        <v>21</v>
      </c>
      <c r="J2148" t="s">
        <v>23</v>
      </c>
      <c r="K2148" t="s">
        <v>22</v>
      </c>
      <c r="L2148">
        <v>5</v>
      </c>
      <c r="M2148" s="12">
        <v>54999</v>
      </c>
      <c r="N2148" s="12">
        <v>45099.18</v>
      </c>
      <c r="O2148">
        <v>8</v>
      </c>
      <c r="P2148" s="12">
        <v>252995.40000000002</v>
      </c>
      <c r="Q2148" s="12">
        <v>225495.9</v>
      </c>
      <c r="R2148" s="12">
        <v>27499.500000000029</v>
      </c>
      <c r="S2148" t="s">
        <v>113</v>
      </c>
      <c r="T2148" t="s">
        <v>108</v>
      </c>
      <c r="U2148" t="s">
        <v>1198</v>
      </c>
    </row>
    <row r="2149" spans="1:21" x14ac:dyDescent="0.25">
      <c r="A2149" t="s">
        <v>4179</v>
      </c>
      <c r="B2149" s="8">
        <v>45834</v>
      </c>
      <c r="C2149" t="s">
        <v>1320</v>
      </c>
      <c r="D2149" t="s">
        <v>817</v>
      </c>
      <c r="E2149" t="s">
        <v>218</v>
      </c>
      <c r="F2149">
        <v>51</v>
      </c>
      <c r="G2149" t="s">
        <v>10</v>
      </c>
      <c r="H2149" t="s">
        <v>8</v>
      </c>
      <c r="I2149" t="s">
        <v>21</v>
      </c>
      <c r="J2149" t="s">
        <v>23</v>
      </c>
      <c r="K2149" t="s">
        <v>22</v>
      </c>
      <c r="L2149">
        <v>1</v>
      </c>
      <c r="M2149" s="12">
        <v>54999</v>
      </c>
      <c r="N2149" s="12">
        <v>45099.18</v>
      </c>
      <c r="O2149">
        <v>6</v>
      </c>
      <c r="P2149" s="12">
        <v>51699.06</v>
      </c>
      <c r="Q2149" s="12">
        <v>45099.18</v>
      </c>
      <c r="R2149" s="12">
        <v>6599.8799999999974</v>
      </c>
      <c r="S2149" t="s">
        <v>1246</v>
      </c>
      <c r="T2149" t="s">
        <v>107</v>
      </c>
      <c r="U2149" t="s">
        <v>1207</v>
      </c>
    </row>
    <row r="2150" spans="1:21" x14ac:dyDescent="0.25">
      <c r="A2150" t="s">
        <v>4180</v>
      </c>
      <c r="B2150" s="8">
        <v>45694</v>
      </c>
      <c r="C2150" t="s">
        <v>2135</v>
      </c>
      <c r="D2150" t="s">
        <v>434</v>
      </c>
      <c r="E2150" t="s">
        <v>198</v>
      </c>
      <c r="F2150">
        <v>44</v>
      </c>
      <c r="G2150" t="s">
        <v>10</v>
      </c>
      <c r="H2150" t="s">
        <v>8</v>
      </c>
      <c r="I2150" t="s">
        <v>51</v>
      </c>
      <c r="J2150" t="s">
        <v>54</v>
      </c>
      <c r="K2150" t="s">
        <v>43</v>
      </c>
      <c r="L2150">
        <v>2</v>
      </c>
      <c r="M2150" s="12">
        <v>27499</v>
      </c>
      <c r="N2150" s="12">
        <v>21724.210000000003</v>
      </c>
      <c r="O2150">
        <v>6</v>
      </c>
      <c r="P2150" s="12">
        <v>51698.119999999995</v>
      </c>
      <c r="Q2150" s="12">
        <v>43448.420000000006</v>
      </c>
      <c r="R2150" s="12">
        <v>8249.6999999999898</v>
      </c>
      <c r="S2150" t="s">
        <v>1246</v>
      </c>
      <c r="T2150" t="s">
        <v>108</v>
      </c>
      <c r="U2150" t="s">
        <v>1203</v>
      </c>
    </row>
    <row r="2151" spans="1:21" x14ac:dyDescent="0.25">
      <c r="A2151" t="s">
        <v>4181</v>
      </c>
      <c r="B2151" s="8">
        <v>45849</v>
      </c>
      <c r="C2151" t="s">
        <v>3211</v>
      </c>
      <c r="D2151" t="s">
        <v>1032</v>
      </c>
      <c r="E2151" t="s">
        <v>198</v>
      </c>
      <c r="F2151">
        <v>51</v>
      </c>
      <c r="G2151" t="s">
        <v>10</v>
      </c>
      <c r="H2151" t="s">
        <v>8</v>
      </c>
      <c r="I2151" t="s">
        <v>42</v>
      </c>
      <c r="J2151" t="s">
        <v>44</v>
      </c>
      <c r="K2151" t="s">
        <v>43</v>
      </c>
      <c r="L2151">
        <v>2</v>
      </c>
      <c r="M2151" s="12">
        <v>8999</v>
      </c>
      <c r="N2151" s="12">
        <v>6479.28</v>
      </c>
      <c r="O2151">
        <v>10</v>
      </c>
      <c r="P2151" s="12">
        <v>16198.2</v>
      </c>
      <c r="Q2151" s="12">
        <v>12958.56</v>
      </c>
      <c r="R2151" s="12">
        <v>3239.6400000000012</v>
      </c>
      <c r="S2151" t="s">
        <v>1246</v>
      </c>
      <c r="T2151" t="s">
        <v>108</v>
      </c>
      <c r="U2151" t="s">
        <v>1207</v>
      </c>
    </row>
    <row r="2152" spans="1:21" x14ac:dyDescent="0.25">
      <c r="A2152" t="s">
        <v>4182</v>
      </c>
      <c r="B2152" s="8">
        <v>45924</v>
      </c>
      <c r="C2152" t="s">
        <v>1870</v>
      </c>
      <c r="D2152" t="s">
        <v>831</v>
      </c>
      <c r="E2152" t="s">
        <v>198</v>
      </c>
      <c r="F2152">
        <v>57</v>
      </c>
      <c r="G2152" t="s">
        <v>11</v>
      </c>
      <c r="H2152" t="s">
        <v>12</v>
      </c>
      <c r="I2152" t="s">
        <v>42</v>
      </c>
      <c r="J2152" t="s">
        <v>44</v>
      </c>
      <c r="K2152" t="s">
        <v>43</v>
      </c>
      <c r="L2152">
        <v>3</v>
      </c>
      <c r="M2152" s="12">
        <v>8999</v>
      </c>
      <c r="N2152" s="12">
        <v>6479.28</v>
      </c>
      <c r="O2152">
        <v>10</v>
      </c>
      <c r="P2152" s="12">
        <v>24297.3</v>
      </c>
      <c r="Q2152" s="12">
        <v>19437.84</v>
      </c>
      <c r="R2152" s="12">
        <v>4859.4599999999991</v>
      </c>
      <c r="S2152" t="s">
        <v>1246</v>
      </c>
      <c r="T2152" t="s">
        <v>109</v>
      </c>
      <c r="U2152" t="s">
        <v>1198</v>
      </c>
    </row>
    <row r="2153" spans="1:21" x14ac:dyDescent="0.25">
      <c r="A2153" t="s">
        <v>4183</v>
      </c>
      <c r="B2153" s="8">
        <v>46003</v>
      </c>
      <c r="C2153" t="s">
        <v>4630</v>
      </c>
      <c r="D2153" t="s">
        <v>603</v>
      </c>
      <c r="E2153" t="s">
        <v>198</v>
      </c>
      <c r="F2153">
        <v>22</v>
      </c>
      <c r="G2153" t="s">
        <v>17</v>
      </c>
      <c r="H2153" t="s">
        <v>15</v>
      </c>
      <c r="I2153" t="s">
        <v>24</v>
      </c>
      <c r="J2153" t="s">
        <v>25</v>
      </c>
      <c r="K2153" t="s">
        <v>22</v>
      </c>
      <c r="L2153">
        <v>5</v>
      </c>
      <c r="M2153" s="12">
        <v>35800</v>
      </c>
      <c r="N2153" s="12">
        <v>28640</v>
      </c>
      <c r="O2153">
        <v>11</v>
      </c>
      <c r="P2153" s="12">
        <v>159310</v>
      </c>
      <c r="Q2153" s="12">
        <v>143200</v>
      </c>
      <c r="R2153" s="12">
        <v>16110</v>
      </c>
      <c r="S2153" t="s">
        <v>113</v>
      </c>
      <c r="T2153" t="s">
        <v>109</v>
      </c>
      <c r="U2153" t="s">
        <v>1196</v>
      </c>
    </row>
    <row r="2154" spans="1:21" x14ac:dyDescent="0.25">
      <c r="A2154" t="s">
        <v>4184</v>
      </c>
      <c r="B2154" s="8">
        <v>45727</v>
      </c>
      <c r="C2154" t="s">
        <v>2667</v>
      </c>
      <c r="D2154" t="s">
        <v>751</v>
      </c>
      <c r="E2154" t="s">
        <v>198</v>
      </c>
      <c r="F2154">
        <v>62</v>
      </c>
      <c r="G2154" t="s">
        <v>290</v>
      </c>
      <c r="H2154" t="s">
        <v>3</v>
      </c>
      <c r="I2154" t="s">
        <v>24</v>
      </c>
      <c r="J2154" t="s">
        <v>25</v>
      </c>
      <c r="K2154" t="s">
        <v>22</v>
      </c>
      <c r="L2154">
        <v>4</v>
      </c>
      <c r="M2154" s="12">
        <v>35800</v>
      </c>
      <c r="N2154" s="12">
        <v>28640</v>
      </c>
      <c r="O2154">
        <v>7</v>
      </c>
      <c r="P2154" s="12">
        <v>133176</v>
      </c>
      <c r="Q2154" s="12">
        <v>114560</v>
      </c>
      <c r="R2154" s="12">
        <v>18616</v>
      </c>
      <c r="S2154" t="s">
        <v>1246</v>
      </c>
      <c r="T2154" t="s">
        <v>107</v>
      </c>
      <c r="U2154" t="s">
        <v>1209</v>
      </c>
    </row>
    <row r="2155" spans="1:21" x14ac:dyDescent="0.25">
      <c r="A2155" t="s">
        <v>4185</v>
      </c>
      <c r="B2155" s="8">
        <v>45767</v>
      </c>
      <c r="C2155" t="s">
        <v>2983</v>
      </c>
      <c r="D2155" t="s">
        <v>577</v>
      </c>
      <c r="E2155" t="s">
        <v>198</v>
      </c>
      <c r="F2155">
        <v>22</v>
      </c>
      <c r="G2155" t="s">
        <v>17</v>
      </c>
      <c r="H2155" t="s">
        <v>15</v>
      </c>
      <c r="I2155" t="s">
        <v>63</v>
      </c>
      <c r="J2155" t="s">
        <v>77</v>
      </c>
      <c r="K2155" t="s">
        <v>64</v>
      </c>
      <c r="L2155">
        <v>2</v>
      </c>
      <c r="M2155" s="12">
        <v>650</v>
      </c>
      <c r="N2155" s="12">
        <v>468</v>
      </c>
      <c r="O2155">
        <v>5</v>
      </c>
      <c r="P2155" s="12">
        <v>1235</v>
      </c>
      <c r="Q2155" s="12">
        <v>936</v>
      </c>
      <c r="R2155" s="12">
        <v>299</v>
      </c>
      <c r="S2155" t="s">
        <v>1246</v>
      </c>
      <c r="T2155" t="s">
        <v>109</v>
      </c>
      <c r="U2155" t="s">
        <v>1196</v>
      </c>
    </row>
    <row r="2156" spans="1:21" x14ac:dyDescent="0.25">
      <c r="A2156" t="s">
        <v>4186</v>
      </c>
      <c r="B2156" s="8">
        <v>45673</v>
      </c>
      <c r="C2156" t="s">
        <v>2025</v>
      </c>
      <c r="D2156" t="s">
        <v>963</v>
      </c>
      <c r="E2156" t="s">
        <v>198</v>
      </c>
      <c r="F2156">
        <v>46</v>
      </c>
      <c r="G2156" t="s">
        <v>9</v>
      </c>
      <c r="H2156" t="s">
        <v>8</v>
      </c>
      <c r="I2156" t="s">
        <v>38</v>
      </c>
      <c r="J2156" t="s">
        <v>37</v>
      </c>
      <c r="K2156" t="s">
        <v>22</v>
      </c>
      <c r="L2156">
        <v>4</v>
      </c>
      <c r="M2156" s="12">
        <v>1650</v>
      </c>
      <c r="N2156" s="12">
        <v>990</v>
      </c>
      <c r="O2156">
        <v>8</v>
      </c>
      <c r="P2156" s="12">
        <v>6072</v>
      </c>
      <c r="Q2156" s="12">
        <v>3960</v>
      </c>
      <c r="R2156" s="12">
        <v>2112</v>
      </c>
      <c r="S2156" t="s">
        <v>1246</v>
      </c>
      <c r="T2156" t="s">
        <v>109</v>
      </c>
      <c r="U2156" t="s">
        <v>1209</v>
      </c>
    </row>
    <row r="2157" spans="1:21" x14ac:dyDescent="0.25">
      <c r="A2157" t="s">
        <v>4187</v>
      </c>
      <c r="B2157" s="8">
        <v>45658</v>
      </c>
      <c r="C2157" t="s">
        <v>3079</v>
      </c>
      <c r="D2157" t="s">
        <v>605</v>
      </c>
      <c r="E2157" t="s">
        <v>198</v>
      </c>
      <c r="F2157">
        <v>29</v>
      </c>
      <c r="G2157" t="s">
        <v>9</v>
      </c>
      <c r="H2157" t="s">
        <v>8</v>
      </c>
      <c r="I2157" t="s">
        <v>51</v>
      </c>
      <c r="J2157" t="s">
        <v>54</v>
      </c>
      <c r="K2157" t="s">
        <v>43</v>
      </c>
      <c r="L2157">
        <v>1</v>
      </c>
      <c r="M2157" s="12">
        <v>27499</v>
      </c>
      <c r="N2157" s="12">
        <v>21724.210000000003</v>
      </c>
      <c r="O2157">
        <v>2</v>
      </c>
      <c r="P2157" s="12">
        <v>26949.02</v>
      </c>
      <c r="Q2157" s="12">
        <v>21724.210000000003</v>
      </c>
      <c r="R2157" s="12">
        <v>5224.8099999999977</v>
      </c>
      <c r="S2157" t="s">
        <v>113</v>
      </c>
      <c r="T2157" t="s">
        <v>109</v>
      </c>
      <c r="U2157" t="s">
        <v>1196</v>
      </c>
    </row>
    <row r="2158" spans="1:21" x14ac:dyDescent="0.25">
      <c r="A2158" t="s">
        <v>4188</v>
      </c>
      <c r="B2158" s="8">
        <v>45915</v>
      </c>
      <c r="C2158" t="s">
        <v>2195</v>
      </c>
      <c r="D2158" t="s">
        <v>506</v>
      </c>
      <c r="E2158" t="s">
        <v>198</v>
      </c>
      <c r="F2158">
        <v>45</v>
      </c>
      <c r="G2158" t="s">
        <v>14</v>
      </c>
      <c r="H2158" t="s">
        <v>15</v>
      </c>
      <c r="I2158" t="s">
        <v>59</v>
      </c>
      <c r="J2158" t="s">
        <v>73</v>
      </c>
      <c r="K2158" t="s">
        <v>64</v>
      </c>
      <c r="L2158">
        <v>5</v>
      </c>
      <c r="M2158" s="12">
        <v>120</v>
      </c>
      <c r="N2158" s="12">
        <v>81.599999999999994</v>
      </c>
      <c r="O2158">
        <v>2</v>
      </c>
      <c r="P2158" s="12">
        <v>588</v>
      </c>
      <c r="Q2158" s="12">
        <v>408</v>
      </c>
      <c r="R2158" s="12">
        <v>180</v>
      </c>
      <c r="S2158" t="s">
        <v>1246</v>
      </c>
      <c r="T2158" t="s">
        <v>111</v>
      </c>
      <c r="U2158" t="s">
        <v>1211</v>
      </c>
    </row>
    <row r="2159" spans="1:21" x14ac:dyDescent="0.25">
      <c r="A2159" t="s">
        <v>4189</v>
      </c>
      <c r="B2159" s="8">
        <v>45853</v>
      </c>
      <c r="C2159" t="s">
        <v>1857</v>
      </c>
      <c r="D2159" t="s">
        <v>787</v>
      </c>
      <c r="E2159" t="s">
        <v>198</v>
      </c>
      <c r="F2159">
        <v>53</v>
      </c>
      <c r="G2159" t="s">
        <v>10</v>
      </c>
      <c r="H2159" t="s">
        <v>8</v>
      </c>
      <c r="I2159" t="s">
        <v>59</v>
      </c>
      <c r="J2159" t="s">
        <v>73</v>
      </c>
      <c r="K2159" t="s">
        <v>64</v>
      </c>
      <c r="L2159">
        <v>5</v>
      </c>
      <c r="M2159" s="12">
        <v>120</v>
      </c>
      <c r="N2159" s="12">
        <v>81.599999999999994</v>
      </c>
      <c r="O2159">
        <v>4</v>
      </c>
      <c r="P2159" s="12">
        <v>576</v>
      </c>
      <c r="Q2159" s="12">
        <v>408</v>
      </c>
      <c r="R2159" s="12">
        <v>168</v>
      </c>
      <c r="S2159" t="s">
        <v>1246</v>
      </c>
      <c r="T2159" t="s">
        <v>108</v>
      </c>
      <c r="U2159" t="s">
        <v>1194</v>
      </c>
    </row>
    <row r="2160" spans="1:21" x14ac:dyDescent="0.25">
      <c r="A2160" t="s">
        <v>4190</v>
      </c>
      <c r="B2160" s="8">
        <v>45887</v>
      </c>
      <c r="C2160" t="s">
        <v>1404</v>
      </c>
      <c r="D2160" t="s">
        <v>420</v>
      </c>
      <c r="E2160" t="s">
        <v>198</v>
      </c>
      <c r="F2160">
        <v>64</v>
      </c>
      <c r="G2160" t="s">
        <v>9</v>
      </c>
      <c r="H2160" t="s">
        <v>8</v>
      </c>
      <c r="I2160" t="s">
        <v>61</v>
      </c>
      <c r="J2160" t="s">
        <v>146</v>
      </c>
      <c r="K2160" t="s">
        <v>64</v>
      </c>
      <c r="L2160">
        <v>4</v>
      </c>
      <c r="M2160" s="12">
        <v>250</v>
      </c>
      <c r="N2160" s="12">
        <v>155</v>
      </c>
      <c r="O2160">
        <v>4</v>
      </c>
      <c r="P2160" s="12">
        <v>960</v>
      </c>
      <c r="Q2160" s="12">
        <v>620</v>
      </c>
      <c r="R2160" s="12">
        <v>340</v>
      </c>
      <c r="S2160" t="s">
        <v>1249</v>
      </c>
      <c r="T2160" t="s">
        <v>109</v>
      </c>
      <c r="U2160" t="s">
        <v>1209</v>
      </c>
    </row>
    <row r="2161" spans="1:21" x14ac:dyDescent="0.25">
      <c r="A2161" t="s">
        <v>4191</v>
      </c>
      <c r="B2161" s="8">
        <v>46007</v>
      </c>
      <c r="C2161" t="s">
        <v>2415</v>
      </c>
      <c r="D2161" t="s">
        <v>427</v>
      </c>
      <c r="E2161" t="s">
        <v>218</v>
      </c>
      <c r="F2161">
        <v>26</v>
      </c>
      <c r="G2161" t="s">
        <v>17</v>
      </c>
      <c r="H2161" t="s">
        <v>15</v>
      </c>
      <c r="I2161" t="s">
        <v>57</v>
      </c>
      <c r="J2161" t="s">
        <v>67</v>
      </c>
      <c r="K2161" t="s">
        <v>64</v>
      </c>
      <c r="L2161">
        <v>3</v>
      </c>
      <c r="M2161" s="12">
        <v>150</v>
      </c>
      <c r="N2161" s="12">
        <v>97.5</v>
      </c>
      <c r="O2161">
        <v>8</v>
      </c>
      <c r="P2161" s="12">
        <v>414</v>
      </c>
      <c r="Q2161" s="12">
        <v>292.5</v>
      </c>
      <c r="R2161" s="12">
        <v>121.5</v>
      </c>
      <c r="S2161" t="s">
        <v>113</v>
      </c>
      <c r="T2161" t="s">
        <v>108</v>
      </c>
      <c r="U2161" t="s">
        <v>1207</v>
      </c>
    </row>
    <row r="2162" spans="1:21" x14ac:dyDescent="0.25">
      <c r="A2162" t="s">
        <v>4192</v>
      </c>
      <c r="B2162" s="8">
        <v>46009</v>
      </c>
      <c r="C2162" t="s">
        <v>3961</v>
      </c>
      <c r="D2162" t="s">
        <v>1086</v>
      </c>
      <c r="E2162" t="s">
        <v>218</v>
      </c>
      <c r="F2162">
        <v>18</v>
      </c>
      <c r="G2162" t="s">
        <v>5</v>
      </c>
      <c r="H2162" t="s">
        <v>3</v>
      </c>
      <c r="I2162" t="s">
        <v>42</v>
      </c>
      <c r="J2162" t="s">
        <v>44</v>
      </c>
      <c r="K2162" t="s">
        <v>43</v>
      </c>
      <c r="L2162">
        <v>1</v>
      </c>
      <c r="M2162" s="12">
        <v>8999</v>
      </c>
      <c r="N2162" s="12">
        <v>6479.28</v>
      </c>
      <c r="O2162">
        <v>17</v>
      </c>
      <c r="P2162" s="12">
        <v>7469.17</v>
      </c>
      <c r="Q2162" s="12">
        <v>6479.28</v>
      </c>
      <c r="R2162" s="12">
        <v>989.89000000000033</v>
      </c>
      <c r="S2162" t="s">
        <v>113</v>
      </c>
      <c r="T2162" t="s">
        <v>109</v>
      </c>
      <c r="U2162" t="s">
        <v>1201</v>
      </c>
    </row>
    <row r="2163" spans="1:21" x14ac:dyDescent="0.25">
      <c r="A2163" t="s">
        <v>4193</v>
      </c>
      <c r="B2163" s="8">
        <v>45806</v>
      </c>
      <c r="C2163" t="s">
        <v>4875</v>
      </c>
      <c r="D2163" t="s">
        <v>728</v>
      </c>
      <c r="E2163" t="s">
        <v>198</v>
      </c>
      <c r="F2163">
        <v>20</v>
      </c>
      <c r="G2163" t="s">
        <v>11</v>
      </c>
      <c r="H2163" t="s">
        <v>12</v>
      </c>
      <c r="I2163" t="s">
        <v>32</v>
      </c>
      <c r="J2163" t="s">
        <v>29</v>
      </c>
      <c r="K2163" t="s">
        <v>22</v>
      </c>
      <c r="L2163">
        <v>3</v>
      </c>
      <c r="M2163" s="12">
        <v>9500</v>
      </c>
      <c r="N2163" s="12">
        <v>6650</v>
      </c>
      <c r="O2163">
        <v>7</v>
      </c>
      <c r="P2163" s="12">
        <v>26505</v>
      </c>
      <c r="Q2163" s="12">
        <v>19950</v>
      </c>
      <c r="R2163" s="12">
        <v>6555</v>
      </c>
      <c r="S2163" t="s">
        <v>113</v>
      </c>
      <c r="T2163" t="s">
        <v>107</v>
      </c>
      <c r="U2163" t="s">
        <v>1196</v>
      </c>
    </row>
    <row r="2164" spans="1:21" x14ac:dyDescent="0.25">
      <c r="A2164" t="s">
        <v>4194</v>
      </c>
      <c r="B2164" s="8">
        <v>45732</v>
      </c>
      <c r="C2164" t="s">
        <v>1293</v>
      </c>
      <c r="D2164" t="s">
        <v>1113</v>
      </c>
      <c r="E2164" t="s">
        <v>198</v>
      </c>
      <c r="F2164">
        <v>50</v>
      </c>
      <c r="G2164" t="s">
        <v>14</v>
      </c>
      <c r="H2164" t="s">
        <v>15</v>
      </c>
      <c r="I2164" t="s">
        <v>45</v>
      </c>
      <c r="J2164" t="s">
        <v>46</v>
      </c>
      <c r="K2164" t="s">
        <v>43</v>
      </c>
      <c r="L2164">
        <v>2</v>
      </c>
      <c r="M2164" s="12">
        <v>11999</v>
      </c>
      <c r="N2164" s="12">
        <v>8999.25</v>
      </c>
      <c r="O2164">
        <v>9</v>
      </c>
      <c r="P2164" s="12">
        <v>21838.18</v>
      </c>
      <c r="Q2164" s="12">
        <v>17998.5</v>
      </c>
      <c r="R2164" s="12">
        <v>3839.6800000000003</v>
      </c>
      <c r="S2164" t="s">
        <v>113</v>
      </c>
      <c r="T2164" t="s">
        <v>108</v>
      </c>
      <c r="U2164" t="s">
        <v>1196</v>
      </c>
    </row>
    <row r="2165" spans="1:21" x14ac:dyDescent="0.25">
      <c r="A2165" t="s">
        <v>4195</v>
      </c>
      <c r="B2165" s="8">
        <v>45786</v>
      </c>
      <c r="C2165" t="s">
        <v>2216</v>
      </c>
      <c r="D2165" t="s">
        <v>876</v>
      </c>
      <c r="E2165" t="s">
        <v>198</v>
      </c>
      <c r="F2165">
        <v>61</v>
      </c>
      <c r="G2165" t="s">
        <v>2</v>
      </c>
      <c r="H2165" t="s">
        <v>3</v>
      </c>
      <c r="I2165" t="s">
        <v>36</v>
      </c>
      <c r="J2165" t="s">
        <v>136</v>
      </c>
      <c r="K2165" t="s">
        <v>22</v>
      </c>
      <c r="L2165">
        <v>5</v>
      </c>
      <c r="M2165" s="12">
        <v>3590</v>
      </c>
      <c r="N2165" s="12">
        <v>2333.5</v>
      </c>
      <c r="O2165">
        <v>10</v>
      </c>
      <c r="P2165" s="12">
        <v>16155</v>
      </c>
      <c r="Q2165" s="12">
        <v>11667.5</v>
      </c>
      <c r="R2165" s="12">
        <v>4487.5</v>
      </c>
      <c r="S2165" t="s">
        <v>113</v>
      </c>
      <c r="T2165" t="s">
        <v>108</v>
      </c>
      <c r="U2165" t="s">
        <v>1199</v>
      </c>
    </row>
    <row r="2166" spans="1:21" x14ac:dyDescent="0.25">
      <c r="A2166" t="s">
        <v>4196</v>
      </c>
      <c r="B2166" s="8">
        <v>46008</v>
      </c>
      <c r="C2166" t="s">
        <v>4219</v>
      </c>
      <c r="D2166" t="s">
        <v>553</v>
      </c>
      <c r="E2166" t="s">
        <v>198</v>
      </c>
      <c r="F2166">
        <v>42</v>
      </c>
      <c r="G2166" t="s">
        <v>16</v>
      </c>
      <c r="H2166" t="s">
        <v>15</v>
      </c>
      <c r="I2166" t="s">
        <v>63</v>
      </c>
      <c r="J2166" t="s">
        <v>77</v>
      </c>
      <c r="K2166" t="s">
        <v>64</v>
      </c>
      <c r="L2166">
        <v>2</v>
      </c>
      <c r="M2166" s="12">
        <v>650</v>
      </c>
      <c r="N2166" s="12">
        <v>468</v>
      </c>
      <c r="O2166">
        <v>3</v>
      </c>
      <c r="P2166" s="12">
        <v>1261</v>
      </c>
      <c r="Q2166" s="12">
        <v>936</v>
      </c>
      <c r="R2166" s="12">
        <v>325</v>
      </c>
      <c r="S2166" t="s">
        <v>113</v>
      </c>
      <c r="T2166" t="s">
        <v>107</v>
      </c>
      <c r="U2166" t="s">
        <v>1199</v>
      </c>
    </row>
    <row r="2167" spans="1:21" x14ac:dyDescent="0.25">
      <c r="A2167" t="s">
        <v>4198</v>
      </c>
      <c r="B2167" s="8">
        <v>45929</v>
      </c>
      <c r="C2167" t="s">
        <v>2838</v>
      </c>
      <c r="D2167" t="s">
        <v>1060</v>
      </c>
      <c r="E2167" t="s">
        <v>198</v>
      </c>
      <c r="F2167">
        <v>55</v>
      </c>
      <c r="G2167" t="s">
        <v>10</v>
      </c>
      <c r="H2167" t="s">
        <v>8</v>
      </c>
      <c r="I2167" t="s">
        <v>49</v>
      </c>
      <c r="J2167" t="s">
        <v>56</v>
      </c>
      <c r="K2167" t="s">
        <v>43</v>
      </c>
      <c r="L2167">
        <v>4</v>
      </c>
      <c r="M2167" s="12">
        <v>31999</v>
      </c>
      <c r="N2167" s="12">
        <v>25599.200000000001</v>
      </c>
      <c r="O2167">
        <v>5</v>
      </c>
      <c r="P2167" s="12">
        <v>121596.2</v>
      </c>
      <c r="Q2167" s="12">
        <v>102396.8</v>
      </c>
      <c r="R2167" s="12">
        <v>19199.399999999994</v>
      </c>
      <c r="S2167" t="s">
        <v>1246</v>
      </c>
      <c r="T2167" t="s">
        <v>107</v>
      </c>
      <c r="U2167" t="s">
        <v>1201</v>
      </c>
    </row>
    <row r="2168" spans="1:21" x14ac:dyDescent="0.25">
      <c r="A2168" t="s">
        <v>4199</v>
      </c>
      <c r="B2168" s="8">
        <v>45935</v>
      </c>
      <c r="C2168" t="s">
        <v>2609</v>
      </c>
      <c r="D2168" t="s">
        <v>507</v>
      </c>
      <c r="E2168" t="s">
        <v>218</v>
      </c>
      <c r="F2168">
        <v>37</v>
      </c>
      <c r="G2168" t="s">
        <v>9</v>
      </c>
      <c r="H2168" t="s">
        <v>8</v>
      </c>
      <c r="I2168" t="s">
        <v>49</v>
      </c>
      <c r="J2168" t="s">
        <v>56</v>
      </c>
      <c r="K2168" t="s">
        <v>43</v>
      </c>
      <c r="L2168">
        <v>3</v>
      </c>
      <c r="M2168" s="12">
        <v>31999</v>
      </c>
      <c r="N2168" s="12">
        <v>25599.200000000001</v>
      </c>
      <c r="O2168">
        <v>9</v>
      </c>
      <c r="P2168" s="12">
        <v>87357.27</v>
      </c>
      <c r="Q2168" s="12">
        <v>76797.600000000006</v>
      </c>
      <c r="R2168" s="12">
        <v>10559.669999999998</v>
      </c>
      <c r="S2168" t="s">
        <v>1246</v>
      </c>
      <c r="T2168" t="s">
        <v>107</v>
      </c>
      <c r="U2168" t="s">
        <v>1211</v>
      </c>
    </row>
    <row r="2169" spans="1:21" x14ac:dyDescent="0.25">
      <c r="A2169" t="s">
        <v>4200</v>
      </c>
      <c r="B2169" s="8">
        <v>45684</v>
      </c>
      <c r="C2169" t="s">
        <v>4635</v>
      </c>
      <c r="D2169" t="s">
        <v>588</v>
      </c>
      <c r="E2169" t="s">
        <v>198</v>
      </c>
      <c r="F2169">
        <v>55</v>
      </c>
      <c r="G2169" t="s">
        <v>289</v>
      </c>
      <c r="H2169" t="s">
        <v>3</v>
      </c>
      <c r="I2169" t="s">
        <v>57</v>
      </c>
      <c r="J2169" t="s">
        <v>67</v>
      </c>
      <c r="K2169" t="s">
        <v>64</v>
      </c>
      <c r="L2169">
        <v>5</v>
      </c>
      <c r="M2169" s="12">
        <v>150</v>
      </c>
      <c r="N2169" s="12">
        <v>97.5</v>
      </c>
      <c r="O2169">
        <v>9</v>
      </c>
      <c r="P2169" s="12">
        <v>682.5</v>
      </c>
      <c r="Q2169" s="12">
        <v>487.5</v>
      </c>
      <c r="R2169" s="12">
        <v>195</v>
      </c>
      <c r="S2169" t="s">
        <v>1246</v>
      </c>
      <c r="T2169" t="s">
        <v>107</v>
      </c>
      <c r="U2169" t="s">
        <v>1211</v>
      </c>
    </row>
    <row r="2170" spans="1:21" x14ac:dyDescent="0.25">
      <c r="A2170" t="s">
        <v>4201</v>
      </c>
      <c r="B2170" s="8">
        <v>45892</v>
      </c>
      <c r="C2170" t="s">
        <v>1385</v>
      </c>
      <c r="D2170" t="s">
        <v>401</v>
      </c>
      <c r="E2170" t="s">
        <v>218</v>
      </c>
      <c r="F2170">
        <v>39</v>
      </c>
      <c r="G2170" t="s">
        <v>4</v>
      </c>
      <c r="H2170" t="s">
        <v>3</v>
      </c>
      <c r="I2170" t="s">
        <v>51</v>
      </c>
      <c r="J2170" t="s">
        <v>54</v>
      </c>
      <c r="K2170" t="s">
        <v>43</v>
      </c>
      <c r="L2170">
        <v>3</v>
      </c>
      <c r="M2170" s="12">
        <v>27499</v>
      </c>
      <c r="N2170" s="12">
        <v>21724.210000000003</v>
      </c>
      <c r="O2170">
        <v>10</v>
      </c>
      <c r="P2170" s="12">
        <v>74247.3</v>
      </c>
      <c r="Q2170" s="12">
        <v>65172.630000000005</v>
      </c>
      <c r="R2170" s="12">
        <v>9074.6699999999983</v>
      </c>
      <c r="S2170" t="s">
        <v>1246</v>
      </c>
      <c r="T2170" t="s">
        <v>107</v>
      </c>
      <c r="U2170" t="s">
        <v>1199</v>
      </c>
    </row>
    <row r="2171" spans="1:21" x14ac:dyDescent="0.25">
      <c r="A2171" t="s">
        <v>4202</v>
      </c>
      <c r="B2171" s="8">
        <v>46016</v>
      </c>
      <c r="C2171" t="s">
        <v>1541</v>
      </c>
      <c r="D2171" t="s">
        <v>994</v>
      </c>
      <c r="E2171" t="s">
        <v>218</v>
      </c>
      <c r="F2171">
        <v>23</v>
      </c>
      <c r="G2171" t="s">
        <v>7</v>
      </c>
      <c r="H2171" t="s">
        <v>8</v>
      </c>
      <c r="I2171" t="s">
        <v>45</v>
      </c>
      <c r="J2171" t="s">
        <v>46</v>
      </c>
      <c r="K2171" t="s">
        <v>43</v>
      </c>
      <c r="L2171">
        <v>4</v>
      </c>
      <c r="M2171" s="12">
        <v>11999</v>
      </c>
      <c r="N2171" s="12">
        <v>8999.25</v>
      </c>
      <c r="O2171">
        <v>18</v>
      </c>
      <c r="P2171" s="12">
        <v>39356.720000000001</v>
      </c>
      <c r="Q2171" s="12">
        <v>35997</v>
      </c>
      <c r="R2171" s="12">
        <v>3359.7200000000012</v>
      </c>
      <c r="S2171" t="s">
        <v>1246</v>
      </c>
      <c r="T2171" t="s">
        <v>108</v>
      </c>
      <c r="U2171" t="s">
        <v>1211</v>
      </c>
    </row>
    <row r="2172" spans="1:21" x14ac:dyDescent="0.25">
      <c r="A2172" t="s">
        <v>4203</v>
      </c>
      <c r="B2172" s="8">
        <v>45785</v>
      </c>
      <c r="C2172" t="s">
        <v>3312</v>
      </c>
      <c r="D2172" t="s">
        <v>1131</v>
      </c>
      <c r="E2172" t="s">
        <v>218</v>
      </c>
      <c r="F2172">
        <v>52</v>
      </c>
      <c r="G2172" t="s">
        <v>289</v>
      </c>
      <c r="H2172" t="s">
        <v>3</v>
      </c>
      <c r="I2172" t="s">
        <v>38</v>
      </c>
      <c r="J2172" t="s">
        <v>37</v>
      </c>
      <c r="K2172" t="s">
        <v>22</v>
      </c>
      <c r="L2172">
        <v>5</v>
      </c>
      <c r="M2172" s="12">
        <v>1650</v>
      </c>
      <c r="N2172" s="12">
        <v>990</v>
      </c>
      <c r="O2172">
        <v>9</v>
      </c>
      <c r="P2172" s="12">
        <v>7507.5</v>
      </c>
      <c r="Q2172" s="12">
        <v>4950</v>
      </c>
      <c r="R2172" s="12">
        <v>2557.5</v>
      </c>
      <c r="S2172" t="s">
        <v>1249</v>
      </c>
      <c r="T2172" t="s">
        <v>109</v>
      </c>
      <c r="U2172" t="s">
        <v>1203</v>
      </c>
    </row>
    <row r="2173" spans="1:21" x14ac:dyDescent="0.25">
      <c r="A2173" t="s">
        <v>4205</v>
      </c>
      <c r="B2173" s="8">
        <v>45955</v>
      </c>
      <c r="C2173" t="s">
        <v>2156</v>
      </c>
      <c r="D2173" t="s">
        <v>1050</v>
      </c>
      <c r="E2173" t="s">
        <v>198</v>
      </c>
      <c r="F2173">
        <v>19</v>
      </c>
      <c r="G2173" t="s">
        <v>17</v>
      </c>
      <c r="H2173" t="s">
        <v>15</v>
      </c>
      <c r="I2173" t="s">
        <v>26</v>
      </c>
      <c r="J2173" t="s">
        <v>27</v>
      </c>
      <c r="K2173" t="s">
        <v>22</v>
      </c>
      <c r="L2173">
        <v>4</v>
      </c>
      <c r="M2173" s="12">
        <v>27499</v>
      </c>
      <c r="N2173" s="12">
        <v>23374.149999999998</v>
      </c>
      <c r="O2173">
        <v>3</v>
      </c>
      <c r="P2173" s="12">
        <v>106696.12</v>
      </c>
      <c r="Q2173" s="12">
        <v>93496.599999999991</v>
      </c>
      <c r="R2173" s="12">
        <v>13199.520000000004</v>
      </c>
      <c r="S2173" t="s">
        <v>113</v>
      </c>
      <c r="T2173" t="s">
        <v>110</v>
      </c>
      <c r="U2173" t="s">
        <v>1207</v>
      </c>
    </row>
    <row r="2174" spans="1:21" x14ac:dyDescent="0.25">
      <c r="A2174" t="s">
        <v>4206</v>
      </c>
      <c r="B2174" s="8">
        <v>45940</v>
      </c>
      <c r="C2174" t="s">
        <v>3211</v>
      </c>
      <c r="D2174" t="s">
        <v>1032</v>
      </c>
      <c r="E2174" t="s">
        <v>198</v>
      </c>
      <c r="F2174">
        <v>51</v>
      </c>
      <c r="G2174" t="s">
        <v>10</v>
      </c>
      <c r="H2174" t="s">
        <v>8</v>
      </c>
      <c r="I2174" t="s">
        <v>42</v>
      </c>
      <c r="J2174" t="s">
        <v>44</v>
      </c>
      <c r="K2174" t="s">
        <v>43</v>
      </c>
      <c r="L2174">
        <v>3</v>
      </c>
      <c r="M2174" s="12">
        <v>8999</v>
      </c>
      <c r="N2174" s="12">
        <v>6479.28</v>
      </c>
      <c r="O2174">
        <v>9</v>
      </c>
      <c r="P2174" s="12">
        <v>24567.27</v>
      </c>
      <c r="Q2174" s="12">
        <v>19437.84</v>
      </c>
      <c r="R2174" s="12">
        <v>5129.43</v>
      </c>
      <c r="S2174" t="s">
        <v>113</v>
      </c>
      <c r="T2174" t="s">
        <v>109</v>
      </c>
      <c r="U2174" t="s">
        <v>1196</v>
      </c>
    </row>
    <row r="2175" spans="1:21" x14ac:dyDescent="0.25">
      <c r="A2175" t="s">
        <v>4207</v>
      </c>
      <c r="B2175" s="8">
        <v>45733</v>
      </c>
      <c r="C2175" t="s">
        <v>2881</v>
      </c>
      <c r="D2175" t="s">
        <v>1126</v>
      </c>
      <c r="E2175" t="s">
        <v>218</v>
      </c>
      <c r="F2175">
        <v>45</v>
      </c>
      <c r="G2175" t="s">
        <v>9</v>
      </c>
      <c r="H2175" t="s">
        <v>8</v>
      </c>
      <c r="I2175" t="s">
        <v>40</v>
      </c>
      <c r="J2175" t="s">
        <v>39</v>
      </c>
      <c r="K2175" t="s">
        <v>22</v>
      </c>
      <c r="L2175">
        <v>5</v>
      </c>
      <c r="M2175" s="12">
        <v>1100</v>
      </c>
      <c r="N2175" s="12">
        <v>715</v>
      </c>
      <c r="O2175">
        <v>3</v>
      </c>
      <c r="P2175" s="12">
        <v>5335</v>
      </c>
      <c r="Q2175" s="12">
        <v>3575</v>
      </c>
      <c r="R2175" s="12">
        <v>1760</v>
      </c>
      <c r="S2175" t="s">
        <v>1249</v>
      </c>
      <c r="T2175" t="s">
        <v>109</v>
      </c>
      <c r="U2175" t="s">
        <v>1209</v>
      </c>
    </row>
    <row r="2176" spans="1:21" x14ac:dyDescent="0.25">
      <c r="A2176" t="s">
        <v>4208</v>
      </c>
      <c r="B2176" s="8">
        <v>45745</v>
      </c>
      <c r="C2176" t="s">
        <v>1524</v>
      </c>
      <c r="D2176" t="s">
        <v>398</v>
      </c>
      <c r="E2176" t="s">
        <v>198</v>
      </c>
      <c r="F2176">
        <v>61</v>
      </c>
      <c r="G2176" t="s">
        <v>7</v>
      </c>
      <c r="H2176" t="s">
        <v>8</v>
      </c>
      <c r="I2176" t="s">
        <v>21</v>
      </c>
      <c r="J2176" t="s">
        <v>23</v>
      </c>
      <c r="K2176" t="s">
        <v>22</v>
      </c>
      <c r="L2176">
        <v>1</v>
      </c>
      <c r="M2176" s="12">
        <v>54999</v>
      </c>
      <c r="N2176" s="12">
        <v>45099.18</v>
      </c>
      <c r="O2176">
        <v>3</v>
      </c>
      <c r="P2176" s="12">
        <v>53349.03</v>
      </c>
      <c r="Q2176" s="12">
        <v>45099.18</v>
      </c>
      <c r="R2176" s="12">
        <v>8249.8499999999985</v>
      </c>
      <c r="S2176" t="s">
        <v>1246</v>
      </c>
      <c r="T2176" t="s">
        <v>110</v>
      </c>
      <c r="U2176" t="s">
        <v>1196</v>
      </c>
    </row>
    <row r="2177" spans="1:21" x14ac:dyDescent="0.25">
      <c r="A2177" t="s">
        <v>4209</v>
      </c>
      <c r="B2177" s="8">
        <v>45681</v>
      </c>
      <c r="C2177" t="s">
        <v>2682</v>
      </c>
      <c r="D2177" t="s">
        <v>375</v>
      </c>
      <c r="E2177" t="s">
        <v>198</v>
      </c>
      <c r="F2177">
        <v>55</v>
      </c>
      <c r="G2177" t="s">
        <v>5</v>
      </c>
      <c r="H2177" t="s">
        <v>3</v>
      </c>
      <c r="I2177" t="s">
        <v>26</v>
      </c>
      <c r="J2177" t="s">
        <v>27</v>
      </c>
      <c r="K2177" t="s">
        <v>22</v>
      </c>
      <c r="L2177">
        <v>5</v>
      </c>
      <c r="M2177" s="12">
        <v>27499</v>
      </c>
      <c r="N2177" s="12">
        <v>23374.149999999998</v>
      </c>
      <c r="O2177">
        <v>9</v>
      </c>
      <c r="P2177" s="12">
        <v>125120.45</v>
      </c>
      <c r="Q2177" s="12">
        <v>116870.74999999999</v>
      </c>
      <c r="R2177" s="12">
        <v>8249.7000000000116</v>
      </c>
      <c r="S2177" t="s">
        <v>1249</v>
      </c>
      <c r="T2177" t="s">
        <v>107</v>
      </c>
      <c r="U2177" t="s">
        <v>1205</v>
      </c>
    </row>
    <row r="2178" spans="1:21" x14ac:dyDescent="0.25">
      <c r="A2178" t="s">
        <v>4211</v>
      </c>
      <c r="B2178" s="8">
        <v>45787</v>
      </c>
      <c r="C2178" t="s">
        <v>2563</v>
      </c>
      <c r="D2178" t="s">
        <v>815</v>
      </c>
      <c r="E2178" t="s">
        <v>218</v>
      </c>
      <c r="F2178">
        <v>37</v>
      </c>
      <c r="G2178" t="s">
        <v>9</v>
      </c>
      <c r="H2178" t="s">
        <v>8</v>
      </c>
      <c r="I2178" t="s">
        <v>45</v>
      </c>
      <c r="J2178" t="s">
        <v>46</v>
      </c>
      <c r="K2178" t="s">
        <v>43</v>
      </c>
      <c r="L2178">
        <v>3</v>
      </c>
      <c r="M2178" s="12">
        <v>11999</v>
      </c>
      <c r="N2178" s="12">
        <v>8999.25</v>
      </c>
      <c r="O2178">
        <v>2</v>
      </c>
      <c r="P2178" s="12">
        <v>35277.06</v>
      </c>
      <c r="Q2178" s="12">
        <v>26997.75</v>
      </c>
      <c r="R2178" s="12">
        <v>8279.3099999999977</v>
      </c>
      <c r="S2178" t="s">
        <v>113</v>
      </c>
      <c r="T2178" t="s">
        <v>109</v>
      </c>
      <c r="U2178" t="s">
        <v>1199</v>
      </c>
    </row>
    <row r="2179" spans="1:21" x14ac:dyDescent="0.25">
      <c r="A2179" t="s">
        <v>4212</v>
      </c>
      <c r="B2179" s="8">
        <v>45867</v>
      </c>
      <c r="C2179" t="s">
        <v>2682</v>
      </c>
      <c r="D2179" t="s">
        <v>375</v>
      </c>
      <c r="E2179" t="s">
        <v>198</v>
      </c>
      <c r="F2179">
        <v>55</v>
      </c>
      <c r="G2179" t="s">
        <v>5</v>
      </c>
      <c r="H2179" t="s">
        <v>3</v>
      </c>
      <c r="I2179" t="s">
        <v>61</v>
      </c>
      <c r="J2179" t="s">
        <v>146</v>
      </c>
      <c r="K2179" t="s">
        <v>64</v>
      </c>
      <c r="L2179">
        <v>3</v>
      </c>
      <c r="M2179" s="12">
        <v>250</v>
      </c>
      <c r="N2179" s="12">
        <v>155</v>
      </c>
      <c r="O2179">
        <v>5</v>
      </c>
      <c r="P2179" s="12">
        <v>712.5</v>
      </c>
      <c r="Q2179" s="12">
        <v>465</v>
      </c>
      <c r="R2179" s="12">
        <v>247.5</v>
      </c>
      <c r="S2179" t="s">
        <v>1249</v>
      </c>
      <c r="T2179" t="s">
        <v>107</v>
      </c>
      <c r="U2179" t="s">
        <v>1211</v>
      </c>
    </row>
    <row r="2180" spans="1:21" x14ac:dyDescent="0.25">
      <c r="A2180" t="s">
        <v>4213</v>
      </c>
      <c r="B2180" s="8">
        <v>45985</v>
      </c>
      <c r="C2180" t="s">
        <v>4204</v>
      </c>
      <c r="D2180" t="s">
        <v>481</v>
      </c>
      <c r="E2180" t="s">
        <v>198</v>
      </c>
      <c r="F2180">
        <v>34</v>
      </c>
      <c r="G2180" t="s">
        <v>5</v>
      </c>
      <c r="H2180" t="s">
        <v>3</v>
      </c>
      <c r="I2180" t="s">
        <v>26</v>
      </c>
      <c r="J2180" t="s">
        <v>27</v>
      </c>
      <c r="K2180" t="s">
        <v>22</v>
      </c>
      <c r="L2180">
        <v>5</v>
      </c>
      <c r="M2180" s="12">
        <v>27499</v>
      </c>
      <c r="N2180" s="12">
        <v>23374.149999999998</v>
      </c>
      <c r="O2180">
        <v>18</v>
      </c>
      <c r="P2180" s="12">
        <v>112745.90000000001</v>
      </c>
      <c r="Q2180" s="12">
        <v>116870.74999999999</v>
      </c>
      <c r="R2180" s="12">
        <v>-4124.8499999999767</v>
      </c>
      <c r="S2180" t="s">
        <v>1249</v>
      </c>
      <c r="T2180" t="s">
        <v>108</v>
      </c>
      <c r="U2180" t="s">
        <v>1203</v>
      </c>
    </row>
    <row r="2181" spans="1:21" x14ac:dyDescent="0.25">
      <c r="A2181" t="s">
        <v>4214</v>
      </c>
      <c r="B2181" s="8">
        <v>45695</v>
      </c>
      <c r="C2181" t="s">
        <v>2082</v>
      </c>
      <c r="D2181" t="s">
        <v>708</v>
      </c>
      <c r="E2181" t="s">
        <v>198</v>
      </c>
      <c r="F2181">
        <v>43</v>
      </c>
      <c r="G2181" t="s">
        <v>10</v>
      </c>
      <c r="H2181" t="s">
        <v>8</v>
      </c>
      <c r="I2181" t="s">
        <v>51</v>
      </c>
      <c r="J2181" t="s">
        <v>54</v>
      </c>
      <c r="K2181" t="s">
        <v>43</v>
      </c>
      <c r="L2181">
        <v>1</v>
      </c>
      <c r="M2181" s="12">
        <v>27499</v>
      </c>
      <c r="N2181" s="12">
        <v>21724.210000000003</v>
      </c>
      <c r="O2181">
        <v>5</v>
      </c>
      <c r="P2181" s="12">
        <v>26124.05</v>
      </c>
      <c r="Q2181" s="12">
        <v>21724.210000000003</v>
      </c>
      <c r="R2181" s="12">
        <v>4399.8399999999965</v>
      </c>
      <c r="S2181" t="s">
        <v>113</v>
      </c>
      <c r="T2181" t="s">
        <v>107</v>
      </c>
      <c r="U2181" t="s">
        <v>1194</v>
      </c>
    </row>
    <row r="2182" spans="1:21" x14ac:dyDescent="0.25">
      <c r="A2182" t="s">
        <v>4215</v>
      </c>
      <c r="B2182" s="8">
        <v>45971</v>
      </c>
      <c r="C2182" t="s">
        <v>3079</v>
      </c>
      <c r="D2182" t="s">
        <v>605</v>
      </c>
      <c r="E2182" t="s">
        <v>198</v>
      </c>
      <c r="F2182">
        <v>29</v>
      </c>
      <c r="G2182" t="s">
        <v>9</v>
      </c>
      <c r="H2182" t="s">
        <v>8</v>
      </c>
      <c r="I2182" t="s">
        <v>36</v>
      </c>
      <c r="J2182" t="s">
        <v>136</v>
      </c>
      <c r="K2182" t="s">
        <v>22</v>
      </c>
      <c r="L2182">
        <v>5</v>
      </c>
      <c r="M2182" s="12">
        <v>3590</v>
      </c>
      <c r="N2182" s="12">
        <v>2333.5</v>
      </c>
      <c r="O2182">
        <v>14</v>
      </c>
      <c r="P2182" s="12">
        <v>15437</v>
      </c>
      <c r="Q2182" s="12">
        <v>11667.5</v>
      </c>
      <c r="R2182" s="12">
        <v>3769.5</v>
      </c>
      <c r="S2182" t="s">
        <v>1249</v>
      </c>
      <c r="T2182" t="s">
        <v>107</v>
      </c>
      <c r="U2182" t="s">
        <v>1201</v>
      </c>
    </row>
    <row r="2183" spans="1:21" x14ac:dyDescent="0.25">
      <c r="A2183" t="s">
        <v>4216</v>
      </c>
      <c r="B2183" s="8">
        <v>45869</v>
      </c>
      <c r="C2183" t="s">
        <v>3698</v>
      </c>
      <c r="D2183" t="s">
        <v>1177</v>
      </c>
      <c r="E2183" t="s">
        <v>218</v>
      </c>
      <c r="F2183">
        <v>47</v>
      </c>
      <c r="G2183" t="s">
        <v>17</v>
      </c>
      <c r="H2183" t="s">
        <v>15</v>
      </c>
      <c r="I2183" t="s">
        <v>32</v>
      </c>
      <c r="J2183" t="s">
        <v>29</v>
      </c>
      <c r="K2183" t="s">
        <v>22</v>
      </c>
      <c r="L2183">
        <v>5</v>
      </c>
      <c r="M2183" s="12">
        <v>9500</v>
      </c>
      <c r="N2183" s="12">
        <v>6650</v>
      </c>
      <c r="O2183">
        <v>3</v>
      </c>
      <c r="P2183" s="12">
        <v>46075</v>
      </c>
      <c r="Q2183" s="12">
        <v>33250</v>
      </c>
      <c r="R2183" s="12">
        <v>12825</v>
      </c>
      <c r="S2183" t="s">
        <v>113</v>
      </c>
      <c r="T2183" t="s">
        <v>110</v>
      </c>
      <c r="U2183" t="s">
        <v>1209</v>
      </c>
    </row>
    <row r="2184" spans="1:21" x14ac:dyDescent="0.25">
      <c r="A2184" t="s">
        <v>4217</v>
      </c>
      <c r="B2184" s="8">
        <v>45765</v>
      </c>
      <c r="C2184" t="s">
        <v>3541</v>
      </c>
      <c r="D2184" t="s">
        <v>486</v>
      </c>
      <c r="E2184" t="s">
        <v>198</v>
      </c>
      <c r="F2184">
        <v>58</v>
      </c>
      <c r="G2184" t="s">
        <v>2</v>
      </c>
      <c r="H2184" t="s">
        <v>3</v>
      </c>
      <c r="I2184" t="s">
        <v>55</v>
      </c>
      <c r="J2184" t="s">
        <v>65</v>
      </c>
      <c r="K2184" t="s">
        <v>64</v>
      </c>
      <c r="L2184">
        <v>5</v>
      </c>
      <c r="M2184" s="12">
        <v>80</v>
      </c>
      <c r="N2184" s="12">
        <v>56</v>
      </c>
      <c r="O2184">
        <v>2</v>
      </c>
      <c r="P2184" s="12">
        <v>392</v>
      </c>
      <c r="Q2184" s="12">
        <v>280</v>
      </c>
      <c r="R2184" s="12">
        <v>112</v>
      </c>
      <c r="S2184" t="s">
        <v>113</v>
      </c>
      <c r="T2184" t="s">
        <v>107</v>
      </c>
      <c r="U2184" t="s">
        <v>1211</v>
      </c>
    </row>
    <row r="2185" spans="1:21" x14ac:dyDescent="0.25">
      <c r="A2185" t="s">
        <v>4218</v>
      </c>
      <c r="B2185" s="8">
        <v>45731</v>
      </c>
      <c r="C2185" t="s">
        <v>3101</v>
      </c>
      <c r="D2185" t="s">
        <v>366</v>
      </c>
      <c r="E2185" t="s">
        <v>198</v>
      </c>
      <c r="F2185">
        <v>23</v>
      </c>
      <c r="G2185" t="s">
        <v>4</v>
      </c>
      <c r="H2185" t="s">
        <v>3</v>
      </c>
      <c r="I2185" t="s">
        <v>21</v>
      </c>
      <c r="J2185" t="s">
        <v>23</v>
      </c>
      <c r="K2185" t="s">
        <v>22</v>
      </c>
      <c r="L2185">
        <v>1</v>
      </c>
      <c r="M2185" s="12">
        <v>54999</v>
      </c>
      <c r="N2185" s="12">
        <v>45099.18</v>
      </c>
      <c r="O2185">
        <v>3</v>
      </c>
      <c r="P2185" s="12">
        <v>53349.03</v>
      </c>
      <c r="Q2185" s="12">
        <v>45099.18</v>
      </c>
      <c r="R2185" s="12">
        <v>8249.8499999999985</v>
      </c>
      <c r="S2185" t="s">
        <v>1246</v>
      </c>
      <c r="T2185" t="s">
        <v>111</v>
      </c>
      <c r="U2185" t="s">
        <v>1199</v>
      </c>
    </row>
    <row r="2186" spans="1:21" x14ac:dyDescent="0.25">
      <c r="A2186" t="s">
        <v>4220</v>
      </c>
      <c r="B2186" s="8">
        <v>45818</v>
      </c>
      <c r="C2186" t="s">
        <v>2532</v>
      </c>
      <c r="D2186" t="s">
        <v>621</v>
      </c>
      <c r="E2186" t="s">
        <v>198</v>
      </c>
      <c r="F2186">
        <v>18</v>
      </c>
      <c r="G2186" t="s">
        <v>2</v>
      </c>
      <c r="H2186" t="s">
        <v>3</v>
      </c>
      <c r="I2186" t="s">
        <v>32</v>
      </c>
      <c r="J2186" t="s">
        <v>29</v>
      </c>
      <c r="K2186" t="s">
        <v>22</v>
      </c>
      <c r="L2186">
        <v>2</v>
      </c>
      <c r="M2186" s="12">
        <v>9500</v>
      </c>
      <c r="N2186" s="12">
        <v>6650</v>
      </c>
      <c r="O2186">
        <v>10</v>
      </c>
      <c r="P2186" s="12">
        <v>17100</v>
      </c>
      <c r="Q2186" s="12">
        <v>13300</v>
      </c>
      <c r="R2186" s="12">
        <v>3800</v>
      </c>
      <c r="S2186" t="s">
        <v>113</v>
      </c>
      <c r="T2186" t="s">
        <v>107</v>
      </c>
      <c r="U2186" t="s">
        <v>1194</v>
      </c>
    </row>
    <row r="2187" spans="1:21" x14ac:dyDescent="0.25">
      <c r="A2187" t="s">
        <v>4221</v>
      </c>
      <c r="B2187" s="8">
        <v>46002</v>
      </c>
      <c r="C2187" t="s">
        <v>2392</v>
      </c>
      <c r="D2187" t="s">
        <v>667</v>
      </c>
      <c r="E2187" t="s">
        <v>218</v>
      </c>
      <c r="F2187">
        <v>25</v>
      </c>
      <c r="G2187" t="s">
        <v>10</v>
      </c>
      <c r="H2187" t="s">
        <v>8</v>
      </c>
      <c r="I2187" t="s">
        <v>59</v>
      </c>
      <c r="J2187" t="s">
        <v>73</v>
      </c>
      <c r="K2187" t="s">
        <v>64</v>
      </c>
      <c r="L2187">
        <v>1</v>
      </c>
      <c r="M2187" s="12">
        <v>120</v>
      </c>
      <c r="N2187" s="12">
        <v>81.599999999999994</v>
      </c>
      <c r="O2187">
        <v>4</v>
      </c>
      <c r="P2187" s="12">
        <v>115.19999999999999</v>
      </c>
      <c r="Q2187" s="12">
        <v>81.599999999999994</v>
      </c>
      <c r="R2187" s="12">
        <v>33.599999999999994</v>
      </c>
      <c r="S2187" t="s">
        <v>1246</v>
      </c>
      <c r="T2187" t="s">
        <v>111</v>
      </c>
      <c r="U2187" t="s">
        <v>1211</v>
      </c>
    </row>
    <row r="2188" spans="1:21" x14ac:dyDescent="0.25">
      <c r="A2188" t="s">
        <v>4222</v>
      </c>
      <c r="B2188" s="8">
        <v>45707</v>
      </c>
      <c r="C2188" t="s">
        <v>1966</v>
      </c>
      <c r="D2188" t="s">
        <v>408</v>
      </c>
      <c r="E2188" t="s">
        <v>198</v>
      </c>
      <c r="F2188">
        <v>42</v>
      </c>
      <c r="G2188" t="s">
        <v>16</v>
      </c>
      <c r="H2188" t="s">
        <v>15</v>
      </c>
      <c r="I2188" t="s">
        <v>32</v>
      </c>
      <c r="J2188" t="s">
        <v>29</v>
      </c>
      <c r="K2188" t="s">
        <v>22</v>
      </c>
      <c r="L2188">
        <v>4</v>
      </c>
      <c r="M2188" s="12">
        <v>9500</v>
      </c>
      <c r="N2188" s="12">
        <v>6650</v>
      </c>
      <c r="O2188">
        <v>7</v>
      </c>
      <c r="P2188" s="12">
        <v>35340</v>
      </c>
      <c r="Q2188" s="12">
        <v>26600</v>
      </c>
      <c r="R2188" s="12">
        <v>8740</v>
      </c>
      <c r="S2188" t="s">
        <v>113</v>
      </c>
      <c r="T2188" t="s">
        <v>107</v>
      </c>
      <c r="U2188" t="s">
        <v>1211</v>
      </c>
    </row>
    <row r="2189" spans="1:21" x14ac:dyDescent="0.25">
      <c r="A2189" t="s">
        <v>4224</v>
      </c>
      <c r="B2189" s="8">
        <v>45821</v>
      </c>
      <c r="C2189" t="s">
        <v>4754</v>
      </c>
      <c r="D2189" t="s">
        <v>969</v>
      </c>
      <c r="E2189" t="s">
        <v>218</v>
      </c>
      <c r="F2189">
        <v>39</v>
      </c>
      <c r="G2189" t="s">
        <v>5</v>
      </c>
      <c r="H2189" t="s">
        <v>3</v>
      </c>
      <c r="I2189" t="s">
        <v>26</v>
      </c>
      <c r="J2189" t="s">
        <v>27</v>
      </c>
      <c r="K2189" t="s">
        <v>22</v>
      </c>
      <c r="L2189">
        <v>1</v>
      </c>
      <c r="M2189" s="12">
        <v>27499</v>
      </c>
      <c r="N2189" s="12">
        <v>23374.149999999998</v>
      </c>
      <c r="O2189">
        <v>6</v>
      </c>
      <c r="P2189" s="12">
        <v>25849.059999999998</v>
      </c>
      <c r="Q2189" s="12">
        <v>23374.149999999998</v>
      </c>
      <c r="R2189" s="12">
        <v>2474.91</v>
      </c>
      <c r="S2189" t="s">
        <v>113</v>
      </c>
      <c r="T2189" t="s">
        <v>108</v>
      </c>
      <c r="U2189" t="s">
        <v>1203</v>
      </c>
    </row>
    <row r="2190" spans="1:21" x14ac:dyDescent="0.25">
      <c r="A2190" t="s">
        <v>4225</v>
      </c>
      <c r="B2190" s="8">
        <v>45997</v>
      </c>
      <c r="C2190" t="s">
        <v>2324</v>
      </c>
      <c r="D2190" t="s">
        <v>1130</v>
      </c>
      <c r="E2190" t="s">
        <v>198</v>
      </c>
      <c r="F2190">
        <v>34</v>
      </c>
      <c r="G2190" t="s">
        <v>17</v>
      </c>
      <c r="H2190" t="s">
        <v>15</v>
      </c>
      <c r="I2190" t="s">
        <v>42</v>
      </c>
      <c r="J2190" t="s">
        <v>44</v>
      </c>
      <c r="K2190" t="s">
        <v>43</v>
      </c>
      <c r="L2190">
        <v>2</v>
      </c>
      <c r="M2190" s="12">
        <v>8999</v>
      </c>
      <c r="N2190" s="12">
        <v>6479.28</v>
      </c>
      <c r="O2190">
        <v>15</v>
      </c>
      <c r="P2190" s="12">
        <v>15298.3</v>
      </c>
      <c r="Q2190" s="12">
        <v>12958.56</v>
      </c>
      <c r="R2190" s="12">
        <v>2339.7399999999998</v>
      </c>
      <c r="S2190" t="s">
        <v>113</v>
      </c>
      <c r="T2190" t="s">
        <v>107</v>
      </c>
      <c r="U2190" t="s">
        <v>1207</v>
      </c>
    </row>
    <row r="2191" spans="1:21" x14ac:dyDescent="0.25">
      <c r="A2191" t="s">
        <v>4226</v>
      </c>
      <c r="B2191" s="8">
        <v>45887</v>
      </c>
      <c r="C2191" t="s">
        <v>1351</v>
      </c>
      <c r="D2191" t="s">
        <v>726</v>
      </c>
      <c r="E2191" t="s">
        <v>198</v>
      </c>
      <c r="F2191">
        <v>54</v>
      </c>
      <c r="G2191" t="s">
        <v>2</v>
      </c>
      <c r="H2191" t="s">
        <v>3</v>
      </c>
      <c r="I2191" t="s">
        <v>45</v>
      </c>
      <c r="J2191" t="s">
        <v>46</v>
      </c>
      <c r="K2191" t="s">
        <v>43</v>
      </c>
      <c r="L2191">
        <v>5</v>
      </c>
      <c r="M2191" s="12">
        <v>11999</v>
      </c>
      <c r="N2191" s="12">
        <v>8999.25</v>
      </c>
      <c r="O2191">
        <v>10</v>
      </c>
      <c r="P2191" s="12">
        <v>53995.5</v>
      </c>
      <c r="Q2191" s="12">
        <v>44996.25</v>
      </c>
      <c r="R2191" s="12">
        <v>8999.25</v>
      </c>
      <c r="S2191" t="s">
        <v>113</v>
      </c>
      <c r="T2191" t="s">
        <v>109</v>
      </c>
      <c r="U2191" t="s">
        <v>1203</v>
      </c>
    </row>
    <row r="2192" spans="1:21" x14ac:dyDescent="0.25">
      <c r="A2192" t="s">
        <v>4227</v>
      </c>
      <c r="B2192" s="8">
        <v>45731</v>
      </c>
      <c r="C2192" t="s">
        <v>5092</v>
      </c>
      <c r="D2192" t="s">
        <v>496</v>
      </c>
      <c r="E2192" t="s">
        <v>198</v>
      </c>
      <c r="F2192">
        <v>64</v>
      </c>
      <c r="G2192" t="s">
        <v>289</v>
      </c>
      <c r="H2192" t="s">
        <v>3</v>
      </c>
      <c r="I2192" t="s">
        <v>26</v>
      </c>
      <c r="J2192" t="s">
        <v>27</v>
      </c>
      <c r="K2192" t="s">
        <v>22</v>
      </c>
      <c r="L2192">
        <v>3</v>
      </c>
      <c r="M2192" s="12">
        <v>27499</v>
      </c>
      <c r="N2192" s="12">
        <v>23374.149999999998</v>
      </c>
      <c r="O2192">
        <v>8</v>
      </c>
      <c r="P2192" s="12">
        <v>75897.240000000005</v>
      </c>
      <c r="Q2192" s="12">
        <v>70122.45</v>
      </c>
      <c r="R2192" s="12">
        <v>5774.7900000000081</v>
      </c>
      <c r="S2192" t="s">
        <v>1246</v>
      </c>
      <c r="T2192" t="s">
        <v>110</v>
      </c>
      <c r="U2192" t="s">
        <v>1203</v>
      </c>
    </row>
    <row r="2193" spans="1:21" x14ac:dyDescent="0.25">
      <c r="A2193" t="s">
        <v>4228</v>
      </c>
      <c r="B2193" s="8">
        <v>45827</v>
      </c>
      <c r="C2193" t="s">
        <v>1628</v>
      </c>
      <c r="D2193" t="s">
        <v>912</v>
      </c>
      <c r="E2193" t="s">
        <v>198</v>
      </c>
      <c r="F2193">
        <v>40</v>
      </c>
      <c r="G2193" t="s">
        <v>10</v>
      </c>
      <c r="H2193" t="s">
        <v>8</v>
      </c>
      <c r="I2193" t="s">
        <v>59</v>
      </c>
      <c r="J2193" t="s">
        <v>73</v>
      </c>
      <c r="K2193" t="s">
        <v>64</v>
      </c>
      <c r="L2193">
        <v>4</v>
      </c>
      <c r="M2193" s="12">
        <v>120</v>
      </c>
      <c r="N2193" s="12">
        <v>81.599999999999994</v>
      </c>
      <c r="O2193">
        <v>15</v>
      </c>
      <c r="P2193" s="12">
        <v>408</v>
      </c>
      <c r="Q2193" s="12">
        <v>326.39999999999998</v>
      </c>
      <c r="R2193" s="12">
        <v>81.600000000000023</v>
      </c>
      <c r="S2193" t="s">
        <v>1246</v>
      </c>
      <c r="T2193" t="s">
        <v>107</v>
      </c>
      <c r="U2193" t="s">
        <v>1198</v>
      </c>
    </row>
    <row r="2194" spans="1:21" x14ac:dyDescent="0.25">
      <c r="A2194" t="s">
        <v>4229</v>
      </c>
      <c r="B2194" s="8">
        <v>45879</v>
      </c>
      <c r="C2194" t="s">
        <v>1787</v>
      </c>
      <c r="D2194" t="s">
        <v>833</v>
      </c>
      <c r="E2194" t="s">
        <v>218</v>
      </c>
      <c r="F2194">
        <v>21</v>
      </c>
      <c r="G2194" t="s">
        <v>10</v>
      </c>
      <c r="H2194" t="s">
        <v>8</v>
      </c>
      <c r="I2194" t="s">
        <v>61</v>
      </c>
      <c r="J2194" t="s">
        <v>146</v>
      </c>
      <c r="K2194" t="s">
        <v>64</v>
      </c>
      <c r="L2194">
        <v>5</v>
      </c>
      <c r="M2194" s="12">
        <v>250</v>
      </c>
      <c r="N2194" s="12">
        <v>155</v>
      </c>
      <c r="O2194">
        <v>2</v>
      </c>
      <c r="P2194" s="12">
        <v>1225</v>
      </c>
      <c r="Q2194" s="12">
        <v>775</v>
      </c>
      <c r="R2194" s="12">
        <v>450</v>
      </c>
      <c r="S2194" t="s">
        <v>1246</v>
      </c>
      <c r="T2194" t="s">
        <v>107</v>
      </c>
      <c r="U2194" t="s">
        <v>1203</v>
      </c>
    </row>
    <row r="2195" spans="1:21" x14ac:dyDescent="0.25">
      <c r="A2195" t="s">
        <v>4231</v>
      </c>
      <c r="B2195" s="8">
        <v>45803</v>
      </c>
      <c r="C2195" t="s">
        <v>1255</v>
      </c>
      <c r="D2195" t="s">
        <v>864</v>
      </c>
      <c r="E2195" t="s">
        <v>218</v>
      </c>
      <c r="F2195">
        <v>61</v>
      </c>
      <c r="G2195" t="s">
        <v>4</v>
      </c>
      <c r="H2195" t="s">
        <v>3</v>
      </c>
      <c r="I2195" t="s">
        <v>57</v>
      </c>
      <c r="J2195" t="s">
        <v>67</v>
      </c>
      <c r="K2195" t="s">
        <v>64</v>
      </c>
      <c r="L2195">
        <v>4</v>
      </c>
      <c r="M2195" s="12">
        <v>150</v>
      </c>
      <c r="N2195" s="12">
        <v>97.5</v>
      </c>
      <c r="O2195">
        <v>11</v>
      </c>
      <c r="P2195" s="12">
        <v>534</v>
      </c>
      <c r="Q2195" s="12">
        <v>390</v>
      </c>
      <c r="R2195" s="12">
        <v>144</v>
      </c>
      <c r="S2195" t="s">
        <v>113</v>
      </c>
      <c r="T2195" t="s">
        <v>107</v>
      </c>
      <c r="U2195" t="s">
        <v>1205</v>
      </c>
    </row>
    <row r="2196" spans="1:21" x14ac:dyDescent="0.25">
      <c r="A2196" t="s">
        <v>4232</v>
      </c>
      <c r="B2196" s="8">
        <v>45683</v>
      </c>
      <c r="C2196" t="s">
        <v>1923</v>
      </c>
      <c r="D2196" t="s">
        <v>426</v>
      </c>
      <c r="E2196" t="s">
        <v>198</v>
      </c>
      <c r="F2196">
        <v>46</v>
      </c>
      <c r="G2196" t="s">
        <v>4</v>
      </c>
      <c r="H2196" t="s">
        <v>3</v>
      </c>
      <c r="I2196" t="s">
        <v>55</v>
      </c>
      <c r="J2196" t="s">
        <v>65</v>
      </c>
      <c r="K2196" t="s">
        <v>64</v>
      </c>
      <c r="L2196">
        <v>4</v>
      </c>
      <c r="M2196" s="12">
        <v>80</v>
      </c>
      <c r="N2196" s="12">
        <v>56</v>
      </c>
      <c r="O2196">
        <v>11</v>
      </c>
      <c r="P2196" s="12">
        <v>284.8</v>
      </c>
      <c r="Q2196" s="12">
        <v>224</v>
      </c>
      <c r="R2196" s="12">
        <v>60.800000000000011</v>
      </c>
      <c r="S2196" t="s">
        <v>113</v>
      </c>
      <c r="T2196" t="s">
        <v>107</v>
      </c>
      <c r="U2196" t="s">
        <v>1198</v>
      </c>
    </row>
    <row r="2197" spans="1:21" x14ac:dyDescent="0.25">
      <c r="A2197" t="s">
        <v>4233</v>
      </c>
      <c r="B2197" s="8">
        <v>45974</v>
      </c>
      <c r="C2197" t="s">
        <v>2852</v>
      </c>
      <c r="D2197" t="s">
        <v>1008</v>
      </c>
      <c r="E2197" t="s">
        <v>198</v>
      </c>
      <c r="F2197">
        <v>56</v>
      </c>
      <c r="G2197" t="s">
        <v>290</v>
      </c>
      <c r="H2197" t="s">
        <v>3</v>
      </c>
      <c r="I2197" t="s">
        <v>24</v>
      </c>
      <c r="J2197" t="s">
        <v>25</v>
      </c>
      <c r="K2197" t="s">
        <v>22</v>
      </c>
      <c r="L2197">
        <v>4</v>
      </c>
      <c r="M2197" s="12">
        <v>35800</v>
      </c>
      <c r="N2197" s="12">
        <v>28640</v>
      </c>
      <c r="O2197">
        <v>17</v>
      </c>
      <c r="P2197" s="12">
        <v>118856</v>
      </c>
      <c r="Q2197" s="12">
        <v>114560</v>
      </c>
      <c r="R2197" s="12">
        <v>4296</v>
      </c>
      <c r="S2197" t="s">
        <v>113</v>
      </c>
      <c r="T2197" t="s">
        <v>109</v>
      </c>
      <c r="U2197" t="s">
        <v>1194</v>
      </c>
    </row>
    <row r="2198" spans="1:21" x14ac:dyDescent="0.25">
      <c r="A2198" t="s">
        <v>4234</v>
      </c>
      <c r="B2198" s="8">
        <v>45929</v>
      </c>
      <c r="C2198" t="s">
        <v>3159</v>
      </c>
      <c r="D2198" t="s">
        <v>1065</v>
      </c>
      <c r="E2198" t="s">
        <v>198</v>
      </c>
      <c r="F2198">
        <v>50</v>
      </c>
      <c r="G2198" t="s">
        <v>7</v>
      </c>
      <c r="H2198" t="s">
        <v>8</v>
      </c>
      <c r="I2198" t="s">
        <v>61</v>
      </c>
      <c r="J2198" t="s">
        <v>146</v>
      </c>
      <c r="K2198" t="s">
        <v>64</v>
      </c>
      <c r="L2198">
        <v>3</v>
      </c>
      <c r="M2198" s="12">
        <v>250</v>
      </c>
      <c r="N2198" s="12">
        <v>155</v>
      </c>
      <c r="O2198">
        <v>1</v>
      </c>
      <c r="P2198" s="12">
        <v>742.5</v>
      </c>
      <c r="Q2198" s="12">
        <v>465</v>
      </c>
      <c r="R2198" s="12">
        <v>277.5</v>
      </c>
      <c r="S2198" t="s">
        <v>113</v>
      </c>
      <c r="T2198" t="s">
        <v>107</v>
      </c>
      <c r="U2198" t="s">
        <v>1205</v>
      </c>
    </row>
    <row r="2199" spans="1:21" x14ac:dyDescent="0.25">
      <c r="A2199" t="s">
        <v>4235</v>
      </c>
      <c r="B2199" s="8">
        <v>45824</v>
      </c>
      <c r="C2199" t="s">
        <v>4374</v>
      </c>
      <c r="D2199" t="s">
        <v>791</v>
      </c>
      <c r="E2199" t="s">
        <v>198</v>
      </c>
      <c r="F2199">
        <v>21</v>
      </c>
      <c r="G2199" t="s">
        <v>16</v>
      </c>
      <c r="H2199" t="s">
        <v>15</v>
      </c>
      <c r="I2199" t="s">
        <v>61</v>
      </c>
      <c r="J2199" t="s">
        <v>146</v>
      </c>
      <c r="K2199" t="s">
        <v>64</v>
      </c>
      <c r="L2199">
        <v>4</v>
      </c>
      <c r="M2199" s="12">
        <v>250</v>
      </c>
      <c r="N2199" s="12">
        <v>155</v>
      </c>
      <c r="O2199">
        <v>15</v>
      </c>
      <c r="P2199" s="12">
        <v>850</v>
      </c>
      <c r="Q2199" s="12">
        <v>620</v>
      </c>
      <c r="R2199" s="12">
        <v>230</v>
      </c>
      <c r="S2199" t="s">
        <v>1246</v>
      </c>
      <c r="T2199" t="s">
        <v>107</v>
      </c>
      <c r="U2199" t="s">
        <v>1211</v>
      </c>
    </row>
    <row r="2200" spans="1:21" x14ac:dyDescent="0.25">
      <c r="A2200" t="s">
        <v>4236</v>
      </c>
      <c r="B2200" s="8">
        <v>45973</v>
      </c>
      <c r="C2200" t="s">
        <v>2620</v>
      </c>
      <c r="D2200" t="s">
        <v>542</v>
      </c>
      <c r="E2200" t="s">
        <v>198</v>
      </c>
      <c r="F2200">
        <v>43</v>
      </c>
      <c r="G2200" t="s">
        <v>14</v>
      </c>
      <c r="H2200" t="s">
        <v>15</v>
      </c>
      <c r="I2200" t="s">
        <v>57</v>
      </c>
      <c r="J2200" t="s">
        <v>67</v>
      </c>
      <c r="K2200" t="s">
        <v>64</v>
      </c>
      <c r="L2200">
        <v>2</v>
      </c>
      <c r="M2200" s="12">
        <v>150</v>
      </c>
      <c r="N2200" s="12">
        <v>97.5</v>
      </c>
      <c r="O2200">
        <v>8</v>
      </c>
      <c r="P2200" s="12">
        <v>276</v>
      </c>
      <c r="Q2200" s="12">
        <v>195</v>
      </c>
      <c r="R2200" s="12">
        <v>81</v>
      </c>
      <c r="S2200" t="s">
        <v>1246</v>
      </c>
      <c r="T2200" t="s">
        <v>109</v>
      </c>
      <c r="U2200" t="s">
        <v>1196</v>
      </c>
    </row>
    <row r="2201" spans="1:21" x14ac:dyDescent="0.25">
      <c r="A2201" t="s">
        <v>4237</v>
      </c>
      <c r="B2201" s="8">
        <v>45817</v>
      </c>
      <c r="C2201" t="s">
        <v>1914</v>
      </c>
      <c r="D2201" t="s">
        <v>678</v>
      </c>
      <c r="E2201" t="s">
        <v>198</v>
      </c>
      <c r="F2201">
        <v>47</v>
      </c>
      <c r="G2201" t="s">
        <v>14</v>
      </c>
      <c r="H2201" t="s">
        <v>15</v>
      </c>
      <c r="I2201" t="s">
        <v>36</v>
      </c>
      <c r="J2201" t="s">
        <v>136</v>
      </c>
      <c r="K2201" t="s">
        <v>22</v>
      </c>
      <c r="L2201">
        <v>3</v>
      </c>
      <c r="M2201" s="12">
        <v>3590</v>
      </c>
      <c r="N2201" s="12">
        <v>2333.5</v>
      </c>
      <c r="O2201">
        <v>6</v>
      </c>
      <c r="P2201" s="12">
        <v>10123.799999999999</v>
      </c>
      <c r="Q2201" s="12">
        <v>7000.5</v>
      </c>
      <c r="R2201" s="12">
        <v>3123.2999999999993</v>
      </c>
      <c r="S2201" t="s">
        <v>1246</v>
      </c>
      <c r="T2201" t="s">
        <v>108</v>
      </c>
      <c r="U2201" t="s">
        <v>1194</v>
      </c>
    </row>
    <row r="2202" spans="1:21" x14ac:dyDescent="0.25">
      <c r="A2202" t="s">
        <v>4238</v>
      </c>
      <c r="B2202" s="8">
        <v>45872</v>
      </c>
      <c r="C2202" t="s">
        <v>5044</v>
      </c>
      <c r="D2202" t="s">
        <v>1104</v>
      </c>
      <c r="E2202" t="s">
        <v>218</v>
      </c>
      <c r="F2202">
        <v>35</v>
      </c>
      <c r="G2202" t="s">
        <v>17</v>
      </c>
      <c r="H2202" t="s">
        <v>15</v>
      </c>
      <c r="I2202" t="s">
        <v>21</v>
      </c>
      <c r="J2202" t="s">
        <v>23</v>
      </c>
      <c r="K2202" t="s">
        <v>22</v>
      </c>
      <c r="L2202">
        <v>2</v>
      </c>
      <c r="M2202" s="12">
        <v>54999</v>
      </c>
      <c r="N2202" s="12">
        <v>45099.18</v>
      </c>
      <c r="O2202">
        <v>5</v>
      </c>
      <c r="P2202" s="12">
        <v>104498.09999999999</v>
      </c>
      <c r="Q2202" s="12">
        <v>90198.36</v>
      </c>
      <c r="R2202" s="12">
        <v>14299.739999999991</v>
      </c>
      <c r="S2202" t="s">
        <v>1246</v>
      </c>
      <c r="T2202" t="s">
        <v>110</v>
      </c>
      <c r="U2202" t="s">
        <v>1205</v>
      </c>
    </row>
    <row r="2203" spans="1:21" x14ac:dyDescent="0.25">
      <c r="A2203" t="s">
        <v>4239</v>
      </c>
      <c r="B2203" s="8">
        <v>45946</v>
      </c>
      <c r="C2203" t="s">
        <v>1841</v>
      </c>
      <c r="D2203" t="s">
        <v>1140</v>
      </c>
      <c r="E2203" t="s">
        <v>218</v>
      </c>
      <c r="F2203">
        <v>21</v>
      </c>
      <c r="G2203" t="s">
        <v>290</v>
      </c>
      <c r="H2203" t="s">
        <v>3</v>
      </c>
      <c r="I2203" t="s">
        <v>34</v>
      </c>
      <c r="J2203" t="s">
        <v>137</v>
      </c>
      <c r="K2203" t="s">
        <v>22</v>
      </c>
      <c r="L2203">
        <v>1</v>
      </c>
      <c r="M2203" s="12">
        <v>6900</v>
      </c>
      <c r="N2203" s="12">
        <v>5727</v>
      </c>
      <c r="O2203">
        <v>7</v>
      </c>
      <c r="P2203" s="12">
        <v>6417</v>
      </c>
      <c r="Q2203" s="12">
        <v>5727</v>
      </c>
      <c r="R2203" s="12">
        <v>690</v>
      </c>
      <c r="S2203" t="s">
        <v>1246</v>
      </c>
      <c r="T2203" t="s">
        <v>107</v>
      </c>
      <c r="U2203" t="s">
        <v>1203</v>
      </c>
    </row>
    <row r="2204" spans="1:21" x14ac:dyDescent="0.25">
      <c r="A2204" t="s">
        <v>4240</v>
      </c>
      <c r="B2204" s="8">
        <v>45887</v>
      </c>
      <c r="C2204" t="s">
        <v>4614</v>
      </c>
      <c r="D2204" t="s">
        <v>1073</v>
      </c>
      <c r="E2204" t="s">
        <v>198</v>
      </c>
      <c r="F2204">
        <v>37</v>
      </c>
      <c r="G2204" t="s">
        <v>10</v>
      </c>
      <c r="H2204" t="s">
        <v>8</v>
      </c>
      <c r="I2204" t="s">
        <v>32</v>
      </c>
      <c r="J2204" t="s">
        <v>29</v>
      </c>
      <c r="K2204" t="s">
        <v>22</v>
      </c>
      <c r="L2204">
        <v>4</v>
      </c>
      <c r="M2204" s="12">
        <v>9500</v>
      </c>
      <c r="N2204" s="12">
        <v>6650</v>
      </c>
      <c r="O2204">
        <v>7</v>
      </c>
      <c r="P2204" s="12">
        <v>35340</v>
      </c>
      <c r="Q2204" s="12">
        <v>26600</v>
      </c>
      <c r="R2204" s="12">
        <v>8740</v>
      </c>
      <c r="S2204" t="s">
        <v>1246</v>
      </c>
      <c r="T2204" t="s">
        <v>108</v>
      </c>
      <c r="U2204" t="s">
        <v>1198</v>
      </c>
    </row>
    <row r="2205" spans="1:21" x14ac:dyDescent="0.25">
      <c r="A2205" t="s">
        <v>4241</v>
      </c>
      <c r="B2205" s="8">
        <v>45752</v>
      </c>
      <c r="C2205" t="s">
        <v>2625</v>
      </c>
      <c r="D2205" t="s">
        <v>798</v>
      </c>
      <c r="E2205" t="s">
        <v>218</v>
      </c>
      <c r="F2205">
        <v>43</v>
      </c>
      <c r="G2205" t="s">
        <v>14</v>
      </c>
      <c r="H2205" t="s">
        <v>15</v>
      </c>
      <c r="I2205" t="s">
        <v>42</v>
      </c>
      <c r="J2205" t="s">
        <v>44</v>
      </c>
      <c r="K2205" t="s">
        <v>43</v>
      </c>
      <c r="L2205">
        <v>3</v>
      </c>
      <c r="M2205" s="12">
        <v>8999</v>
      </c>
      <c r="N2205" s="12">
        <v>6479.28</v>
      </c>
      <c r="O2205">
        <v>7</v>
      </c>
      <c r="P2205" s="12">
        <v>25107.21</v>
      </c>
      <c r="Q2205" s="12">
        <v>19437.84</v>
      </c>
      <c r="R2205" s="12">
        <v>5669.369999999999</v>
      </c>
      <c r="S2205" t="s">
        <v>1246</v>
      </c>
      <c r="T2205" t="s">
        <v>108</v>
      </c>
      <c r="U2205" t="s">
        <v>1199</v>
      </c>
    </row>
    <row r="2206" spans="1:21" x14ac:dyDescent="0.25">
      <c r="A2206" t="s">
        <v>4242</v>
      </c>
      <c r="B2206" s="8">
        <v>45667</v>
      </c>
      <c r="C2206" t="s">
        <v>1295</v>
      </c>
      <c r="D2206" t="s">
        <v>404</v>
      </c>
      <c r="E2206" t="s">
        <v>198</v>
      </c>
      <c r="F2206">
        <v>31</v>
      </c>
      <c r="G2206" t="s">
        <v>289</v>
      </c>
      <c r="H2206" t="s">
        <v>3</v>
      </c>
      <c r="I2206" t="s">
        <v>24</v>
      </c>
      <c r="J2206" t="s">
        <v>25</v>
      </c>
      <c r="K2206" t="s">
        <v>22</v>
      </c>
      <c r="L2206">
        <v>3</v>
      </c>
      <c r="M2206" s="12">
        <v>35800</v>
      </c>
      <c r="N2206" s="12">
        <v>28640</v>
      </c>
      <c r="O2206">
        <v>8</v>
      </c>
      <c r="P2206" s="12">
        <v>98808</v>
      </c>
      <c r="Q2206" s="12">
        <v>85920</v>
      </c>
      <c r="R2206" s="12">
        <v>12888</v>
      </c>
      <c r="S2206" t="s">
        <v>1246</v>
      </c>
      <c r="T2206" t="s">
        <v>109</v>
      </c>
      <c r="U2206" t="s">
        <v>1211</v>
      </c>
    </row>
    <row r="2207" spans="1:21" x14ac:dyDescent="0.25">
      <c r="A2207" t="s">
        <v>4243</v>
      </c>
      <c r="B2207" s="8">
        <v>45785</v>
      </c>
      <c r="C2207" t="s">
        <v>1692</v>
      </c>
      <c r="D2207" t="s">
        <v>988</v>
      </c>
      <c r="E2207" t="s">
        <v>218</v>
      </c>
      <c r="F2207">
        <v>49</v>
      </c>
      <c r="G2207" t="s">
        <v>289</v>
      </c>
      <c r="H2207" t="s">
        <v>3</v>
      </c>
      <c r="I2207" t="s">
        <v>24</v>
      </c>
      <c r="J2207" t="s">
        <v>25</v>
      </c>
      <c r="K2207" t="s">
        <v>22</v>
      </c>
      <c r="L2207">
        <v>2</v>
      </c>
      <c r="M2207" s="12">
        <v>35800</v>
      </c>
      <c r="N2207" s="12">
        <v>28640</v>
      </c>
      <c r="O2207">
        <v>8</v>
      </c>
      <c r="P2207" s="12">
        <v>65872</v>
      </c>
      <c r="Q2207" s="12">
        <v>57280</v>
      </c>
      <c r="R2207" s="12">
        <v>8592</v>
      </c>
      <c r="S2207" t="s">
        <v>113</v>
      </c>
      <c r="T2207" t="s">
        <v>109</v>
      </c>
      <c r="U2207" t="s">
        <v>1198</v>
      </c>
    </row>
    <row r="2208" spans="1:21" x14ac:dyDescent="0.25">
      <c r="A2208" t="s">
        <v>4244</v>
      </c>
      <c r="B2208" s="8">
        <v>45864</v>
      </c>
      <c r="C2208" t="s">
        <v>1843</v>
      </c>
      <c r="D2208" t="s">
        <v>985</v>
      </c>
      <c r="E2208" t="s">
        <v>218</v>
      </c>
      <c r="F2208">
        <v>21</v>
      </c>
      <c r="G2208" t="s">
        <v>7</v>
      </c>
      <c r="H2208" t="s">
        <v>8</v>
      </c>
      <c r="I2208" t="s">
        <v>57</v>
      </c>
      <c r="J2208" t="s">
        <v>67</v>
      </c>
      <c r="K2208" t="s">
        <v>64</v>
      </c>
      <c r="L2208">
        <v>5</v>
      </c>
      <c r="M2208" s="12">
        <v>150</v>
      </c>
      <c r="N2208" s="12">
        <v>97.5</v>
      </c>
      <c r="O2208">
        <v>3</v>
      </c>
      <c r="P2208" s="12">
        <v>727.5</v>
      </c>
      <c r="Q2208" s="12">
        <v>487.5</v>
      </c>
      <c r="R2208" s="12">
        <v>240</v>
      </c>
      <c r="S2208" t="s">
        <v>1246</v>
      </c>
      <c r="T2208" t="s">
        <v>108</v>
      </c>
      <c r="U2208" t="s">
        <v>1196</v>
      </c>
    </row>
    <row r="2209" spans="1:21" x14ac:dyDescent="0.25">
      <c r="A2209" t="s">
        <v>4245</v>
      </c>
      <c r="B2209" s="8">
        <v>45742</v>
      </c>
      <c r="C2209" t="s">
        <v>2322</v>
      </c>
      <c r="D2209" t="s">
        <v>1151</v>
      </c>
      <c r="E2209" t="s">
        <v>198</v>
      </c>
      <c r="F2209">
        <v>38</v>
      </c>
      <c r="G2209" t="s">
        <v>14</v>
      </c>
      <c r="H2209" t="s">
        <v>15</v>
      </c>
      <c r="I2209" t="s">
        <v>28</v>
      </c>
      <c r="J2209" t="s">
        <v>35</v>
      </c>
      <c r="K2209" t="s">
        <v>22</v>
      </c>
      <c r="L2209">
        <v>3</v>
      </c>
      <c r="M2209" s="12">
        <v>16499</v>
      </c>
      <c r="N2209" s="12">
        <v>14519.12</v>
      </c>
      <c r="O2209">
        <v>7</v>
      </c>
      <c r="P2209" s="12">
        <v>46032.21</v>
      </c>
      <c r="Q2209" s="12">
        <v>43557.36</v>
      </c>
      <c r="R2209" s="12">
        <v>2474.8499999999985</v>
      </c>
      <c r="S2209" t="s">
        <v>1246</v>
      </c>
      <c r="T2209" t="s">
        <v>108</v>
      </c>
      <c r="U2209" t="s">
        <v>1196</v>
      </c>
    </row>
    <row r="2210" spans="1:21" x14ac:dyDescent="0.25">
      <c r="A2210" t="s">
        <v>4246</v>
      </c>
      <c r="B2210" s="8">
        <v>45805</v>
      </c>
      <c r="C2210" t="s">
        <v>3101</v>
      </c>
      <c r="D2210" t="s">
        <v>366</v>
      </c>
      <c r="E2210" t="s">
        <v>198</v>
      </c>
      <c r="F2210">
        <v>23</v>
      </c>
      <c r="G2210" t="s">
        <v>4</v>
      </c>
      <c r="H2210" t="s">
        <v>3</v>
      </c>
      <c r="I2210" t="s">
        <v>21</v>
      </c>
      <c r="J2210" t="s">
        <v>23</v>
      </c>
      <c r="K2210" t="s">
        <v>22</v>
      </c>
      <c r="L2210">
        <v>2</v>
      </c>
      <c r="M2210" s="12">
        <v>54999</v>
      </c>
      <c r="N2210" s="12">
        <v>45099.18</v>
      </c>
      <c r="O2210">
        <v>10</v>
      </c>
      <c r="P2210" s="12">
        <v>98998.2</v>
      </c>
      <c r="Q2210" s="12">
        <v>90198.36</v>
      </c>
      <c r="R2210" s="12">
        <v>8799.8399999999965</v>
      </c>
      <c r="S2210" t="s">
        <v>1246</v>
      </c>
      <c r="T2210" t="s">
        <v>107</v>
      </c>
      <c r="U2210" t="s">
        <v>1194</v>
      </c>
    </row>
    <row r="2211" spans="1:21" x14ac:dyDescent="0.25">
      <c r="A2211" t="s">
        <v>4247</v>
      </c>
      <c r="B2211" s="8">
        <v>45957</v>
      </c>
      <c r="C2211" t="s">
        <v>3502</v>
      </c>
      <c r="D2211" t="s">
        <v>1045</v>
      </c>
      <c r="E2211" t="s">
        <v>198</v>
      </c>
      <c r="F2211">
        <v>23</v>
      </c>
      <c r="G2211" t="s">
        <v>10</v>
      </c>
      <c r="H2211" t="s">
        <v>8</v>
      </c>
      <c r="I2211" t="s">
        <v>63</v>
      </c>
      <c r="J2211" t="s">
        <v>77</v>
      </c>
      <c r="K2211" t="s">
        <v>64</v>
      </c>
      <c r="L2211">
        <v>3</v>
      </c>
      <c r="M2211" s="12">
        <v>650</v>
      </c>
      <c r="N2211" s="12">
        <v>468</v>
      </c>
      <c r="O2211">
        <v>4</v>
      </c>
      <c r="P2211" s="12">
        <v>1872</v>
      </c>
      <c r="Q2211" s="12">
        <v>1404</v>
      </c>
      <c r="R2211" s="12">
        <v>468</v>
      </c>
      <c r="S2211" t="s">
        <v>113</v>
      </c>
      <c r="T2211" t="s">
        <v>108</v>
      </c>
      <c r="U2211" t="s">
        <v>1201</v>
      </c>
    </row>
    <row r="2212" spans="1:21" x14ac:dyDescent="0.25">
      <c r="A2212" t="s">
        <v>4248</v>
      </c>
      <c r="B2212" s="8">
        <v>45795</v>
      </c>
      <c r="C2212" t="s">
        <v>1642</v>
      </c>
      <c r="D2212" t="s">
        <v>1129</v>
      </c>
      <c r="E2212" t="s">
        <v>198</v>
      </c>
      <c r="F2212">
        <v>47</v>
      </c>
      <c r="G2212" t="s">
        <v>11</v>
      </c>
      <c r="H2212" t="s">
        <v>12</v>
      </c>
      <c r="I2212" t="s">
        <v>32</v>
      </c>
      <c r="J2212" t="s">
        <v>29</v>
      </c>
      <c r="K2212" t="s">
        <v>22</v>
      </c>
      <c r="L2212">
        <v>5</v>
      </c>
      <c r="M2212" s="12">
        <v>9500</v>
      </c>
      <c r="N2212" s="12">
        <v>6650</v>
      </c>
      <c r="O2212">
        <v>10</v>
      </c>
      <c r="P2212" s="12">
        <v>42750</v>
      </c>
      <c r="Q2212" s="12">
        <v>33250</v>
      </c>
      <c r="R2212" s="12">
        <v>9500</v>
      </c>
      <c r="S2212" t="s">
        <v>113</v>
      </c>
      <c r="T2212" t="s">
        <v>110</v>
      </c>
      <c r="U2212" t="s">
        <v>1201</v>
      </c>
    </row>
    <row r="2213" spans="1:21" x14ac:dyDescent="0.25">
      <c r="A2213" t="s">
        <v>4249</v>
      </c>
      <c r="B2213" s="8">
        <v>45883</v>
      </c>
      <c r="C2213" t="s">
        <v>2969</v>
      </c>
      <c r="D2213" t="s">
        <v>539</v>
      </c>
      <c r="E2213" t="s">
        <v>218</v>
      </c>
      <c r="F2213">
        <v>27</v>
      </c>
      <c r="G2213" t="s">
        <v>11</v>
      </c>
      <c r="H2213" t="s">
        <v>12</v>
      </c>
      <c r="I2213" t="s">
        <v>28</v>
      </c>
      <c r="J2213" t="s">
        <v>35</v>
      </c>
      <c r="K2213" t="s">
        <v>22</v>
      </c>
      <c r="L2213">
        <v>5</v>
      </c>
      <c r="M2213" s="12">
        <v>16499</v>
      </c>
      <c r="N2213" s="12">
        <v>14519.12</v>
      </c>
      <c r="O2213">
        <v>7</v>
      </c>
      <c r="P2213" s="12">
        <v>76720.349999999991</v>
      </c>
      <c r="Q2213" s="12">
        <v>72595.600000000006</v>
      </c>
      <c r="R2213" s="12">
        <v>4124.7499999999854</v>
      </c>
      <c r="S2213" t="s">
        <v>1246</v>
      </c>
      <c r="T2213" t="s">
        <v>107</v>
      </c>
      <c r="U2213" t="s">
        <v>1194</v>
      </c>
    </row>
    <row r="2214" spans="1:21" x14ac:dyDescent="0.25">
      <c r="A2214" t="s">
        <v>4250</v>
      </c>
      <c r="B2214" s="8">
        <v>45857</v>
      </c>
      <c r="C2214" t="s">
        <v>1973</v>
      </c>
      <c r="D2214" t="s">
        <v>997</v>
      </c>
      <c r="E2214" t="s">
        <v>198</v>
      </c>
      <c r="F2214">
        <v>42</v>
      </c>
      <c r="G2214" t="s">
        <v>11</v>
      </c>
      <c r="H2214" t="s">
        <v>12</v>
      </c>
      <c r="I2214" t="s">
        <v>47</v>
      </c>
      <c r="J2214" t="s">
        <v>52</v>
      </c>
      <c r="K2214" t="s">
        <v>43</v>
      </c>
      <c r="L2214">
        <v>4</v>
      </c>
      <c r="M2214" s="12">
        <v>42999</v>
      </c>
      <c r="N2214" s="12">
        <v>33539.22</v>
      </c>
      <c r="O2214">
        <v>6</v>
      </c>
      <c r="P2214" s="12">
        <v>161676.24</v>
      </c>
      <c r="Q2214" s="12">
        <v>134156.88</v>
      </c>
      <c r="R2214" s="12">
        <v>27519.359999999986</v>
      </c>
      <c r="S2214" t="s">
        <v>113</v>
      </c>
      <c r="T2214" t="s">
        <v>111</v>
      </c>
      <c r="U2214" t="s">
        <v>1205</v>
      </c>
    </row>
    <row r="2215" spans="1:21" x14ac:dyDescent="0.25">
      <c r="A2215" t="s">
        <v>4251</v>
      </c>
      <c r="B2215" s="8">
        <v>45712</v>
      </c>
      <c r="C2215" t="s">
        <v>3089</v>
      </c>
      <c r="D2215" t="s">
        <v>745</v>
      </c>
      <c r="E2215" t="s">
        <v>198</v>
      </c>
      <c r="F2215">
        <v>35</v>
      </c>
      <c r="G2215" t="s">
        <v>14</v>
      </c>
      <c r="H2215" t="s">
        <v>15</v>
      </c>
      <c r="I2215" t="s">
        <v>59</v>
      </c>
      <c r="J2215" t="s">
        <v>73</v>
      </c>
      <c r="K2215" t="s">
        <v>64</v>
      </c>
      <c r="L2215">
        <v>1</v>
      </c>
      <c r="M2215" s="12">
        <v>120</v>
      </c>
      <c r="N2215" s="12">
        <v>81.599999999999994</v>
      </c>
      <c r="O2215">
        <v>5</v>
      </c>
      <c r="P2215" s="12">
        <v>114</v>
      </c>
      <c r="Q2215" s="12">
        <v>81.599999999999994</v>
      </c>
      <c r="R2215" s="12">
        <v>32.400000000000006</v>
      </c>
      <c r="S2215" t="s">
        <v>1249</v>
      </c>
      <c r="T2215" t="s">
        <v>108</v>
      </c>
      <c r="U2215" t="s">
        <v>1203</v>
      </c>
    </row>
    <row r="2216" spans="1:21" x14ac:dyDescent="0.25">
      <c r="A2216" t="s">
        <v>4252</v>
      </c>
      <c r="B2216" s="8">
        <v>45708</v>
      </c>
      <c r="C2216" t="s">
        <v>2454</v>
      </c>
      <c r="D2216" t="s">
        <v>478</v>
      </c>
      <c r="E2216" t="s">
        <v>198</v>
      </c>
      <c r="F2216">
        <v>42</v>
      </c>
      <c r="G2216" t="s">
        <v>10</v>
      </c>
      <c r="H2216" t="s">
        <v>8</v>
      </c>
      <c r="I2216" t="s">
        <v>28</v>
      </c>
      <c r="J2216" t="s">
        <v>35</v>
      </c>
      <c r="K2216" t="s">
        <v>22</v>
      </c>
      <c r="L2216">
        <v>2</v>
      </c>
      <c r="M2216" s="12">
        <v>16499</v>
      </c>
      <c r="N2216" s="12">
        <v>14519.12</v>
      </c>
      <c r="O2216">
        <v>7</v>
      </c>
      <c r="P2216" s="12">
        <v>30688.14</v>
      </c>
      <c r="Q2216" s="12">
        <v>29038.240000000002</v>
      </c>
      <c r="R2216" s="12">
        <v>1649.8999999999978</v>
      </c>
      <c r="S2216" t="s">
        <v>1246</v>
      </c>
      <c r="T2216" t="s">
        <v>109</v>
      </c>
      <c r="U2216" t="s">
        <v>1201</v>
      </c>
    </row>
    <row r="2217" spans="1:21" x14ac:dyDescent="0.25">
      <c r="A2217" t="s">
        <v>4253</v>
      </c>
      <c r="B2217" s="8">
        <v>45800</v>
      </c>
      <c r="C2217" t="s">
        <v>2300</v>
      </c>
      <c r="D2217" t="s">
        <v>940</v>
      </c>
      <c r="E2217" t="s">
        <v>198</v>
      </c>
      <c r="F2217">
        <v>55</v>
      </c>
      <c r="G2217" t="s">
        <v>9</v>
      </c>
      <c r="H2217" t="s">
        <v>8</v>
      </c>
      <c r="I2217" t="s">
        <v>53</v>
      </c>
      <c r="J2217" t="s">
        <v>48</v>
      </c>
      <c r="K2217" t="s">
        <v>43</v>
      </c>
      <c r="L2217">
        <v>5</v>
      </c>
      <c r="M2217" s="12">
        <v>6499</v>
      </c>
      <c r="N2217" s="12">
        <v>4549.2999999999993</v>
      </c>
      <c r="O2217">
        <v>2</v>
      </c>
      <c r="P2217" s="12">
        <v>31845.1</v>
      </c>
      <c r="Q2217" s="12">
        <v>22746.499999999996</v>
      </c>
      <c r="R2217" s="12">
        <v>9098.6000000000022</v>
      </c>
      <c r="S2217" t="s">
        <v>113</v>
      </c>
      <c r="T2217" t="s">
        <v>107</v>
      </c>
      <c r="U2217" t="s">
        <v>1211</v>
      </c>
    </row>
    <row r="2218" spans="1:21" x14ac:dyDescent="0.25">
      <c r="A2218" t="s">
        <v>4254</v>
      </c>
      <c r="B2218" s="8">
        <v>45850</v>
      </c>
      <c r="C2218" t="s">
        <v>1464</v>
      </c>
      <c r="D2218" t="s">
        <v>897</v>
      </c>
      <c r="E2218" t="s">
        <v>218</v>
      </c>
      <c r="F2218">
        <v>55</v>
      </c>
      <c r="G2218" t="s">
        <v>17</v>
      </c>
      <c r="H2218" t="s">
        <v>15</v>
      </c>
      <c r="I2218" t="s">
        <v>49</v>
      </c>
      <c r="J2218" t="s">
        <v>56</v>
      </c>
      <c r="K2218" t="s">
        <v>43</v>
      </c>
      <c r="L2218">
        <v>5</v>
      </c>
      <c r="M2218" s="12">
        <v>31999</v>
      </c>
      <c r="N2218" s="12">
        <v>25599.200000000001</v>
      </c>
      <c r="O2218">
        <v>10</v>
      </c>
      <c r="P2218" s="12">
        <v>143995.5</v>
      </c>
      <c r="Q2218" s="12">
        <v>127996</v>
      </c>
      <c r="R2218" s="12">
        <v>15999.5</v>
      </c>
      <c r="S2218" t="s">
        <v>1249</v>
      </c>
      <c r="T2218" t="s">
        <v>108</v>
      </c>
      <c r="U2218" t="s">
        <v>1211</v>
      </c>
    </row>
    <row r="2219" spans="1:21" x14ac:dyDescent="0.25">
      <c r="A2219" t="s">
        <v>4255</v>
      </c>
      <c r="B2219" s="8">
        <v>46002</v>
      </c>
      <c r="C2219" t="s">
        <v>1619</v>
      </c>
      <c r="D2219" t="s">
        <v>403</v>
      </c>
      <c r="E2219" t="s">
        <v>218</v>
      </c>
      <c r="F2219">
        <v>41</v>
      </c>
      <c r="G2219" t="s">
        <v>17</v>
      </c>
      <c r="H2219" t="s">
        <v>15</v>
      </c>
      <c r="I2219" t="s">
        <v>53</v>
      </c>
      <c r="J2219" t="s">
        <v>48</v>
      </c>
      <c r="K2219" t="s">
        <v>43</v>
      </c>
      <c r="L2219">
        <v>1</v>
      </c>
      <c r="M2219" s="12">
        <v>6499</v>
      </c>
      <c r="N2219" s="12">
        <v>4549.2999999999993</v>
      </c>
      <c r="O2219">
        <v>13</v>
      </c>
      <c r="P2219" s="12">
        <v>5654.13</v>
      </c>
      <c r="Q2219" s="12">
        <v>4549.2999999999993</v>
      </c>
      <c r="R2219" s="12">
        <v>1104.8300000000008</v>
      </c>
      <c r="S2219" t="s">
        <v>1246</v>
      </c>
      <c r="T2219" t="s">
        <v>108</v>
      </c>
      <c r="U2219" t="s">
        <v>1198</v>
      </c>
    </row>
    <row r="2220" spans="1:21" x14ac:dyDescent="0.25">
      <c r="A2220" t="s">
        <v>4256</v>
      </c>
      <c r="B2220" s="8">
        <v>45737</v>
      </c>
      <c r="C2220" t="s">
        <v>1351</v>
      </c>
      <c r="D2220" t="s">
        <v>726</v>
      </c>
      <c r="E2220" t="s">
        <v>198</v>
      </c>
      <c r="F2220">
        <v>54</v>
      </c>
      <c r="G2220" t="s">
        <v>2</v>
      </c>
      <c r="H2220" t="s">
        <v>3</v>
      </c>
      <c r="I2220" t="s">
        <v>40</v>
      </c>
      <c r="J2220" t="s">
        <v>39</v>
      </c>
      <c r="K2220" t="s">
        <v>22</v>
      </c>
      <c r="L2220">
        <v>5</v>
      </c>
      <c r="M2220" s="12">
        <v>1100</v>
      </c>
      <c r="N2220" s="12">
        <v>715</v>
      </c>
      <c r="O2220">
        <v>4</v>
      </c>
      <c r="P2220" s="12">
        <v>5280</v>
      </c>
      <c r="Q2220" s="12">
        <v>3575</v>
      </c>
      <c r="R2220" s="12">
        <v>1705</v>
      </c>
      <c r="S2220" t="s">
        <v>1246</v>
      </c>
      <c r="T2220" t="s">
        <v>109</v>
      </c>
      <c r="U2220" t="s">
        <v>1194</v>
      </c>
    </row>
    <row r="2221" spans="1:21" x14ac:dyDescent="0.25">
      <c r="A2221" t="s">
        <v>4258</v>
      </c>
      <c r="B2221" s="8">
        <v>45971</v>
      </c>
      <c r="C2221" t="s">
        <v>2622</v>
      </c>
      <c r="D2221" t="s">
        <v>558</v>
      </c>
      <c r="E2221" t="s">
        <v>198</v>
      </c>
      <c r="F2221">
        <v>22</v>
      </c>
      <c r="G2221" t="s">
        <v>289</v>
      </c>
      <c r="H2221" t="s">
        <v>3</v>
      </c>
      <c r="I2221" t="s">
        <v>34</v>
      </c>
      <c r="J2221" t="s">
        <v>137</v>
      </c>
      <c r="K2221" t="s">
        <v>22</v>
      </c>
      <c r="L2221">
        <v>3</v>
      </c>
      <c r="M2221" s="12">
        <v>6900</v>
      </c>
      <c r="N2221" s="12">
        <v>5727</v>
      </c>
      <c r="O2221">
        <v>15</v>
      </c>
      <c r="P2221" s="12">
        <v>17595</v>
      </c>
      <c r="Q2221" s="12">
        <v>17181</v>
      </c>
      <c r="R2221" s="12">
        <v>414</v>
      </c>
      <c r="S2221" t="s">
        <v>113</v>
      </c>
      <c r="T2221" t="s">
        <v>108</v>
      </c>
      <c r="U2221" t="s">
        <v>1198</v>
      </c>
    </row>
    <row r="2222" spans="1:21" x14ac:dyDescent="0.25">
      <c r="A2222" t="s">
        <v>4259</v>
      </c>
      <c r="B2222" s="8">
        <v>45990</v>
      </c>
      <c r="C2222" t="s">
        <v>2160</v>
      </c>
      <c r="D2222" t="s">
        <v>606</v>
      </c>
      <c r="E2222" t="s">
        <v>218</v>
      </c>
      <c r="F2222">
        <v>60</v>
      </c>
      <c r="G2222" t="s">
        <v>14</v>
      </c>
      <c r="H2222" t="s">
        <v>15</v>
      </c>
      <c r="I2222" t="s">
        <v>34</v>
      </c>
      <c r="J2222" t="s">
        <v>137</v>
      </c>
      <c r="K2222" t="s">
        <v>22</v>
      </c>
      <c r="L2222">
        <v>5</v>
      </c>
      <c r="M2222" s="12">
        <v>6900</v>
      </c>
      <c r="N2222" s="12">
        <v>5727</v>
      </c>
      <c r="O2222">
        <v>11</v>
      </c>
      <c r="P2222" s="12">
        <v>30705</v>
      </c>
      <c r="Q2222" s="12">
        <v>28635</v>
      </c>
      <c r="R2222" s="12">
        <v>2070</v>
      </c>
      <c r="S2222" t="s">
        <v>1246</v>
      </c>
      <c r="T2222" t="s">
        <v>109</v>
      </c>
      <c r="U2222" t="s">
        <v>1201</v>
      </c>
    </row>
    <row r="2223" spans="1:21" x14ac:dyDescent="0.25">
      <c r="A2223" t="s">
        <v>4261</v>
      </c>
      <c r="B2223" s="8">
        <v>45735</v>
      </c>
      <c r="C2223" t="s">
        <v>2104</v>
      </c>
      <c r="D2223" t="s">
        <v>513</v>
      </c>
      <c r="E2223" t="s">
        <v>218</v>
      </c>
      <c r="F2223">
        <v>61</v>
      </c>
      <c r="G2223" t="s">
        <v>4</v>
      </c>
      <c r="H2223" t="s">
        <v>3</v>
      </c>
      <c r="I2223" t="s">
        <v>28</v>
      </c>
      <c r="J2223" t="s">
        <v>35</v>
      </c>
      <c r="K2223" t="s">
        <v>22</v>
      </c>
      <c r="L2223">
        <v>3</v>
      </c>
      <c r="M2223" s="12">
        <v>16499</v>
      </c>
      <c r="N2223" s="12">
        <v>14519.12</v>
      </c>
      <c r="O2223">
        <v>3</v>
      </c>
      <c r="P2223" s="12">
        <v>48012.09</v>
      </c>
      <c r="Q2223" s="12">
        <v>43557.36</v>
      </c>
      <c r="R2223" s="12">
        <v>4454.7299999999959</v>
      </c>
      <c r="S2223" t="s">
        <v>1246</v>
      </c>
      <c r="T2223" t="s">
        <v>107</v>
      </c>
      <c r="U2223" t="s">
        <v>1196</v>
      </c>
    </row>
    <row r="2224" spans="1:21" x14ac:dyDescent="0.25">
      <c r="A2224" t="s">
        <v>4262</v>
      </c>
      <c r="B2224" s="8">
        <v>45661</v>
      </c>
      <c r="C2224" t="s">
        <v>1532</v>
      </c>
      <c r="D2224" t="s">
        <v>867</v>
      </c>
      <c r="E2224" t="s">
        <v>218</v>
      </c>
      <c r="F2224">
        <v>21</v>
      </c>
      <c r="G2224" t="s">
        <v>16</v>
      </c>
      <c r="H2224" t="s">
        <v>15</v>
      </c>
      <c r="I2224" t="s">
        <v>40</v>
      </c>
      <c r="J2224" t="s">
        <v>39</v>
      </c>
      <c r="K2224" t="s">
        <v>22</v>
      </c>
      <c r="L2224">
        <v>4</v>
      </c>
      <c r="M2224" s="12">
        <v>1100</v>
      </c>
      <c r="N2224" s="12">
        <v>715</v>
      </c>
      <c r="O2224">
        <v>5</v>
      </c>
      <c r="P2224" s="12">
        <v>4180</v>
      </c>
      <c r="Q2224" s="12">
        <v>2860</v>
      </c>
      <c r="R2224" s="12">
        <v>1320</v>
      </c>
      <c r="S2224" t="s">
        <v>113</v>
      </c>
      <c r="T2224" t="s">
        <v>108</v>
      </c>
      <c r="U2224" t="s">
        <v>1198</v>
      </c>
    </row>
    <row r="2225" spans="1:21" x14ac:dyDescent="0.25">
      <c r="A2225" t="s">
        <v>4263</v>
      </c>
      <c r="B2225" s="8">
        <v>45680</v>
      </c>
      <c r="C2225" t="s">
        <v>1603</v>
      </c>
      <c r="D2225" t="s">
        <v>983</v>
      </c>
      <c r="E2225" t="s">
        <v>198</v>
      </c>
      <c r="F2225">
        <v>33</v>
      </c>
      <c r="G2225" t="s">
        <v>10</v>
      </c>
      <c r="H2225" t="s">
        <v>8</v>
      </c>
      <c r="I2225" t="s">
        <v>40</v>
      </c>
      <c r="J2225" t="s">
        <v>39</v>
      </c>
      <c r="K2225" t="s">
        <v>22</v>
      </c>
      <c r="L2225">
        <v>3</v>
      </c>
      <c r="M2225" s="12">
        <v>1100</v>
      </c>
      <c r="N2225" s="12">
        <v>715</v>
      </c>
      <c r="O2225">
        <v>8</v>
      </c>
      <c r="P2225" s="12">
        <v>3036</v>
      </c>
      <c r="Q2225" s="12">
        <v>2145</v>
      </c>
      <c r="R2225" s="12">
        <v>891</v>
      </c>
      <c r="S2225" t="s">
        <v>113</v>
      </c>
      <c r="T2225" t="s">
        <v>109</v>
      </c>
      <c r="U2225" t="s">
        <v>1196</v>
      </c>
    </row>
    <row r="2226" spans="1:21" x14ac:dyDescent="0.25">
      <c r="A2226" t="s">
        <v>4264</v>
      </c>
      <c r="B2226" s="8">
        <v>45701</v>
      </c>
      <c r="C2226" t="s">
        <v>1884</v>
      </c>
      <c r="D2226" t="s">
        <v>797</v>
      </c>
      <c r="E2226" t="s">
        <v>218</v>
      </c>
      <c r="F2226">
        <v>29</v>
      </c>
      <c r="G2226" t="s">
        <v>10</v>
      </c>
      <c r="H2226" t="s">
        <v>8</v>
      </c>
      <c r="I2226" t="s">
        <v>28</v>
      </c>
      <c r="J2226" t="s">
        <v>35</v>
      </c>
      <c r="K2226" t="s">
        <v>22</v>
      </c>
      <c r="L2226">
        <v>5</v>
      </c>
      <c r="M2226" s="12">
        <v>16499</v>
      </c>
      <c r="N2226" s="12">
        <v>14519.12</v>
      </c>
      <c r="O2226">
        <v>4</v>
      </c>
      <c r="P2226" s="12">
        <v>79195.199999999997</v>
      </c>
      <c r="Q2226" s="12">
        <v>72595.600000000006</v>
      </c>
      <c r="R2226" s="12">
        <v>6599.5999999999913</v>
      </c>
      <c r="S2226" t="s">
        <v>1249</v>
      </c>
      <c r="T2226" t="s">
        <v>108</v>
      </c>
      <c r="U2226" t="s">
        <v>1196</v>
      </c>
    </row>
    <row r="2227" spans="1:21" x14ac:dyDescent="0.25">
      <c r="A2227" t="s">
        <v>4265</v>
      </c>
      <c r="B2227" s="8">
        <v>45757</v>
      </c>
      <c r="C2227" t="s">
        <v>2279</v>
      </c>
      <c r="D2227" t="s">
        <v>1150</v>
      </c>
      <c r="E2227" t="s">
        <v>218</v>
      </c>
      <c r="F2227">
        <v>26</v>
      </c>
      <c r="G2227" t="s">
        <v>11</v>
      </c>
      <c r="H2227" t="s">
        <v>12</v>
      </c>
      <c r="I2227" t="s">
        <v>55</v>
      </c>
      <c r="J2227" t="s">
        <v>65</v>
      </c>
      <c r="K2227" t="s">
        <v>64</v>
      </c>
      <c r="L2227">
        <v>3</v>
      </c>
      <c r="M2227" s="12">
        <v>80</v>
      </c>
      <c r="N2227" s="12">
        <v>56</v>
      </c>
      <c r="O2227">
        <v>4</v>
      </c>
      <c r="P2227" s="12">
        <v>230.39999999999998</v>
      </c>
      <c r="Q2227" s="12">
        <v>168</v>
      </c>
      <c r="R2227" s="12">
        <v>62.399999999999977</v>
      </c>
      <c r="S2227" t="s">
        <v>1246</v>
      </c>
      <c r="T2227" t="s">
        <v>107</v>
      </c>
      <c r="U2227" t="s">
        <v>1211</v>
      </c>
    </row>
    <row r="2228" spans="1:21" x14ac:dyDescent="0.25">
      <c r="A2228" t="s">
        <v>4266</v>
      </c>
      <c r="B2228" s="8">
        <v>45912</v>
      </c>
      <c r="C2228" t="s">
        <v>1963</v>
      </c>
      <c r="D2228" t="s">
        <v>927</v>
      </c>
      <c r="E2228" t="s">
        <v>218</v>
      </c>
      <c r="F2228">
        <v>47</v>
      </c>
      <c r="G2228" t="s">
        <v>4</v>
      </c>
      <c r="H2228" t="s">
        <v>3</v>
      </c>
      <c r="I2228" t="s">
        <v>61</v>
      </c>
      <c r="J2228" t="s">
        <v>146</v>
      </c>
      <c r="K2228" t="s">
        <v>64</v>
      </c>
      <c r="L2228">
        <v>5</v>
      </c>
      <c r="M2228" s="12">
        <v>250</v>
      </c>
      <c r="N2228" s="12">
        <v>155</v>
      </c>
      <c r="O2228">
        <v>2</v>
      </c>
      <c r="P2228" s="12">
        <v>1225</v>
      </c>
      <c r="Q2228" s="12">
        <v>775</v>
      </c>
      <c r="R2228" s="12">
        <v>450</v>
      </c>
      <c r="S2228" t="s">
        <v>1246</v>
      </c>
      <c r="T2228" t="s">
        <v>107</v>
      </c>
      <c r="U2228" t="s">
        <v>1205</v>
      </c>
    </row>
    <row r="2229" spans="1:21" x14ac:dyDescent="0.25">
      <c r="A2229" t="s">
        <v>4267</v>
      </c>
      <c r="B2229" s="8">
        <v>45955</v>
      </c>
      <c r="C2229" t="s">
        <v>1957</v>
      </c>
      <c r="D2229" t="s">
        <v>523</v>
      </c>
      <c r="E2229" t="s">
        <v>218</v>
      </c>
      <c r="F2229">
        <v>63</v>
      </c>
      <c r="G2229" t="s">
        <v>11</v>
      </c>
      <c r="H2229" t="s">
        <v>12</v>
      </c>
      <c r="I2229" t="s">
        <v>49</v>
      </c>
      <c r="J2229" t="s">
        <v>56</v>
      </c>
      <c r="K2229" t="s">
        <v>43</v>
      </c>
      <c r="L2229">
        <v>4</v>
      </c>
      <c r="M2229" s="12">
        <v>31999</v>
      </c>
      <c r="N2229" s="12">
        <v>25599.200000000001</v>
      </c>
      <c r="O2229">
        <v>10</v>
      </c>
      <c r="P2229" s="12">
        <v>115196.40000000001</v>
      </c>
      <c r="Q2229" s="12">
        <v>102396.8</v>
      </c>
      <c r="R2229" s="12">
        <v>12799.600000000006</v>
      </c>
      <c r="S2229" t="s">
        <v>1249</v>
      </c>
      <c r="T2229" t="s">
        <v>108</v>
      </c>
      <c r="U2229" t="s">
        <v>1211</v>
      </c>
    </row>
    <row r="2230" spans="1:21" x14ac:dyDescent="0.25">
      <c r="A2230" t="s">
        <v>4268</v>
      </c>
      <c r="B2230" s="8">
        <v>46017</v>
      </c>
      <c r="C2230" t="s">
        <v>1477</v>
      </c>
      <c r="D2230" t="s">
        <v>679</v>
      </c>
      <c r="E2230" t="s">
        <v>218</v>
      </c>
      <c r="F2230">
        <v>30</v>
      </c>
      <c r="G2230" t="s">
        <v>11</v>
      </c>
      <c r="H2230" t="s">
        <v>12</v>
      </c>
      <c r="I2230" t="s">
        <v>36</v>
      </c>
      <c r="J2230" t="s">
        <v>136</v>
      </c>
      <c r="K2230" t="s">
        <v>22</v>
      </c>
      <c r="L2230">
        <v>5</v>
      </c>
      <c r="M2230" s="12">
        <v>3590</v>
      </c>
      <c r="N2230" s="12">
        <v>2333.5</v>
      </c>
      <c r="O2230">
        <v>10</v>
      </c>
      <c r="P2230" s="12">
        <v>16155</v>
      </c>
      <c r="Q2230" s="12">
        <v>11667.5</v>
      </c>
      <c r="R2230" s="12">
        <v>4487.5</v>
      </c>
      <c r="S2230" t="s">
        <v>113</v>
      </c>
      <c r="T2230" t="s">
        <v>108</v>
      </c>
      <c r="U2230" t="s">
        <v>1207</v>
      </c>
    </row>
    <row r="2231" spans="1:21" x14ac:dyDescent="0.25">
      <c r="A2231" t="s">
        <v>4269</v>
      </c>
      <c r="B2231" s="8">
        <v>45811</v>
      </c>
      <c r="C2231" t="s">
        <v>5097</v>
      </c>
      <c r="D2231" t="s">
        <v>1109</v>
      </c>
      <c r="E2231" t="s">
        <v>218</v>
      </c>
      <c r="F2231">
        <v>44</v>
      </c>
      <c r="G2231" t="s">
        <v>16</v>
      </c>
      <c r="H2231" t="s">
        <v>15</v>
      </c>
      <c r="I2231" t="s">
        <v>26</v>
      </c>
      <c r="J2231" t="s">
        <v>27</v>
      </c>
      <c r="K2231" t="s">
        <v>22</v>
      </c>
      <c r="L2231">
        <v>5</v>
      </c>
      <c r="M2231" s="12">
        <v>27499</v>
      </c>
      <c r="N2231" s="12">
        <v>23374.149999999998</v>
      </c>
      <c r="O2231">
        <v>7</v>
      </c>
      <c r="P2231" s="12">
        <v>127870.34999999999</v>
      </c>
      <c r="Q2231" s="12">
        <v>116870.74999999999</v>
      </c>
      <c r="R2231" s="12">
        <v>10999.600000000006</v>
      </c>
      <c r="S2231" t="s">
        <v>1249</v>
      </c>
      <c r="T2231" t="s">
        <v>109</v>
      </c>
      <c r="U2231" t="s">
        <v>1196</v>
      </c>
    </row>
    <row r="2232" spans="1:21" x14ac:dyDescent="0.25">
      <c r="A2232" t="s">
        <v>4270</v>
      </c>
      <c r="B2232" s="8">
        <v>45840</v>
      </c>
      <c r="C2232" t="s">
        <v>3561</v>
      </c>
      <c r="D2232" t="s">
        <v>721</v>
      </c>
      <c r="E2232" t="s">
        <v>198</v>
      </c>
      <c r="F2232">
        <v>43</v>
      </c>
      <c r="G2232" t="s">
        <v>7</v>
      </c>
      <c r="H2232" t="s">
        <v>8</v>
      </c>
      <c r="I2232" t="s">
        <v>28</v>
      </c>
      <c r="J2232" t="s">
        <v>35</v>
      </c>
      <c r="K2232" t="s">
        <v>22</v>
      </c>
      <c r="L2232">
        <v>3</v>
      </c>
      <c r="M2232" s="12">
        <v>16499</v>
      </c>
      <c r="N2232" s="12">
        <v>14519.12</v>
      </c>
      <c r="O2232">
        <v>5</v>
      </c>
      <c r="P2232" s="12">
        <v>47022.149999999994</v>
      </c>
      <c r="Q2232" s="12">
        <v>43557.36</v>
      </c>
      <c r="R2232" s="12">
        <v>3464.7899999999936</v>
      </c>
      <c r="S2232" t="s">
        <v>1246</v>
      </c>
      <c r="T2232" t="s">
        <v>107</v>
      </c>
      <c r="U2232" t="s">
        <v>1201</v>
      </c>
    </row>
    <row r="2233" spans="1:21" x14ac:dyDescent="0.25">
      <c r="A2233" t="s">
        <v>4272</v>
      </c>
      <c r="B2233" s="8">
        <v>45824</v>
      </c>
      <c r="C2233" t="s">
        <v>1404</v>
      </c>
      <c r="D2233" t="s">
        <v>420</v>
      </c>
      <c r="E2233" t="s">
        <v>198</v>
      </c>
      <c r="F2233">
        <v>64</v>
      </c>
      <c r="G2233" t="s">
        <v>9</v>
      </c>
      <c r="H2233" t="s">
        <v>8</v>
      </c>
      <c r="I2233" t="s">
        <v>30</v>
      </c>
      <c r="J2233" t="s">
        <v>41</v>
      </c>
      <c r="K2233" t="s">
        <v>22</v>
      </c>
      <c r="L2233">
        <v>1</v>
      </c>
      <c r="M2233" s="12">
        <v>13749</v>
      </c>
      <c r="N2233" s="12">
        <v>10999.2</v>
      </c>
      <c r="O2233">
        <v>6</v>
      </c>
      <c r="P2233" s="12">
        <v>12924.06</v>
      </c>
      <c r="Q2233" s="12">
        <v>10999.2</v>
      </c>
      <c r="R2233" s="12">
        <v>1924.8599999999988</v>
      </c>
      <c r="S2233" t="s">
        <v>1246</v>
      </c>
      <c r="T2233" t="s">
        <v>108</v>
      </c>
      <c r="U2233" t="s">
        <v>1209</v>
      </c>
    </row>
    <row r="2234" spans="1:21" x14ac:dyDescent="0.25">
      <c r="A2234" t="s">
        <v>4274</v>
      </c>
      <c r="B2234" s="8">
        <v>45724</v>
      </c>
      <c r="C2234" t="s">
        <v>1413</v>
      </c>
      <c r="D2234" t="s">
        <v>1098</v>
      </c>
      <c r="E2234" t="s">
        <v>198</v>
      </c>
      <c r="F2234">
        <v>31</v>
      </c>
      <c r="G2234" t="s">
        <v>10</v>
      </c>
      <c r="H2234" t="s">
        <v>8</v>
      </c>
      <c r="I2234" t="s">
        <v>38</v>
      </c>
      <c r="J2234" t="s">
        <v>37</v>
      </c>
      <c r="K2234" t="s">
        <v>22</v>
      </c>
      <c r="L2234">
        <v>1</v>
      </c>
      <c r="M2234" s="12">
        <v>1650</v>
      </c>
      <c r="N2234" s="12">
        <v>990</v>
      </c>
      <c r="O2234">
        <v>6</v>
      </c>
      <c r="P2234" s="12">
        <v>1551</v>
      </c>
      <c r="Q2234" s="12">
        <v>990</v>
      </c>
      <c r="R2234" s="12">
        <v>561</v>
      </c>
      <c r="S2234" t="s">
        <v>1246</v>
      </c>
      <c r="T2234" t="s">
        <v>109</v>
      </c>
      <c r="U2234" t="s">
        <v>1199</v>
      </c>
    </row>
    <row r="2235" spans="1:21" x14ac:dyDescent="0.25">
      <c r="A2235" t="s">
        <v>4275</v>
      </c>
      <c r="B2235" s="8">
        <v>45728</v>
      </c>
      <c r="C2235" t="s">
        <v>2718</v>
      </c>
      <c r="D2235" t="s">
        <v>812</v>
      </c>
      <c r="E2235" t="s">
        <v>198</v>
      </c>
      <c r="F2235">
        <v>39</v>
      </c>
      <c r="G2235" t="s">
        <v>14</v>
      </c>
      <c r="H2235" t="s">
        <v>15</v>
      </c>
      <c r="I2235" t="s">
        <v>24</v>
      </c>
      <c r="J2235" t="s">
        <v>25</v>
      </c>
      <c r="K2235" t="s">
        <v>22</v>
      </c>
      <c r="L2235">
        <v>3</v>
      </c>
      <c r="M2235" s="12">
        <v>35800</v>
      </c>
      <c r="N2235" s="12">
        <v>28640</v>
      </c>
      <c r="O2235">
        <v>3</v>
      </c>
      <c r="P2235" s="12">
        <v>104178</v>
      </c>
      <c r="Q2235" s="12">
        <v>85920</v>
      </c>
      <c r="R2235" s="12">
        <v>18258</v>
      </c>
      <c r="S2235" t="s">
        <v>1246</v>
      </c>
      <c r="T2235" t="s">
        <v>107</v>
      </c>
      <c r="U2235" t="s">
        <v>1199</v>
      </c>
    </row>
    <row r="2236" spans="1:21" x14ac:dyDescent="0.25">
      <c r="A2236" t="s">
        <v>4276</v>
      </c>
      <c r="B2236" s="8">
        <v>45690</v>
      </c>
      <c r="C2236" t="s">
        <v>1857</v>
      </c>
      <c r="D2236" t="s">
        <v>787</v>
      </c>
      <c r="E2236" t="s">
        <v>198</v>
      </c>
      <c r="F2236">
        <v>53</v>
      </c>
      <c r="G2236" t="s">
        <v>10</v>
      </c>
      <c r="H2236" t="s">
        <v>8</v>
      </c>
      <c r="I2236" t="s">
        <v>59</v>
      </c>
      <c r="J2236" t="s">
        <v>73</v>
      </c>
      <c r="K2236" t="s">
        <v>64</v>
      </c>
      <c r="L2236">
        <v>2</v>
      </c>
      <c r="M2236" s="12">
        <v>120</v>
      </c>
      <c r="N2236" s="12">
        <v>81.599999999999994</v>
      </c>
      <c r="O2236">
        <v>4</v>
      </c>
      <c r="P2236" s="12">
        <v>230.39999999999998</v>
      </c>
      <c r="Q2236" s="12">
        <v>163.19999999999999</v>
      </c>
      <c r="R2236" s="12">
        <v>67.199999999999989</v>
      </c>
      <c r="S2236" t="s">
        <v>1249</v>
      </c>
      <c r="T2236" t="s">
        <v>108</v>
      </c>
      <c r="U2236" t="s">
        <v>1198</v>
      </c>
    </row>
    <row r="2237" spans="1:21" x14ac:dyDescent="0.25">
      <c r="A2237" t="s">
        <v>4277</v>
      </c>
      <c r="B2237" s="8">
        <v>46019</v>
      </c>
      <c r="C2237" t="s">
        <v>1971</v>
      </c>
      <c r="D2237" t="s">
        <v>393</v>
      </c>
      <c r="E2237" t="s">
        <v>198</v>
      </c>
      <c r="F2237">
        <v>46</v>
      </c>
      <c r="G2237" t="s">
        <v>14</v>
      </c>
      <c r="H2237" t="s">
        <v>15</v>
      </c>
      <c r="I2237" t="s">
        <v>38</v>
      </c>
      <c r="J2237" t="s">
        <v>37</v>
      </c>
      <c r="K2237" t="s">
        <v>22</v>
      </c>
      <c r="L2237">
        <v>1</v>
      </c>
      <c r="M2237" s="12">
        <v>1650</v>
      </c>
      <c r="N2237" s="12">
        <v>990</v>
      </c>
      <c r="O2237">
        <v>13</v>
      </c>
      <c r="P2237" s="12">
        <v>1435.5</v>
      </c>
      <c r="Q2237" s="12">
        <v>990</v>
      </c>
      <c r="R2237" s="12">
        <v>445.5</v>
      </c>
      <c r="S2237" t="s">
        <v>113</v>
      </c>
      <c r="T2237" t="s">
        <v>108</v>
      </c>
      <c r="U2237" t="s">
        <v>1194</v>
      </c>
    </row>
    <row r="2238" spans="1:21" x14ac:dyDescent="0.25">
      <c r="A2238" t="s">
        <v>4278</v>
      </c>
      <c r="B2238" s="8">
        <v>45671</v>
      </c>
      <c r="C2238" t="s">
        <v>1738</v>
      </c>
      <c r="D2238" t="s">
        <v>683</v>
      </c>
      <c r="E2238" t="s">
        <v>198</v>
      </c>
      <c r="F2238">
        <v>65</v>
      </c>
      <c r="G2238" t="s">
        <v>289</v>
      </c>
      <c r="H2238" t="s">
        <v>3</v>
      </c>
      <c r="I2238" t="s">
        <v>47</v>
      </c>
      <c r="J2238" t="s">
        <v>52</v>
      </c>
      <c r="K2238" t="s">
        <v>43</v>
      </c>
      <c r="L2238">
        <v>3</v>
      </c>
      <c r="M2238" s="12">
        <v>42999</v>
      </c>
      <c r="N2238" s="12">
        <v>33539.22</v>
      </c>
      <c r="O2238">
        <v>3</v>
      </c>
      <c r="P2238" s="12">
        <v>125127.09</v>
      </c>
      <c r="Q2238" s="12">
        <v>100617.66</v>
      </c>
      <c r="R2238" s="12">
        <v>24509.429999999993</v>
      </c>
      <c r="S2238" t="s">
        <v>1246</v>
      </c>
      <c r="T2238" t="s">
        <v>107</v>
      </c>
      <c r="U2238" t="s">
        <v>1203</v>
      </c>
    </row>
    <row r="2239" spans="1:21" x14ac:dyDescent="0.25">
      <c r="A2239" t="s">
        <v>4279</v>
      </c>
      <c r="B2239" s="8">
        <v>45762</v>
      </c>
      <c r="C2239" t="s">
        <v>2758</v>
      </c>
      <c r="D2239" t="s">
        <v>1048</v>
      </c>
      <c r="E2239" t="s">
        <v>218</v>
      </c>
      <c r="F2239">
        <v>57</v>
      </c>
      <c r="G2239" t="s">
        <v>17</v>
      </c>
      <c r="H2239" t="s">
        <v>15</v>
      </c>
      <c r="I2239" t="s">
        <v>30</v>
      </c>
      <c r="J2239" t="s">
        <v>41</v>
      </c>
      <c r="K2239" t="s">
        <v>22</v>
      </c>
      <c r="L2239">
        <v>4</v>
      </c>
      <c r="M2239" s="12">
        <v>13749</v>
      </c>
      <c r="N2239" s="12">
        <v>10999.2</v>
      </c>
      <c r="O2239">
        <v>8</v>
      </c>
      <c r="P2239" s="12">
        <v>50596.32</v>
      </c>
      <c r="Q2239" s="12">
        <v>43996.800000000003</v>
      </c>
      <c r="R2239" s="12">
        <v>6599.5199999999968</v>
      </c>
      <c r="S2239" t="s">
        <v>1246</v>
      </c>
      <c r="T2239" t="s">
        <v>109</v>
      </c>
      <c r="U2239" t="s">
        <v>1205</v>
      </c>
    </row>
    <row r="2240" spans="1:21" x14ac:dyDescent="0.25">
      <c r="A2240" t="s">
        <v>4280</v>
      </c>
      <c r="B2240" s="8">
        <v>45753</v>
      </c>
      <c r="C2240" t="s">
        <v>1955</v>
      </c>
      <c r="D2240" t="s">
        <v>756</v>
      </c>
      <c r="E2240" t="s">
        <v>198</v>
      </c>
      <c r="F2240">
        <v>39</v>
      </c>
      <c r="G2240" t="s">
        <v>17</v>
      </c>
      <c r="H2240" t="s">
        <v>15</v>
      </c>
      <c r="I2240" t="s">
        <v>59</v>
      </c>
      <c r="J2240" t="s">
        <v>73</v>
      </c>
      <c r="K2240" t="s">
        <v>64</v>
      </c>
      <c r="L2240">
        <v>5</v>
      </c>
      <c r="M2240" s="12">
        <v>120</v>
      </c>
      <c r="N2240" s="12">
        <v>81.599999999999994</v>
      </c>
      <c r="O2240">
        <v>0</v>
      </c>
      <c r="P2240" s="12">
        <v>600</v>
      </c>
      <c r="Q2240" s="12">
        <v>408</v>
      </c>
      <c r="R2240" s="12">
        <v>192</v>
      </c>
      <c r="S2240" t="s">
        <v>113</v>
      </c>
      <c r="T2240" t="s">
        <v>109</v>
      </c>
      <c r="U2240" t="s">
        <v>1211</v>
      </c>
    </row>
    <row r="2241" spans="1:21" x14ac:dyDescent="0.25">
      <c r="A2241" t="s">
        <v>4281</v>
      </c>
      <c r="B2241" s="8">
        <v>45987</v>
      </c>
      <c r="C2241" t="s">
        <v>2524</v>
      </c>
      <c r="D2241" t="s">
        <v>543</v>
      </c>
      <c r="E2241" t="s">
        <v>198</v>
      </c>
      <c r="F2241">
        <v>51</v>
      </c>
      <c r="G2241" t="s">
        <v>7</v>
      </c>
      <c r="H2241" t="s">
        <v>8</v>
      </c>
      <c r="I2241" t="s">
        <v>28</v>
      </c>
      <c r="J2241" t="s">
        <v>35</v>
      </c>
      <c r="K2241" t="s">
        <v>22</v>
      </c>
      <c r="L2241">
        <v>1</v>
      </c>
      <c r="M2241" s="12">
        <v>16499</v>
      </c>
      <c r="N2241" s="12">
        <v>14519.12</v>
      </c>
      <c r="O2241">
        <v>10</v>
      </c>
      <c r="P2241" s="12">
        <v>14849.1</v>
      </c>
      <c r="Q2241" s="12">
        <v>14519.12</v>
      </c>
      <c r="R2241" s="12">
        <v>329.97999999999956</v>
      </c>
      <c r="S2241" t="s">
        <v>113</v>
      </c>
      <c r="T2241" t="s">
        <v>108</v>
      </c>
      <c r="U2241" t="s">
        <v>1194</v>
      </c>
    </row>
    <row r="2242" spans="1:21" x14ac:dyDescent="0.25">
      <c r="A2242" t="s">
        <v>4282</v>
      </c>
      <c r="B2242" s="8">
        <v>45728</v>
      </c>
      <c r="C2242" t="s">
        <v>4210</v>
      </c>
      <c r="D2242" t="s">
        <v>700</v>
      </c>
      <c r="E2242" t="s">
        <v>218</v>
      </c>
      <c r="F2242">
        <v>63</v>
      </c>
      <c r="G2242" t="s">
        <v>2</v>
      </c>
      <c r="H2242" t="s">
        <v>3</v>
      </c>
      <c r="I2242" t="s">
        <v>30</v>
      </c>
      <c r="J2242" t="s">
        <v>41</v>
      </c>
      <c r="K2242" t="s">
        <v>22</v>
      </c>
      <c r="L2242">
        <v>4</v>
      </c>
      <c r="M2242" s="12">
        <v>13749</v>
      </c>
      <c r="N2242" s="12">
        <v>10999.2</v>
      </c>
      <c r="O2242">
        <v>3</v>
      </c>
      <c r="P2242" s="12">
        <v>53346.119999999995</v>
      </c>
      <c r="Q2242" s="12">
        <v>43996.800000000003</v>
      </c>
      <c r="R2242" s="12">
        <v>9349.3199999999924</v>
      </c>
      <c r="S2242" t="s">
        <v>1246</v>
      </c>
      <c r="T2242" t="s">
        <v>109</v>
      </c>
      <c r="U2242" t="s">
        <v>1201</v>
      </c>
    </row>
    <row r="2243" spans="1:21" x14ac:dyDescent="0.25">
      <c r="A2243" t="s">
        <v>4283</v>
      </c>
      <c r="B2243" s="8">
        <v>45874</v>
      </c>
      <c r="C2243" t="s">
        <v>2268</v>
      </c>
      <c r="D2243" t="s">
        <v>892</v>
      </c>
      <c r="E2243" t="s">
        <v>218</v>
      </c>
      <c r="F2243">
        <v>35</v>
      </c>
      <c r="G2243" t="s">
        <v>9</v>
      </c>
      <c r="H2243" t="s">
        <v>8</v>
      </c>
      <c r="I2243" t="s">
        <v>49</v>
      </c>
      <c r="J2243" t="s">
        <v>56</v>
      </c>
      <c r="K2243" t="s">
        <v>43</v>
      </c>
      <c r="L2243">
        <v>1</v>
      </c>
      <c r="M2243" s="12">
        <v>31999</v>
      </c>
      <c r="N2243" s="12">
        <v>25599.200000000001</v>
      </c>
      <c r="O2243">
        <v>10</v>
      </c>
      <c r="P2243" s="12">
        <v>28799.100000000002</v>
      </c>
      <c r="Q2243" s="12">
        <v>25599.200000000001</v>
      </c>
      <c r="R2243" s="12">
        <v>3199.9000000000015</v>
      </c>
      <c r="S2243" t="s">
        <v>113</v>
      </c>
      <c r="T2243" t="s">
        <v>109</v>
      </c>
      <c r="U2243" t="s">
        <v>1199</v>
      </c>
    </row>
    <row r="2244" spans="1:21" x14ac:dyDescent="0.25">
      <c r="A2244" t="s">
        <v>4284</v>
      </c>
      <c r="B2244" s="8">
        <v>45955</v>
      </c>
      <c r="C2244" t="s">
        <v>1423</v>
      </c>
      <c r="D2244" t="s">
        <v>917</v>
      </c>
      <c r="E2244" t="s">
        <v>198</v>
      </c>
      <c r="F2244">
        <v>64</v>
      </c>
      <c r="G2244" t="s">
        <v>16</v>
      </c>
      <c r="H2244" t="s">
        <v>15</v>
      </c>
      <c r="I2244" t="s">
        <v>47</v>
      </c>
      <c r="J2244" t="s">
        <v>52</v>
      </c>
      <c r="K2244" t="s">
        <v>43</v>
      </c>
      <c r="L2244">
        <v>2</v>
      </c>
      <c r="M2244" s="12">
        <v>42999</v>
      </c>
      <c r="N2244" s="12">
        <v>33539.22</v>
      </c>
      <c r="O2244">
        <v>7</v>
      </c>
      <c r="P2244" s="12">
        <v>79978.14</v>
      </c>
      <c r="Q2244" s="12">
        <v>67078.44</v>
      </c>
      <c r="R2244" s="12">
        <v>12899.699999999997</v>
      </c>
      <c r="S2244" t="s">
        <v>113</v>
      </c>
      <c r="T2244" t="s">
        <v>111</v>
      </c>
      <c r="U2244" t="s">
        <v>1207</v>
      </c>
    </row>
    <row r="2245" spans="1:21" x14ac:dyDescent="0.25">
      <c r="A2245" t="s">
        <v>4285</v>
      </c>
      <c r="B2245" s="8">
        <v>45759</v>
      </c>
      <c r="C2245" t="s">
        <v>1421</v>
      </c>
      <c r="D2245" t="s">
        <v>1035</v>
      </c>
      <c r="E2245" t="s">
        <v>198</v>
      </c>
      <c r="F2245">
        <v>32</v>
      </c>
      <c r="G2245" t="s">
        <v>289</v>
      </c>
      <c r="H2245" t="s">
        <v>3</v>
      </c>
      <c r="I2245" t="s">
        <v>49</v>
      </c>
      <c r="J2245" t="s">
        <v>56</v>
      </c>
      <c r="K2245" t="s">
        <v>43</v>
      </c>
      <c r="L2245">
        <v>5</v>
      </c>
      <c r="M2245" s="12">
        <v>31999</v>
      </c>
      <c r="N2245" s="12">
        <v>25599.200000000001</v>
      </c>
      <c r="O2245">
        <v>6</v>
      </c>
      <c r="P2245" s="12">
        <v>150395.29999999999</v>
      </c>
      <c r="Q2245" s="12">
        <v>127996</v>
      </c>
      <c r="R2245" s="12">
        <v>22399.299999999988</v>
      </c>
      <c r="S2245" t="s">
        <v>113</v>
      </c>
      <c r="T2245" t="s">
        <v>107</v>
      </c>
      <c r="U2245" t="s">
        <v>1199</v>
      </c>
    </row>
    <row r="2246" spans="1:21" x14ac:dyDescent="0.25">
      <c r="A2246" t="s">
        <v>4286</v>
      </c>
      <c r="B2246" s="8">
        <v>45946</v>
      </c>
      <c r="C2246" t="s">
        <v>2528</v>
      </c>
      <c r="D2246" t="s">
        <v>704</v>
      </c>
      <c r="E2246" t="s">
        <v>218</v>
      </c>
      <c r="F2246">
        <v>28</v>
      </c>
      <c r="G2246" t="s">
        <v>4</v>
      </c>
      <c r="H2246" t="s">
        <v>3</v>
      </c>
      <c r="I2246" t="s">
        <v>28</v>
      </c>
      <c r="J2246" t="s">
        <v>35</v>
      </c>
      <c r="K2246" t="s">
        <v>22</v>
      </c>
      <c r="L2246">
        <v>1</v>
      </c>
      <c r="M2246" s="12">
        <v>16499</v>
      </c>
      <c r="N2246" s="12">
        <v>14519.12</v>
      </c>
      <c r="O2246">
        <v>8</v>
      </c>
      <c r="P2246" s="12">
        <v>15179.08</v>
      </c>
      <c r="Q2246" s="12">
        <v>14519.12</v>
      </c>
      <c r="R2246" s="12">
        <v>659.95999999999913</v>
      </c>
      <c r="S2246" t="s">
        <v>113</v>
      </c>
      <c r="T2246" t="s">
        <v>111</v>
      </c>
      <c r="U2246" t="s">
        <v>1207</v>
      </c>
    </row>
    <row r="2247" spans="1:21" x14ac:dyDescent="0.25">
      <c r="A2247" t="s">
        <v>4287</v>
      </c>
      <c r="B2247" s="8">
        <v>45995</v>
      </c>
      <c r="C2247" t="s">
        <v>2641</v>
      </c>
      <c r="D2247" t="s">
        <v>948</v>
      </c>
      <c r="E2247" t="s">
        <v>198</v>
      </c>
      <c r="F2247">
        <v>42</v>
      </c>
      <c r="G2247" t="s">
        <v>11</v>
      </c>
      <c r="H2247" t="s">
        <v>12</v>
      </c>
      <c r="I2247" t="s">
        <v>57</v>
      </c>
      <c r="J2247" t="s">
        <v>67</v>
      </c>
      <c r="K2247" t="s">
        <v>64</v>
      </c>
      <c r="L2247">
        <v>2</v>
      </c>
      <c r="M2247" s="12">
        <v>150</v>
      </c>
      <c r="N2247" s="12">
        <v>97.5</v>
      </c>
      <c r="O2247">
        <v>5</v>
      </c>
      <c r="P2247" s="12">
        <v>285</v>
      </c>
      <c r="Q2247" s="12">
        <v>195</v>
      </c>
      <c r="R2247" s="12">
        <v>90</v>
      </c>
      <c r="S2247" t="s">
        <v>113</v>
      </c>
      <c r="T2247" t="s">
        <v>108</v>
      </c>
      <c r="U2247" t="s">
        <v>1201</v>
      </c>
    </row>
    <row r="2248" spans="1:21" x14ac:dyDescent="0.25">
      <c r="A2248" t="s">
        <v>4288</v>
      </c>
      <c r="B2248" s="8">
        <v>45821</v>
      </c>
      <c r="C2248" t="s">
        <v>2254</v>
      </c>
      <c r="D2248" t="s">
        <v>454</v>
      </c>
      <c r="E2248" t="s">
        <v>218</v>
      </c>
      <c r="F2248">
        <v>55</v>
      </c>
      <c r="G2248" t="s">
        <v>290</v>
      </c>
      <c r="H2248" t="s">
        <v>3</v>
      </c>
      <c r="I2248" t="s">
        <v>47</v>
      </c>
      <c r="J2248" t="s">
        <v>52</v>
      </c>
      <c r="K2248" t="s">
        <v>43</v>
      </c>
      <c r="L2248">
        <v>3</v>
      </c>
      <c r="M2248" s="12">
        <v>42999</v>
      </c>
      <c r="N2248" s="12">
        <v>33539.22</v>
      </c>
      <c r="O2248">
        <v>5</v>
      </c>
      <c r="P2248" s="12">
        <v>122547.15</v>
      </c>
      <c r="Q2248" s="12">
        <v>100617.66</v>
      </c>
      <c r="R2248" s="12">
        <v>21929.489999999991</v>
      </c>
      <c r="S2248" t="s">
        <v>113</v>
      </c>
      <c r="T2248" t="s">
        <v>107</v>
      </c>
      <c r="U2248" t="s">
        <v>1198</v>
      </c>
    </row>
    <row r="2249" spans="1:21" x14ac:dyDescent="0.25">
      <c r="A2249" t="s">
        <v>4289</v>
      </c>
      <c r="B2249" s="8">
        <v>45658</v>
      </c>
      <c r="C2249" t="s">
        <v>1699</v>
      </c>
      <c r="D2249" t="s">
        <v>608</v>
      </c>
      <c r="E2249" t="s">
        <v>198</v>
      </c>
      <c r="F2249">
        <v>37</v>
      </c>
      <c r="G2249" t="s">
        <v>2</v>
      </c>
      <c r="H2249" t="s">
        <v>3</v>
      </c>
      <c r="I2249" t="s">
        <v>42</v>
      </c>
      <c r="J2249" t="s">
        <v>44</v>
      </c>
      <c r="K2249" t="s">
        <v>43</v>
      </c>
      <c r="L2249">
        <v>5</v>
      </c>
      <c r="M2249" s="12">
        <v>8999</v>
      </c>
      <c r="N2249" s="12">
        <v>6479.28</v>
      </c>
      <c r="O2249">
        <v>3</v>
      </c>
      <c r="P2249" s="12">
        <v>43645.15</v>
      </c>
      <c r="Q2249" s="12">
        <v>32396.399999999998</v>
      </c>
      <c r="R2249" s="12">
        <v>11248.750000000004</v>
      </c>
      <c r="S2249" t="s">
        <v>1249</v>
      </c>
      <c r="T2249" t="s">
        <v>108</v>
      </c>
      <c r="U2249" t="s">
        <v>1211</v>
      </c>
    </row>
    <row r="2250" spans="1:21" x14ac:dyDescent="0.25">
      <c r="A2250" t="s">
        <v>4290</v>
      </c>
      <c r="B2250" s="8">
        <v>45720</v>
      </c>
      <c r="C2250" t="s">
        <v>2969</v>
      </c>
      <c r="D2250" t="s">
        <v>539</v>
      </c>
      <c r="E2250" t="s">
        <v>218</v>
      </c>
      <c r="F2250">
        <v>27</v>
      </c>
      <c r="G2250" t="s">
        <v>11</v>
      </c>
      <c r="H2250" t="s">
        <v>12</v>
      </c>
      <c r="I2250" t="s">
        <v>57</v>
      </c>
      <c r="J2250" t="s">
        <v>67</v>
      </c>
      <c r="K2250" t="s">
        <v>64</v>
      </c>
      <c r="L2250">
        <v>4</v>
      </c>
      <c r="M2250" s="12">
        <v>150</v>
      </c>
      <c r="N2250" s="12">
        <v>97.5</v>
      </c>
      <c r="O2250">
        <v>4</v>
      </c>
      <c r="P2250" s="12">
        <v>576</v>
      </c>
      <c r="Q2250" s="12">
        <v>390</v>
      </c>
      <c r="R2250" s="12">
        <v>186</v>
      </c>
      <c r="S2250" t="s">
        <v>1246</v>
      </c>
      <c r="T2250" t="s">
        <v>110</v>
      </c>
      <c r="U2250" t="s">
        <v>1207</v>
      </c>
    </row>
    <row r="2251" spans="1:21" x14ac:dyDescent="0.25">
      <c r="A2251" t="s">
        <v>4291</v>
      </c>
      <c r="B2251" s="8">
        <v>45808</v>
      </c>
      <c r="C2251" t="s">
        <v>3454</v>
      </c>
      <c r="D2251" t="s">
        <v>939</v>
      </c>
      <c r="E2251" t="s">
        <v>198</v>
      </c>
      <c r="F2251">
        <v>51</v>
      </c>
      <c r="G2251" t="s">
        <v>9</v>
      </c>
      <c r="H2251" t="s">
        <v>8</v>
      </c>
      <c r="I2251" t="s">
        <v>59</v>
      </c>
      <c r="J2251" t="s">
        <v>73</v>
      </c>
      <c r="K2251" t="s">
        <v>64</v>
      </c>
      <c r="L2251">
        <v>5</v>
      </c>
      <c r="M2251" s="12">
        <v>120</v>
      </c>
      <c r="N2251" s="12">
        <v>81.599999999999994</v>
      </c>
      <c r="O2251">
        <v>15</v>
      </c>
      <c r="P2251" s="12">
        <v>510</v>
      </c>
      <c r="Q2251" s="12">
        <v>408</v>
      </c>
      <c r="R2251" s="12">
        <v>102</v>
      </c>
      <c r="S2251" t="s">
        <v>1246</v>
      </c>
      <c r="T2251" t="s">
        <v>107</v>
      </c>
      <c r="U2251" t="s">
        <v>1209</v>
      </c>
    </row>
    <row r="2252" spans="1:21" x14ac:dyDescent="0.25">
      <c r="A2252" t="s">
        <v>4292</v>
      </c>
      <c r="B2252" s="8">
        <v>45911</v>
      </c>
      <c r="C2252" t="s">
        <v>1971</v>
      </c>
      <c r="D2252" t="s">
        <v>393</v>
      </c>
      <c r="E2252" t="s">
        <v>198</v>
      </c>
      <c r="F2252">
        <v>46</v>
      </c>
      <c r="G2252" t="s">
        <v>14</v>
      </c>
      <c r="H2252" t="s">
        <v>15</v>
      </c>
      <c r="I2252" t="s">
        <v>57</v>
      </c>
      <c r="J2252" t="s">
        <v>67</v>
      </c>
      <c r="K2252" t="s">
        <v>64</v>
      </c>
      <c r="L2252">
        <v>1</v>
      </c>
      <c r="M2252" s="12">
        <v>150</v>
      </c>
      <c r="N2252" s="12">
        <v>97.5</v>
      </c>
      <c r="O2252">
        <v>1</v>
      </c>
      <c r="P2252" s="12">
        <v>148.5</v>
      </c>
      <c r="Q2252" s="12">
        <v>97.5</v>
      </c>
      <c r="R2252" s="12">
        <v>51</v>
      </c>
      <c r="S2252" t="s">
        <v>113</v>
      </c>
      <c r="T2252" t="s">
        <v>109</v>
      </c>
      <c r="U2252" t="s">
        <v>1194</v>
      </c>
    </row>
    <row r="2253" spans="1:21" x14ac:dyDescent="0.25">
      <c r="A2253" t="s">
        <v>4293</v>
      </c>
      <c r="B2253" s="8">
        <v>45928</v>
      </c>
      <c r="C2253" t="s">
        <v>2941</v>
      </c>
      <c r="D2253" t="s">
        <v>646</v>
      </c>
      <c r="E2253" t="s">
        <v>218</v>
      </c>
      <c r="F2253">
        <v>64</v>
      </c>
      <c r="G2253" t="s">
        <v>4</v>
      </c>
      <c r="H2253" t="s">
        <v>3</v>
      </c>
      <c r="I2253" t="s">
        <v>59</v>
      </c>
      <c r="J2253" t="s">
        <v>73</v>
      </c>
      <c r="K2253" t="s">
        <v>64</v>
      </c>
      <c r="L2253">
        <v>5</v>
      </c>
      <c r="M2253" s="12">
        <v>120</v>
      </c>
      <c r="N2253" s="12">
        <v>81.599999999999994</v>
      </c>
      <c r="O2253">
        <v>0</v>
      </c>
      <c r="P2253" s="12">
        <v>600</v>
      </c>
      <c r="Q2253" s="12">
        <v>408</v>
      </c>
      <c r="R2253" s="12">
        <v>192</v>
      </c>
      <c r="S2253" t="s">
        <v>1246</v>
      </c>
      <c r="T2253" t="s">
        <v>107</v>
      </c>
      <c r="U2253" t="s">
        <v>1203</v>
      </c>
    </row>
    <row r="2254" spans="1:21" x14ac:dyDescent="0.25">
      <c r="A2254" t="s">
        <v>4294</v>
      </c>
      <c r="B2254" s="8">
        <v>45949</v>
      </c>
      <c r="C2254" t="s">
        <v>4380</v>
      </c>
      <c r="D2254" t="s">
        <v>870</v>
      </c>
      <c r="E2254" t="s">
        <v>218</v>
      </c>
      <c r="F2254">
        <v>24</v>
      </c>
      <c r="G2254" t="s">
        <v>10</v>
      </c>
      <c r="H2254" t="s">
        <v>8</v>
      </c>
      <c r="I2254" t="s">
        <v>34</v>
      </c>
      <c r="J2254" t="s">
        <v>137</v>
      </c>
      <c r="K2254" t="s">
        <v>22</v>
      </c>
      <c r="L2254">
        <v>5</v>
      </c>
      <c r="M2254" s="12">
        <v>6900</v>
      </c>
      <c r="N2254" s="12">
        <v>5727</v>
      </c>
      <c r="O2254">
        <v>5</v>
      </c>
      <c r="P2254" s="12">
        <v>32775</v>
      </c>
      <c r="Q2254" s="12">
        <v>28635</v>
      </c>
      <c r="R2254" s="12">
        <v>4140</v>
      </c>
      <c r="S2254" t="s">
        <v>1246</v>
      </c>
      <c r="T2254" t="s">
        <v>107</v>
      </c>
      <c r="U2254" t="s">
        <v>1194</v>
      </c>
    </row>
    <row r="2255" spans="1:21" x14ac:dyDescent="0.25">
      <c r="A2255" t="s">
        <v>4295</v>
      </c>
      <c r="B2255" s="8">
        <v>46021</v>
      </c>
      <c r="C2255" t="s">
        <v>1991</v>
      </c>
      <c r="D2255" t="s">
        <v>856</v>
      </c>
      <c r="E2255" t="s">
        <v>218</v>
      </c>
      <c r="F2255">
        <v>34</v>
      </c>
      <c r="G2255" t="s">
        <v>290</v>
      </c>
      <c r="H2255" t="s">
        <v>3</v>
      </c>
      <c r="I2255" t="s">
        <v>53</v>
      </c>
      <c r="J2255" t="s">
        <v>48</v>
      </c>
      <c r="K2255" t="s">
        <v>43</v>
      </c>
      <c r="L2255">
        <v>1</v>
      </c>
      <c r="M2255" s="12">
        <v>6499</v>
      </c>
      <c r="N2255" s="12">
        <v>4549.2999999999993</v>
      </c>
      <c r="O2255">
        <v>18</v>
      </c>
      <c r="P2255" s="12">
        <v>5329.18</v>
      </c>
      <c r="Q2255" s="12">
        <v>4549.2999999999993</v>
      </c>
      <c r="R2255" s="12">
        <v>779.88000000000102</v>
      </c>
      <c r="S2255" t="s">
        <v>113</v>
      </c>
      <c r="T2255" t="s">
        <v>109</v>
      </c>
      <c r="U2255" t="s">
        <v>1199</v>
      </c>
    </row>
    <row r="2256" spans="1:21" x14ac:dyDescent="0.25">
      <c r="A2256" t="s">
        <v>4296</v>
      </c>
      <c r="B2256" s="8">
        <v>45830</v>
      </c>
      <c r="C2256" t="s">
        <v>3317</v>
      </c>
      <c r="D2256" t="s">
        <v>574</v>
      </c>
      <c r="E2256" t="s">
        <v>218</v>
      </c>
      <c r="F2256">
        <v>62</v>
      </c>
      <c r="G2256" t="s">
        <v>290</v>
      </c>
      <c r="H2256" t="s">
        <v>3</v>
      </c>
      <c r="I2256" t="s">
        <v>28</v>
      </c>
      <c r="J2256" t="s">
        <v>35</v>
      </c>
      <c r="K2256" t="s">
        <v>22</v>
      </c>
      <c r="L2256">
        <v>3</v>
      </c>
      <c r="M2256" s="12">
        <v>16499</v>
      </c>
      <c r="N2256" s="12">
        <v>14519.12</v>
      </c>
      <c r="O2256">
        <v>9</v>
      </c>
      <c r="P2256" s="12">
        <v>45042.270000000004</v>
      </c>
      <c r="Q2256" s="12">
        <v>43557.36</v>
      </c>
      <c r="R2256" s="12">
        <v>1484.9100000000035</v>
      </c>
      <c r="S2256" t="s">
        <v>1246</v>
      </c>
      <c r="T2256" t="s">
        <v>107</v>
      </c>
      <c r="U2256" t="s">
        <v>1199</v>
      </c>
    </row>
    <row r="2257" spans="1:21" x14ac:dyDescent="0.25">
      <c r="A2257" t="s">
        <v>4297</v>
      </c>
      <c r="B2257" s="8">
        <v>45732</v>
      </c>
      <c r="C2257" t="s">
        <v>2390</v>
      </c>
      <c r="D2257" t="s">
        <v>994</v>
      </c>
      <c r="E2257" t="s">
        <v>218</v>
      </c>
      <c r="F2257">
        <v>26</v>
      </c>
      <c r="G2257" t="s">
        <v>2</v>
      </c>
      <c r="H2257" t="s">
        <v>3</v>
      </c>
      <c r="I2257" t="s">
        <v>47</v>
      </c>
      <c r="J2257" t="s">
        <v>52</v>
      </c>
      <c r="K2257" t="s">
        <v>43</v>
      </c>
      <c r="L2257">
        <v>3</v>
      </c>
      <c r="M2257" s="12">
        <v>42999</v>
      </c>
      <c r="N2257" s="12">
        <v>33539.22</v>
      </c>
      <c r="O2257">
        <v>5</v>
      </c>
      <c r="P2257" s="12">
        <v>122547.15</v>
      </c>
      <c r="Q2257" s="12">
        <v>100617.66</v>
      </c>
      <c r="R2257" s="12">
        <v>21929.489999999991</v>
      </c>
      <c r="S2257" t="s">
        <v>1246</v>
      </c>
      <c r="T2257" t="s">
        <v>110</v>
      </c>
      <c r="U2257" t="s">
        <v>1194</v>
      </c>
    </row>
    <row r="2258" spans="1:21" x14ac:dyDescent="0.25">
      <c r="A2258" t="s">
        <v>4298</v>
      </c>
      <c r="B2258" s="8">
        <v>45809</v>
      </c>
      <c r="C2258" t="s">
        <v>3226</v>
      </c>
      <c r="D2258" t="s">
        <v>1171</v>
      </c>
      <c r="E2258" t="s">
        <v>198</v>
      </c>
      <c r="F2258">
        <v>56</v>
      </c>
      <c r="G2258" t="s">
        <v>14</v>
      </c>
      <c r="H2258" t="s">
        <v>15</v>
      </c>
      <c r="I2258" t="s">
        <v>53</v>
      </c>
      <c r="J2258" t="s">
        <v>48</v>
      </c>
      <c r="K2258" t="s">
        <v>43</v>
      </c>
      <c r="L2258">
        <v>5</v>
      </c>
      <c r="M2258" s="12">
        <v>6499</v>
      </c>
      <c r="N2258" s="12">
        <v>4549.2999999999993</v>
      </c>
      <c r="O2258">
        <v>5</v>
      </c>
      <c r="P2258" s="12">
        <v>30870.25</v>
      </c>
      <c r="Q2258" s="12">
        <v>22746.499999999996</v>
      </c>
      <c r="R2258" s="12">
        <v>8123.7500000000036</v>
      </c>
      <c r="S2258" t="s">
        <v>1246</v>
      </c>
      <c r="T2258" t="s">
        <v>109</v>
      </c>
      <c r="U2258" t="s">
        <v>1201</v>
      </c>
    </row>
    <row r="2259" spans="1:21" x14ac:dyDescent="0.25">
      <c r="A2259" t="s">
        <v>4299</v>
      </c>
      <c r="B2259" s="8">
        <v>45802</v>
      </c>
      <c r="C2259" t="s">
        <v>1421</v>
      </c>
      <c r="D2259" t="s">
        <v>1035</v>
      </c>
      <c r="E2259" t="s">
        <v>198</v>
      </c>
      <c r="F2259">
        <v>32</v>
      </c>
      <c r="G2259" t="s">
        <v>289</v>
      </c>
      <c r="H2259" t="s">
        <v>3</v>
      </c>
      <c r="I2259" t="s">
        <v>59</v>
      </c>
      <c r="J2259" t="s">
        <v>73</v>
      </c>
      <c r="K2259" t="s">
        <v>64</v>
      </c>
      <c r="L2259">
        <v>4</v>
      </c>
      <c r="M2259" s="12">
        <v>120</v>
      </c>
      <c r="N2259" s="12">
        <v>81.599999999999994</v>
      </c>
      <c r="O2259">
        <v>10</v>
      </c>
      <c r="P2259" s="12">
        <v>432</v>
      </c>
      <c r="Q2259" s="12">
        <v>326.39999999999998</v>
      </c>
      <c r="R2259" s="12">
        <v>105.60000000000002</v>
      </c>
      <c r="S2259" t="s">
        <v>1246</v>
      </c>
      <c r="T2259" t="s">
        <v>110</v>
      </c>
      <c r="U2259" t="s">
        <v>1203</v>
      </c>
    </row>
    <row r="2260" spans="1:21" x14ac:dyDescent="0.25">
      <c r="A2260" t="s">
        <v>4300</v>
      </c>
      <c r="B2260" s="8">
        <v>45916</v>
      </c>
      <c r="C2260" t="s">
        <v>2750</v>
      </c>
      <c r="D2260" t="s">
        <v>622</v>
      </c>
      <c r="E2260" t="s">
        <v>218</v>
      </c>
      <c r="F2260">
        <v>29</v>
      </c>
      <c r="G2260" t="s">
        <v>16</v>
      </c>
      <c r="H2260" t="s">
        <v>15</v>
      </c>
      <c r="I2260" t="s">
        <v>40</v>
      </c>
      <c r="J2260" t="s">
        <v>39</v>
      </c>
      <c r="K2260" t="s">
        <v>22</v>
      </c>
      <c r="L2260">
        <v>1</v>
      </c>
      <c r="M2260" s="12">
        <v>1100</v>
      </c>
      <c r="N2260" s="12">
        <v>715</v>
      </c>
      <c r="O2260">
        <v>3</v>
      </c>
      <c r="P2260" s="12">
        <v>1067</v>
      </c>
      <c r="Q2260" s="12">
        <v>715</v>
      </c>
      <c r="R2260" s="12">
        <v>352</v>
      </c>
      <c r="S2260" t="s">
        <v>1246</v>
      </c>
      <c r="T2260" t="s">
        <v>109</v>
      </c>
      <c r="U2260" t="s">
        <v>1205</v>
      </c>
    </row>
    <row r="2261" spans="1:21" x14ac:dyDescent="0.25">
      <c r="A2261" t="s">
        <v>4301</v>
      </c>
      <c r="B2261" s="8">
        <v>45954</v>
      </c>
      <c r="C2261" t="s">
        <v>1868</v>
      </c>
      <c r="D2261" t="s">
        <v>1123</v>
      </c>
      <c r="E2261" t="s">
        <v>218</v>
      </c>
      <c r="F2261">
        <v>26</v>
      </c>
      <c r="G2261" t="s">
        <v>9</v>
      </c>
      <c r="H2261" t="s">
        <v>8</v>
      </c>
      <c r="I2261" t="s">
        <v>42</v>
      </c>
      <c r="J2261" t="s">
        <v>44</v>
      </c>
      <c r="K2261" t="s">
        <v>43</v>
      </c>
      <c r="L2261">
        <v>5</v>
      </c>
      <c r="M2261" s="12">
        <v>8999</v>
      </c>
      <c r="N2261" s="12">
        <v>6479.28</v>
      </c>
      <c r="O2261">
        <v>6</v>
      </c>
      <c r="P2261" s="12">
        <v>42295.299999999996</v>
      </c>
      <c r="Q2261" s="12">
        <v>32396.399999999998</v>
      </c>
      <c r="R2261" s="12">
        <v>9898.8999999999978</v>
      </c>
      <c r="S2261" t="s">
        <v>1246</v>
      </c>
      <c r="T2261" t="s">
        <v>109</v>
      </c>
      <c r="U2261" t="s">
        <v>1194</v>
      </c>
    </row>
    <row r="2262" spans="1:21" x14ac:dyDescent="0.25">
      <c r="A2262" t="s">
        <v>4302</v>
      </c>
      <c r="B2262" s="8">
        <v>45817</v>
      </c>
      <c r="C2262" t="s">
        <v>1584</v>
      </c>
      <c r="D2262" t="s">
        <v>821</v>
      </c>
      <c r="E2262" t="s">
        <v>198</v>
      </c>
      <c r="F2262">
        <v>50</v>
      </c>
      <c r="G2262" t="s">
        <v>2</v>
      </c>
      <c r="H2262" t="s">
        <v>3</v>
      </c>
      <c r="I2262" t="s">
        <v>57</v>
      </c>
      <c r="J2262" t="s">
        <v>67</v>
      </c>
      <c r="K2262" t="s">
        <v>64</v>
      </c>
      <c r="L2262">
        <v>5</v>
      </c>
      <c r="M2262" s="12">
        <v>150</v>
      </c>
      <c r="N2262" s="12">
        <v>97.5</v>
      </c>
      <c r="O2262">
        <v>8</v>
      </c>
      <c r="P2262" s="12">
        <v>690</v>
      </c>
      <c r="Q2262" s="12">
        <v>487.5</v>
      </c>
      <c r="R2262" s="12">
        <v>202.5</v>
      </c>
      <c r="S2262" t="s">
        <v>113</v>
      </c>
      <c r="T2262" t="s">
        <v>109</v>
      </c>
      <c r="U2262" t="s">
        <v>1196</v>
      </c>
    </row>
    <row r="2263" spans="1:21" x14ac:dyDescent="0.25">
      <c r="A2263" t="s">
        <v>4303</v>
      </c>
      <c r="B2263" s="8">
        <v>45977</v>
      </c>
      <c r="C2263" t="s">
        <v>3228</v>
      </c>
      <c r="D2263" t="s">
        <v>1114</v>
      </c>
      <c r="E2263" t="s">
        <v>218</v>
      </c>
      <c r="F2263">
        <v>60</v>
      </c>
      <c r="G2263" t="s">
        <v>7</v>
      </c>
      <c r="H2263" t="s">
        <v>8</v>
      </c>
      <c r="I2263" t="s">
        <v>34</v>
      </c>
      <c r="J2263" t="s">
        <v>137</v>
      </c>
      <c r="K2263" t="s">
        <v>22</v>
      </c>
      <c r="L2263">
        <v>3</v>
      </c>
      <c r="M2263" s="12">
        <v>6900</v>
      </c>
      <c r="N2263" s="12">
        <v>5727</v>
      </c>
      <c r="O2263">
        <v>10</v>
      </c>
      <c r="P2263" s="12">
        <v>18630</v>
      </c>
      <c r="Q2263" s="12">
        <v>17181</v>
      </c>
      <c r="R2263" s="12">
        <v>1449</v>
      </c>
      <c r="S2263" t="s">
        <v>113</v>
      </c>
      <c r="T2263" t="s">
        <v>107</v>
      </c>
      <c r="U2263" t="s">
        <v>1196</v>
      </c>
    </row>
    <row r="2264" spans="1:21" x14ac:dyDescent="0.25">
      <c r="A2264" t="s">
        <v>4304</v>
      </c>
      <c r="B2264" s="8">
        <v>45780</v>
      </c>
      <c r="C2264" t="s">
        <v>1565</v>
      </c>
      <c r="D2264" t="s">
        <v>860</v>
      </c>
      <c r="E2264" t="s">
        <v>218</v>
      </c>
      <c r="F2264">
        <v>57</v>
      </c>
      <c r="G2264" t="s">
        <v>9</v>
      </c>
      <c r="H2264" t="s">
        <v>8</v>
      </c>
      <c r="I2264" t="s">
        <v>59</v>
      </c>
      <c r="J2264" t="s">
        <v>73</v>
      </c>
      <c r="K2264" t="s">
        <v>64</v>
      </c>
      <c r="L2264">
        <v>1</v>
      </c>
      <c r="M2264" s="12">
        <v>120</v>
      </c>
      <c r="N2264" s="12">
        <v>81.599999999999994</v>
      </c>
      <c r="O2264">
        <v>14</v>
      </c>
      <c r="P2264" s="12">
        <v>103.2</v>
      </c>
      <c r="Q2264" s="12">
        <v>81.599999999999994</v>
      </c>
      <c r="R2264" s="12">
        <v>21.600000000000009</v>
      </c>
      <c r="S2264" t="s">
        <v>1246</v>
      </c>
      <c r="T2264" t="s">
        <v>107</v>
      </c>
      <c r="U2264" t="s">
        <v>1194</v>
      </c>
    </row>
    <row r="2265" spans="1:21" x14ac:dyDescent="0.25">
      <c r="A2265" t="s">
        <v>4305</v>
      </c>
      <c r="B2265" s="8">
        <v>45887</v>
      </c>
      <c r="C2265" t="s">
        <v>1630</v>
      </c>
      <c r="D2265" t="s">
        <v>1044</v>
      </c>
      <c r="E2265" t="s">
        <v>198</v>
      </c>
      <c r="F2265">
        <v>20</v>
      </c>
      <c r="G2265" t="s">
        <v>5</v>
      </c>
      <c r="H2265" t="s">
        <v>3</v>
      </c>
      <c r="I2265" t="s">
        <v>32</v>
      </c>
      <c r="J2265" t="s">
        <v>29</v>
      </c>
      <c r="K2265" t="s">
        <v>22</v>
      </c>
      <c r="L2265">
        <v>3</v>
      </c>
      <c r="M2265" s="12">
        <v>9500</v>
      </c>
      <c r="N2265" s="12">
        <v>6650</v>
      </c>
      <c r="O2265">
        <v>7</v>
      </c>
      <c r="P2265" s="12">
        <v>26505</v>
      </c>
      <c r="Q2265" s="12">
        <v>19950</v>
      </c>
      <c r="R2265" s="12">
        <v>6555</v>
      </c>
      <c r="S2265" t="s">
        <v>1246</v>
      </c>
      <c r="T2265" t="s">
        <v>107</v>
      </c>
      <c r="U2265" t="s">
        <v>1203</v>
      </c>
    </row>
    <row r="2266" spans="1:21" x14ac:dyDescent="0.25">
      <c r="A2266" t="s">
        <v>4306</v>
      </c>
      <c r="B2266" s="8">
        <v>45682</v>
      </c>
      <c r="C2266" t="s">
        <v>1567</v>
      </c>
      <c r="D2266" t="s">
        <v>724</v>
      </c>
      <c r="E2266" t="s">
        <v>198</v>
      </c>
      <c r="F2266">
        <v>64</v>
      </c>
      <c r="G2266" t="s">
        <v>7</v>
      </c>
      <c r="H2266" t="s">
        <v>8</v>
      </c>
      <c r="I2266" t="s">
        <v>45</v>
      </c>
      <c r="J2266" t="s">
        <v>46</v>
      </c>
      <c r="K2266" t="s">
        <v>43</v>
      </c>
      <c r="L2266">
        <v>4</v>
      </c>
      <c r="M2266" s="12">
        <v>11999</v>
      </c>
      <c r="N2266" s="12">
        <v>8999.25</v>
      </c>
      <c r="O2266">
        <v>2</v>
      </c>
      <c r="P2266" s="12">
        <v>47036.08</v>
      </c>
      <c r="Q2266" s="12">
        <v>35997</v>
      </c>
      <c r="R2266" s="12">
        <v>11039.080000000002</v>
      </c>
      <c r="S2266" t="s">
        <v>113</v>
      </c>
      <c r="T2266" t="s">
        <v>107</v>
      </c>
      <c r="U2266" t="s">
        <v>1209</v>
      </c>
    </row>
    <row r="2267" spans="1:21" x14ac:dyDescent="0.25">
      <c r="A2267" t="s">
        <v>4307</v>
      </c>
      <c r="B2267" s="8">
        <v>45881</v>
      </c>
      <c r="C2267" t="s">
        <v>1619</v>
      </c>
      <c r="D2267" t="s">
        <v>403</v>
      </c>
      <c r="E2267" t="s">
        <v>218</v>
      </c>
      <c r="F2267">
        <v>41</v>
      </c>
      <c r="G2267" t="s">
        <v>17</v>
      </c>
      <c r="H2267" t="s">
        <v>15</v>
      </c>
      <c r="I2267" t="s">
        <v>30</v>
      </c>
      <c r="J2267" t="s">
        <v>41</v>
      </c>
      <c r="K2267" t="s">
        <v>22</v>
      </c>
      <c r="L2267">
        <v>3</v>
      </c>
      <c r="M2267" s="12">
        <v>13749</v>
      </c>
      <c r="N2267" s="12">
        <v>10999.2</v>
      </c>
      <c r="O2267">
        <v>6</v>
      </c>
      <c r="P2267" s="12">
        <v>38772.18</v>
      </c>
      <c r="Q2267" s="12">
        <v>32997.600000000006</v>
      </c>
      <c r="R2267" s="12">
        <v>5774.5799999999945</v>
      </c>
      <c r="S2267" t="s">
        <v>113</v>
      </c>
      <c r="T2267" t="s">
        <v>107</v>
      </c>
      <c r="U2267" t="s">
        <v>1211</v>
      </c>
    </row>
    <row r="2268" spans="1:21" x14ac:dyDescent="0.25">
      <c r="A2268" t="s">
        <v>4308</v>
      </c>
      <c r="B2268" s="8">
        <v>45789</v>
      </c>
      <c r="C2268" t="s">
        <v>2993</v>
      </c>
      <c r="D2268" t="s">
        <v>1083</v>
      </c>
      <c r="E2268" t="s">
        <v>218</v>
      </c>
      <c r="F2268">
        <v>62</v>
      </c>
      <c r="G2268" t="s">
        <v>14</v>
      </c>
      <c r="H2268" t="s">
        <v>15</v>
      </c>
      <c r="I2268" t="s">
        <v>26</v>
      </c>
      <c r="J2268" t="s">
        <v>27</v>
      </c>
      <c r="K2268" t="s">
        <v>22</v>
      </c>
      <c r="L2268">
        <v>3</v>
      </c>
      <c r="M2268" s="12">
        <v>27499</v>
      </c>
      <c r="N2268" s="12">
        <v>23374.149999999998</v>
      </c>
      <c r="O2268">
        <v>7</v>
      </c>
      <c r="P2268" s="12">
        <v>76722.209999999992</v>
      </c>
      <c r="Q2268" s="12">
        <v>70122.45</v>
      </c>
      <c r="R2268" s="12">
        <v>6599.7599999999948</v>
      </c>
      <c r="S2268" t="s">
        <v>113</v>
      </c>
      <c r="T2268" t="s">
        <v>109</v>
      </c>
      <c r="U2268" t="s">
        <v>1209</v>
      </c>
    </row>
    <row r="2269" spans="1:21" x14ac:dyDescent="0.25">
      <c r="A2269" t="s">
        <v>4309</v>
      </c>
      <c r="B2269" s="8">
        <v>46007</v>
      </c>
      <c r="C2269" t="s">
        <v>1404</v>
      </c>
      <c r="D2269" t="s">
        <v>420</v>
      </c>
      <c r="E2269" t="s">
        <v>198</v>
      </c>
      <c r="F2269">
        <v>64</v>
      </c>
      <c r="G2269" t="s">
        <v>9</v>
      </c>
      <c r="H2269" t="s">
        <v>8</v>
      </c>
      <c r="I2269" t="s">
        <v>24</v>
      </c>
      <c r="J2269" t="s">
        <v>25</v>
      </c>
      <c r="K2269" t="s">
        <v>22</v>
      </c>
      <c r="L2269">
        <v>3</v>
      </c>
      <c r="M2269" s="12">
        <v>35800</v>
      </c>
      <c r="N2269" s="12">
        <v>28640</v>
      </c>
      <c r="O2269">
        <v>15</v>
      </c>
      <c r="P2269" s="12">
        <v>91290</v>
      </c>
      <c r="Q2269" s="12">
        <v>85920</v>
      </c>
      <c r="R2269" s="12">
        <v>5370</v>
      </c>
      <c r="S2269" t="s">
        <v>113</v>
      </c>
      <c r="T2269" t="s">
        <v>109</v>
      </c>
      <c r="U2269" t="s">
        <v>1198</v>
      </c>
    </row>
    <row r="2270" spans="1:21" x14ac:dyDescent="0.25">
      <c r="A2270" t="s">
        <v>4310</v>
      </c>
      <c r="B2270" s="8">
        <v>45902</v>
      </c>
      <c r="C2270" t="s">
        <v>3375</v>
      </c>
      <c r="D2270" t="s">
        <v>956</v>
      </c>
      <c r="E2270" t="s">
        <v>218</v>
      </c>
      <c r="F2270">
        <v>21</v>
      </c>
      <c r="G2270" t="s">
        <v>17</v>
      </c>
      <c r="H2270" t="s">
        <v>15</v>
      </c>
      <c r="I2270" t="s">
        <v>28</v>
      </c>
      <c r="J2270" t="s">
        <v>35</v>
      </c>
      <c r="K2270" t="s">
        <v>22</v>
      </c>
      <c r="L2270">
        <v>5</v>
      </c>
      <c r="M2270" s="12">
        <v>16499</v>
      </c>
      <c r="N2270" s="12">
        <v>14519.12</v>
      </c>
      <c r="O2270">
        <v>4</v>
      </c>
      <c r="P2270" s="12">
        <v>79195.199999999997</v>
      </c>
      <c r="Q2270" s="12">
        <v>72595.600000000006</v>
      </c>
      <c r="R2270" s="12">
        <v>6599.5999999999913</v>
      </c>
      <c r="S2270" t="s">
        <v>113</v>
      </c>
      <c r="T2270" t="s">
        <v>107</v>
      </c>
      <c r="U2270" t="s">
        <v>1196</v>
      </c>
    </row>
    <row r="2271" spans="1:21" x14ac:dyDescent="0.25">
      <c r="A2271" t="s">
        <v>4311</v>
      </c>
      <c r="B2271" s="8">
        <v>45812</v>
      </c>
      <c r="C2271" t="s">
        <v>1314</v>
      </c>
      <c r="D2271" t="s">
        <v>773</v>
      </c>
      <c r="E2271" t="s">
        <v>198</v>
      </c>
      <c r="F2271">
        <v>34</v>
      </c>
      <c r="G2271" t="s">
        <v>7</v>
      </c>
      <c r="H2271" t="s">
        <v>8</v>
      </c>
      <c r="I2271" t="s">
        <v>51</v>
      </c>
      <c r="J2271" t="s">
        <v>54</v>
      </c>
      <c r="K2271" t="s">
        <v>43</v>
      </c>
      <c r="L2271">
        <v>3</v>
      </c>
      <c r="M2271" s="12">
        <v>27499</v>
      </c>
      <c r="N2271" s="12">
        <v>21724.210000000003</v>
      </c>
      <c r="O2271">
        <v>2</v>
      </c>
      <c r="P2271" s="12">
        <v>80847.06</v>
      </c>
      <c r="Q2271" s="12">
        <v>65172.630000000005</v>
      </c>
      <c r="R2271" s="12">
        <v>15674.429999999993</v>
      </c>
      <c r="S2271" t="s">
        <v>1246</v>
      </c>
      <c r="T2271" t="s">
        <v>107</v>
      </c>
      <c r="U2271" t="s">
        <v>1205</v>
      </c>
    </row>
    <row r="2272" spans="1:21" x14ac:dyDescent="0.25">
      <c r="A2272" t="s">
        <v>4312</v>
      </c>
      <c r="B2272" s="8">
        <v>45761</v>
      </c>
      <c r="C2272" t="s">
        <v>2048</v>
      </c>
      <c r="D2272" t="s">
        <v>435</v>
      </c>
      <c r="E2272" t="s">
        <v>198</v>
      </c>
      <c r="F2272">
        <v>65</v>
      </c>
      <c r="G2272" t="s">
        <v>4</v>
      </c>
      <c r="H2272" t="s">
        <v>3</v>
      </c>
      <c r="I2272" t="s">
        <v>63</v>
      </c>
      <c r="J2272" t="s">
        <v>77</v>
      </c>
      <c r="K2272" t="s">
        <v>64</v>
      </c>
      <c r="L2272">
        <v>5</v>
      </c>
      <c r="M2272" s="12">
        <v>650</v>
      </c>
      <c r="N2272" s="12">
        <v>468</v>
      </c>
      <c r="O2272">
        <v>0</v>
      </c>
      <c r="P2272" s="12">
        <v>3250</v>
      </c>
      <c r="Q2272" s="12">
        <v>2340</v>
      </c>
      <c r="R2272" s="12">
        <v>910</v>
      </c>
      <c r="S2272" t="s">
        <v>113</v>
      </c>
      <c r="T2272" t="s">
        <v>111</v>
      </c>
      <c r="U2272" t="s">
        <v>1194</v>
      </c>
    </row>
    <row r="2273" spans="1:21" x14ac:dyDescent="0.25">
      <c r="A2273" t="s">
        <v>4313</v>
      </c>
      <c r="B2273" s="8">
        <v>45977</v>
      </c>
      <c r="C2273" t="s">
        <v>3242</v>
      </c>
      <c r="D2273" t="s">
        <v>1121</v>
      </c>
      <c r="E2273" t="s">
        <v>218</v>
      </c>
      <c r="F2273">
        <v>39</v>
      </c>
      <c r="G2273" t="s">
        <v>5</v>
      </c>
      <c r="H2273" t="s">
        <v>3</v>
      </c>
      <c r="I2273" t="s">
        <v>47</v>
      </c>
      <c r="J2273" t="s">
        <v>52</v>
      </c>
      <c r="K2273" t="s">
        <v>43</v>
      </c>
      <c r="L2273">
        <v>2</v>
      </c>
      <c r="M2273" s="12">
        <v>42999</v>
      </c>
      <c r="N2273" s="12">
        <v>33539.22</v>
      </c>
      <c r="O2273">
        <v>16</v>
      </c>
      <c r="P2273" s="12">
        <v>72238.319999999992</v>
      </c>
      <c r="Q2273" s="12">
        <v>67078.44</v>
      </c>
      <c r="R2273" s="12">
        <v>5159.8799999999901</v>
      </c>
      <c r="S2273" t="s">
        <v>113</v>
      </c>
      <c r="T2273" t="s">
        <v>108</v>
      </c>
      <c r="U2273" t="s">
        <v>1207</v>
      </c>
    </row>
    <row r="2274" spans="1:21" x14ac:dyDescent="0.25">
      <c r="A2274" t="s">
        <v>4314</v>
      </c>
      <c r="B2274" s="8">
        <v>45778</v>
      </c>
      <c r="C2274" t="s">
        <v>2025</v>
      </c>
      <c r="D2274" t="s">
        <v>963</v>
      </c>
      <c r="E2274" t="s">
        <v>198</v>
      </c>
      <c r="F2274">
        <v>46</v>
      </c>
      <c r="G2274" t="s">
        <v>9</v>
      </c>
      <c r="H2274" t="s">
        <v>8</v>
      </c>
      <c r="I2274" t="s">
        <v>26</v>
      </c>
      <c r="J2274" t="s">
        <v>27</v>
      </c>
      <c r="K2274" t="s">
        <v>22</v>
      </c>
      <c r="L2274">
        <v>5</v>
      </c>
      <c r="M2274" s="12">
        <v>27499</v>
      </c>
      <c r="N2274" s="12">
        <v>23374.149999999998</v>
      </c>
      <c r="O2274">
        <v>6</v>
      </c>
      <c r="P2274" s="12">
        <v>129245.29999999999</v>
      </c>
      <c r="Q2274" s="12">
        <v>116870.74999999999</v>
      </c>
      <c r="R2274" s="12">
        <v>12374.550000000003</v>
      </c>
      <c r="S2274" t="s">
        <v>113</v>
      </c>
      <c r="T2274" t="s">
        <v>108</v>
      </c>
      <c r="U2274" t="s">
        <v>1209</v>
      </c>
    </row>
    <row r="2275" spans="1:21" x14ac:dyDescent="0.25">
      <c r="A2275" t="s">
        <v>4315</v>
      </c>
      <c r="B2275" s="8">
        <v>45828</v>
      </c>
      <c r="C2275" t="s">
        <v>5086</v>
      </c>
      <c r="D2275" t="s">
        <v>560</v>
      </c>
      <c r="E2275" t="s">
        <v>198</v>
      </c>
      <c r="F2275">
        <v>21</v>
      </c>
      <c r="G2275" t="s">
        <v>290</v>
      </c>
      <c r="H2275" t="s">
        <v>3</v>
      </c>
      <c r="I2275" t="s">
        <v>55</v>
      </c>
      <c r="J2275" t="s">
        <v>65</v>
      </c>
      <c r="K2275" t="s">
        <v>64</v>
      </c>
      <c r="L2275">
        <v>5</v>
      </c>
      <c r="M2275" s="12">
        <v>80</v>
      </c>
      <c r="N2275" s="12">
        <v>56</v>
      </c>
      <c r="O2275">
        <v>14</v>
      </c>
      <c r="P2275" s="12">
        <v>344</v>
      </c>
      <c r="Q2275" s="12">
        <v>280</v>
      </c>
      <c r="R2275" s="12">
        <v>64</v>
      </c>
      <c r="S2275" t="s">
        <v>113</v>
      </c>
      <c r="T2275" t="s">
        <v>108</v>
      </c>
      <c r="U2275" t="s">
        <v>1205</v>
      </c>
    </row>
    <row r="2276" spans="1:21" x14ac:dyDescent="0.25">
      <c r="A2276" t="s">
        <v>4316</v>
      </c>
      <c r="B2276" s="8">
        <v>45964</v>
      </c>
      <c r="C2276" t="s">
        <v>2005</v>
      </c>
      <c r="D2276" t="s">
        <v>804</v>
      </c>
      <c r="E2276" t="s">
        <v>198</v>
      </c>
      <c r="F2276">
        <v>18</v>
      </c>
      <c r="G2276" t="s">
        <v>290</v>
      </c>
      <c r="H2276" t="s">
        <v>3</v>
      </c>
      <c r="I2276" t="s">
        <v>47</v>
      </c>
      <c r="J2276" t="s">
        <v>52</v>
      </c>
      <c r="K2276" t="s">
        <v>43</v>
      </c>
      <c r="L2276">
        <v>3</v>
      </c>
      <c r="M2276" s="12">
        <v>42999</v>
      </c>
      <c r="N2276" s="12">
        <v>33539.22</v>
      </c>
      <c r="O2276">
        <v>16</v>
      </c>
      <c r="P2276" s="12">
        <v>108357.48</v>
      </c>
      <c r="Q2276" s="12">
        <v>100617.66</v>
      </c>
      <c r="R2276" s="12">
        <v>7739.8199999999924</v>
      </c>
      <c r="S2276" t="s">
        <v>113</v>
      </c>
      <c r="T2276" t="s">
        <v>109</v>
      </c>
      <c r="U2276" t="s">
        <v>1211</v>
      </c>
    </row>
    <row r="2277" spans="1:21" x14ac:dyDescent="0.25">
      <c r="A2277" t="s">
        <v>4317</v>
      </c>
      <c r="B2277" s="8">
        <v>45818</v>
      </c>
      <c r="C2277" t="s">
        <v>1513</v>
      </c>
      <c r="D2277" t="s">
        <v>647</v>
      </c>
      <c r="E2277" t="s">
        <v>198</v>
      </c>
      <c r="F2277">
        <v>47</v>
      </c>
      <c r="G2277" t="s">
        <v>289</v>
      </c>
      <c r="H2277" t="s">
        <v>3</v>
      </c>
      <c r="I2277" t="s">
        <v>49</v>
      </c>
      <c r="J2277" t="s">
        <v>56</v>
      </c>
      <c r="K2277" t="s">
        <v>43</v>
      </c>
      <c r="L2277">
        <v>5</v>
      </c>
      <c r="M2277" s="12">
        <v>31999</v>
      </c>
      <c r="N2277" s="12">
        <v>25599.200000000001</v>
      </c>
      <c r="O2277">
        <v>3</v>
      </c>
      <c r="P2277" s="12">
        <v>155195.15</v>
      </c>
      <c r="Q2277" s="12">
        <v>127996</v>
      </c>
      <c r="R2277" s="12">
        <v>27199.149999999994</v>
      </c>
      <c r="S2277" t="s">
        <v>1246</v>
      </c>
      <c r="T2277" t="s">
        <v>108</v>
      </c>
      <c r="U2277" t="s">
        <v>1196</v>
      </c>
    </row>
    <row r="2278" spans="1:21" x14ac:dyDescent="0.25">
      <c r="A2278" t="s">
        <v>4318</v>
      </c>
      <c r="B2278" s="8">
        <v>45795</v>
      </c>
      <c r="C2278" t="s">
        <v>1722</v>
      </c>
      <c r="D2278" t="s">
        <v>373</v>
      </c>
      <c r="E2278" t="s">
        <v>198</v>
      </c>
      <c r="F2278">
        <v>32</v>
      </c>
      <c r="G2278" t="s">
        <v>9</v>
      </c>
      <c r="H2278" t="s">
        <v>8</v>
      </c>
      <c r="I2278" t="s">
        <v>55</v>
      </c>
      <c r="J2278" t="s">
        <v>65</v>
      </c>
      <c r="K2278" t="s">
        <v>64</v>
      </c>
      <c r="L2278">
        <v>3</v>
      </c>
      <c r="M2278" s="12">
        <v>80</v>
      </c>
      <c r="N2278" s="12">
        <v>56</v>
      </c>
      <c r="O2278">
        <v>11</v>
      </c>
      <c r="P2278" s="12">
        <v>213.6</v>
      </c>
      <c r="Q2278" s="12">
        <v>168</v>
      </c>
      <c r="R2278" s="12">
        <v>45.599999999999994</v>
      </c>
      <c r="S2278" t="s">
        <v>113</v>
      </c>
      <c r="T2278" t="s">
        <v>107</v>
      </c>
      <c r="U2278" t="s">
        <v>1205</v>
      </c>
    </row>
    <row r="2279" spans="1:21" x14ac:dyDescent="0.25">
      <c r="A2279" t="s">
        <v>4319</v>
      </c>
      <c r="B2279" s="8">
        <v>46010</v>
      </c>
      <c r="C2279" t="s">
        <v>1857</v>
      </c>
      <c r="D2279" t="s">
        <v>787</v>
      </c>
      <c r="E2279" t="s">
        <v>198</v>
      </c>
      <c r="F2279">
        <v>53</v>
      </c>
      <c r="G2279" t="s">
        <v>10</v>
      </c>
      <c r="H2279" t="s">
        <v>8</v>
      </c>
      <c r="I2279" t="s">
        <v>53</v>
      </c>
      <c r="J2279" t="s">
        <v>48</v>
      </c>
      <c r="K2279" t="s">
        <v>43</v>
      </c>
      <c r="L2279">
        <v>2</v>
      </c>
      <c r="M2279" s="12">
        <v>6499</v>
      </c>
      <c r="N2279" s="12">
        <v>4549.2999999999993</v>
      </c>
      <c r="O2279">
        <v>14</v>
      </c>
      <c r="P2279" s="12">
        <v>11178.28</v>
      </c>
      <c r="Q2279" s="12">
        <v>9098.5999999999985</v>
      </c>
      <c r="R2279" s="12">
        <v>2079.6800000000021</v>
      </c>
      <c r="S2279" t="s">
        <v>1246</v>
      </c>
      <c r="T2279" t="s">
        <v>107</v>
      </c>
      <c r="U2279" t="s">
        <v>1199</v>
      </c>
    </row>
    <row r="2280" spans="1:21" x14ac:dyDescent="0.25">
      <c r="A2280" t="s">
        <v>4320</v>
      </c>
      <c r="B2280" s="8">
        <v>45840</v>
      </c>
      <c r="C2280" t="s">
        <v>4439</v>
      </c>
      <c r="D2280" t="s">
        <v>893</v>
      </c>
      <c r="E2280" t="s">
        <v>198</v>
      </c>
      <c r="F2280">
        <v>50</v>
      </c>
      <c r="G2280" t="s">
        <v>17</v>
      </c>
      <c r="H2280" t="s">
        <v>15</v>
      </c>
      <c r="I2280" t="s">
        <v>59</v>
      </c>
      <c r="J2280" t="s">
        <v>73</v>
      </c>
      <c r="K2280" t="s">
        <v>64</v>
      </c>
      <c r="L2280">
        <v>3</v>
      </c>
      <c r="M2280" s="12">
        <v>120</v>
      </c>
      <c r="N2280" s="12">
        <v>81.599999999999994</v>
      </c>
      <c r="O2280">
        <v>3</v>
      </c>
      <c r="P2280" s="12">
        <v>349.2</v>
      </c>
      <c r="Q2280" s="12">
        <v>244.79999999999998</v>
      </c>
      <c r="R2280" s="12">
        <v>104.4</v>
      </c>
      <c r="S2280" t="s">
        <v>1246</v>
      </c>
      <c r="T2280" t="s">
        <v>110</v>
      </c>
      <c r="U2280" t="s">
        <v>1209</v>
      </c>
    </row>
    <row r="2281" spans="1:21" x14ac:dyDescent="0.25">
      <c r="A2281" t="s">
        <v>4321</v>
      </c>
      <c r="B2281" s="8">
        <v>45855</v>
      </c>
      <c r="C2281" t="s">
        <v>2625</v>
      </c>
      <c r="D2281" t="s">
        <v>798</v>
      </c>
      <c r="E2281" t="s">
        <v>218</v>
      </c>
      <c r="F2281">
        <v>43</v>
      </c>
      <c r="G2281" t="s">
        <v>14</v>
      </c>
      <c r="H2281" t="s">
        <v>15</v>
      </c>
      <c r="I2281" t="s">
        <v>21</v>
      </c>
      <c r="J2281" t="s">
        <v>23</v>
      </c>
      <c r="K2281" t="s">
        <v>22</v>
      </c>
      <c r="L2281">
        <v>4</v>
      </c>
      <c r="M2281" s="12">
        <v>54999</v>
      </c>
      <c r="N2281" s="12">
        <v>45099.18</v>
      </c>
      <c r="O2281">
        <v>5</v>
      </c>
      <c r="P2281" s="12">
        <v>208996.19999999998</v>
      </c>
      <c r="Q2281" s="12">
        <v>180396.72</v>
      </c>
      <c r="R2281" s="12">
        <v>28599.479999999981</v>
      </c>
      <c r="S2281" t="s">
        <v>1246</v>
      </c>
      <c r="T2281" t="s">
        <v>108</v>
      </c>
      <c r="U2281" t="s">
        <v>1211</v>
      </c>
    </row>
    <row r="2282" spans="1:21" x14ac:dyDescent="0.25">
      <c r="A2282" t="s">
        <v>4322</v>
      </c>
      <c r="B2282" s="8">
        <v>45687</v>
      </c>
      <c r="C2282" t="s">
        <v>3442</v>
      </c>
      <c r="D2282" t="s">
        <v>1155</v>
      </c>
      <c r="E2282" t="s">
        <v>218</v>
      </c>
      <c r="F2282">
        <v>53</v>
      </c>
      <c r="G2282" t="s">
        <v>290</v>
      </c>
      <c r="H2282" t="s">
        <v>3</v>
      </c>
      <c r="I2282" t="s">
        <v>49</v>
      </c>
      <c r="J2282" t="s">
        <v>56</v>
      </c>
      <c r="K2282" t="s">
        <v>43</v>
      </c>
      <c r="L2282">
        <v>5</v>
      </c>
      <c r="M2282" s="12">
        <v>31999</v>
      </c>
      <c r="N2282" s="12">
        <v>25599.200000000001</v>
      </c>
      <c r="O2282">
        <v>2</v>
      </c>
      <c r="P2282" s="12">
        <v>156795.1</v>
      </c>
      <c r="Q2282" s="12">
        <v>127996</v>
      </c>
      <c r="R2282" s="12">
        <v>28799.100000000006</v>
      </c>
      <c r="S2282" t="s">
        <v>113</v>
      </c>
      <c r="T2282" t="s">
        <v>107</v>
      </c>
      <c r="U2282" t="s">
        <v>1194</v>
      </c>
    </row>
    <row r="2283" spans="1:21" x14ac:dyDescent="0.25">
      <c r="A2283" t="s">
        <v>4323</v>
      </c>
      <c r="B2283" s="8">
        <v>45978</v>
      </c>
      <c r="C2283" t="s">
        <v>2620</v>
      </c>
      <c r="D2283" t="s">
        <v>542</v>
      </c>
      <c r="E2283" t="s">
        <v>198</v>
      </c>
      <c r="F2283">
        <v>43</v>
      </c>
      <c r="G2283" t="s">
        <v>14</v>
      </c>
      <c r="H2283" t="s">
        <v>15</v>
      </c>
      <c r="I2283" t="s">
        <v>57</v>
      </c>
      <c r="J2283" t="s">
        <v>67</v>
      </c>
      <c r="K2283" t="s">
        <v>64</v>
      </c>
      <c r="L2283">
        <v>5</v>
      </c>
      <c r="M2283" s="12">
        <v>150</v>
      </c>
      <c r="N2283" s="12">
        <v>97.5</v>
      </c>
      <c r="O2283">
        <v>7</v>
      </c>
      <c r="P2283" s="12">
        <v>697.5</v>
      </c>
      <c r="Q2283" s="12">
        <v>487.5</v>
      </c>
      <c r="R2283" s="12">
        <v>210</v>
      </c>
      <c r="S2283" t="s">
        <v>1246</v>
      </c>
      <c r="T2283" t="s">
        <v>108</v>
      </c>
      <c r="U2283" t="s">
        <v>1198</v>
      </c>
    </row>
    <row r="2284" spans="1:21" x14ac:dyDescent="0.25">
      <c r="A2284" t="s">
        <v>4324</v>
      </c>
      <c r="B2284" s="8">
        <v>45883</v>
      </c>
      <c r="C2284" t="s">
        <v>2576</v>
      </c>
      <c r="D2284" t="s">
        <v>470</v>
      </c>
      <c r="E2284" t="s">
        <v>198</v>
      </c>
      <c r="F2284">
        <v>31</v>
      </c>
      <c r="G2284" t="s">
        <v>14</v>
      </c>
      <c r="H2284" t="s">
        <v>15</v>
      </c>
      <c r="I2284" t="s">
        <v>57</v>
      </c>
      <c r="J2284" t="s">
        <v>67</v>
      </c>
      <c r="K2284" t="s">
        <v>64</v>
      </c>
      <c r="L2284">
        <v>2</v>
      </c>
      <c r="M2284" s="12">
        <v>150</v>
      </c>
      <c r="N2284" s="12">
        <v>97.5</v>
      </c>
      <c r="O2284">
        <v>1</v>
      </c>
      <c r="P2284" s="12">
        <v>297</v>
      </c>
      <c r="Q2284" s="12">
        <v>195</v>
      </c>
      <c r="R2284" s="12">
        <v>102</v>
      </c>
      <c r="S2284" t="s">
        <v>113</v>
      </c>
      <c r="T2284" t="s">
        <v>108</v>
      </c>
      <c r="U2284" t="s">
        <v>1205</v>
      </c>
    </row>
    <row r="2285" spans="1:21" x14ac:dyDescent="0.25">
      <c r="A2285" t="s">
        <v>4325</v>
      </c>
      <c r="B2285" s="8">
        <v>45853</v>
      </c>
      <c r="C2285" t="s">
        <v>2009</v>
      </c>
      <c r="D2285" t="s">
        <v>873</v>
      </c>
      <c r="E2285" t="s">
        <v>198</v>
      </c>
      <c r="F2285">
        <v>47</v>
      </c>
      <c r="G2285" t="s">
        <v>14</v>
      </c>
      <c r="H2285" t="s">
        <v>15</v>
      </c>
      <c r="I2285" t="s">
        <v>51</v>
      </c>
      <c r="J2285" t="s">
        <v>54</v>
      </c>
      <c r="K2285" t="s">
        <v>43</v>
      </c>
      <c r="L2285">
        <v>4</v>
      </c>
      <c r="M2285" s="12">
        <v>27499</v>
      </c>
      <c r="N2285" s="12">
        <v>21724.210000000003</v>
      </c>
      <c r="O2285">
        <v>6</v>
      </c>
      <c r="P2285" s="12">
        <v>103396.23999999999</v>
      </c>
      <c r="Q2285" s="12">
        <v>86896.840000000011</v>
      </c>
      <c r="R2285" s="12">
        <v>16499.39999999998</v>
      </c>
      <c r="S2285" t="s">
        <v>113</v>
      </c>
      <c r="T2285" t="s">
        <v>110</v>
      </c>
      <c r="U2285" t="s">
        <v>1198</v>
      </c>
    </row>
    <row r="2286" spans="1:21" x14ac:dyDescent="0.25">
      <c r="A2286" t="s">
        <v>4326</v>
      </c>
      <c r="B2286" s="8">
        <v>45782</v>
      </c>
      <c r="C2286" t="s">
        <v>2567</v>
      </c>
      <c r="D2286" t="s">
        <v>380</v>
      </c>
      <c r="E2286" t="s">
        <v>218</v>
      </c>
      <c r="F2286">
        <v>29</v>
      </c>
      <c r="G2286" t="s">
        <v>9</v>
      </c>
      <c r="H2286" t="s">
        <v>8</v>
      </c>
      <c r="I2286" t="s">
        <v>28</v>
      </c>
      <c r="J2286" t="s">
        <v>35</v>
      </c>
      <c r="K2286" t="s">
        <v>22</v>
      </c>
      <c r="L2286">
        <v>1</v>
      </c>
      <c r="M2286" s="12">
        <v>16499</v>
      </c>
      <c r="N2286" s="12">
        <v>14519.12</v>
      </c>
      <c r="O2286">
        <v>6</v>
      </c>
      <c r="P2286" s="12">
        <v>15509.06</v>
      </c>
      <c r="Q2286" s="12">
        <v>14519.12</v>
      </c>
      <c r="R2286" s="12">
        <v>989.93999999999869</v>
      </c>
      <c r="S2286" t="s">
        <v>113</v>
      </c>
      <c r="T2286" t="s">
        <v>111</v>
      </c>
      <c r="U2286" t="s">
        <v>1207</v>
      </c>
    </row>
    <row r="2287" spans="1:21" x14ac:dyDescent="0.25">
      <c r="A2287" t="s">
        <v>4327</v>
      </c>
      <c r="B2287" s="8">
        <v>45699</v>
      </c>
      <c r="C2287" t="s">
        <v>2232</v>
      </c>
      <c r="D2287" t="s">
        <v>794</v>
      </c>
      <c r="E2287" t="s">
        <v>218</v>
      </c>
      <c r="F2287">
        <v>27</v>
      </c>
      <c r="G2287" t="s">
        <v>4</v>
      </c>
      <c r="H2287" t="s">
        <v>3</v>
      </c>
      <c r="I2287" t="s">
        <v>34</v>
      </c>
      <c r="J2287" t="s">
        <v>137</v>
      </c>
      <c r="K2287" t="s">
        <v>22</v>
      </c>
      <c r="L2287">
        <v>3</v>
      </c>
      <c r="M2287" s="12">
        <v>6900</v>
      </c>
      <c r="N2287" s="12">
        <v>5727</v>
      </c>
      <c r="O2287">
        <v>5</v>
      </c>
      <c r="P2287" s="12">
        <v>19665</v>
      </c>
      <c r="Q2287" s="12">
        <v>17181</v>
      </c>
      <c r="R2287" s="12">
        <v>2484</v>
      </c>
      <c r="S2287" t="s">
        <v>113</v>
      </c>
      <c r="T2287" t="s">
        <v>111</v>
      </c>
      <c r="U2287" t="s">
        <v>1203</v>
      </c>
    </row>
    <row r="2288" spans="1:21" x14ac:dyDescent="0.25">
      <c r="A2288" t="s">
        <v>4328</v>
      </c>
      <c r="B2288" s="8">
        <v>45777</v>
      </c>
      <c r="C2288" t="s">
        <v>2279</v>
      </c>
      <c r="D2288" t="s">
        <v>1150</v>
      </c>
      <c r="E2288" t="s">
        <v>218</v>
      </c>
      <c r="F2288">
        <v>26</v>
      </c>
      <c r="G2288" t="s">
        <v>11</v>
      </c>
      <c r="H2288" t="s">
        <v>12</v>
      </c>
      <c r="I2288" t="s">
        <v>28</v>
      </c>
      <c r="J2288" t="s">
        <v>35</v>
      </c>
      <c r="K2288" t="s">
        <v>22</v>
      </c>
      <c r="L2288">
        <v>3</v>
      </c>
      <c r="M2288" s="12">
        <v>16499</v>
      </c>
      <c r="N2288" s="12">
        <v>14519.12</v>
      </c>
      <c r="O2288">
        <v>6</v>
      </c>
      <c r="P2288" s="12">
        <v>46527.18</v>
      </c>
      <c r="Q2288" s="12">
        <v>43557.36</v>
      </c>
      <c r="R2288" s="12">
        <v>2969.8199999999997</v>
      </c>
      <c r="S2288" t="s">
        <v>1246</v>
      </c>
      <c r="T2288" t="s">
        <v>108</v>
      </c>
      <c r="U2288" t="s">
        <v>1203</v>
      </c>
    </row>
    <row r="2289" spans="1:21" x14ac:dyDescent="0.25">
      <c r="A2289" t="s">
        <v>4329</v>
      </c>
      <c r="B2289" s="8">
        <v>45846</v>
      </c>
      <c r="C2289" t="s">
        <v>2890</v>
      </c>
      <c r="D2289" t="s">
        <v>1095</v>
      </c>
      <c r="E2289" t="s">
        <v>198</v>
      </c>
      <c r="F2289">
        <v>52</v>
      </c>
      <c r="G2289" t="s">
        <v>7</v>
      </c>
      <c r="H2289" t="s">
        <v>8</v>
      </c>
      <c r="I2289" t="s">
        <v>47</v>
      </c>
      <c r="J2289" t="s">
        <v>52</v>
      </c>
      <c r="K2289" t="s">
        <v>43</v>
      </c>
      <c r="L2289">
        <v>2</v>
      </c>
      <c r="M2289" s="12">
        <v>42999</v>
      </c>
      <c r="N2289" s="12">
        <v>33539.22</v>
      </c>
      <c r="O2289">
        <v>5</v>
      </c>
      <c r="P2289" s="12">
        <v>81698.099999999991</v>
      </c>
      <c r="Q2289" s="12">
        <v>67078.44</v>
      </c>
      <c r="R2289" s="12">
        <v>14619.659999999989</v>
      </c>
      <c r="S2289" t="s">
        <v>113</v>
      </c>
      <c r="T2289" t="s">
        <v>108</v>
      </c>
      <c r="U2289" t="s">
        <v>1207</v>
      </c>
    </row>
    <row r="2290" spans="1:21" x14ac:dyDescent="0.25">
      <c r="A2290" t="s">
        <v>4330</v>
      </c>
      <c r="B2290" s="8">
        <v>45858</v>
      </c>
      <c r="C2290" t="s">
        <v>1805</v>
      </c>
      <c r="D2290" t="s">
        <v>1042</v>
      </c>
      <c r="E2290" t="s">
        <v>218</v>
      </c>
      <c r="F2290">
        <v>64</v>
      </c>
      <c r="G2290" t="s">
        <v>5</v>
      </c>
      <c r="H2290" t="s">
        <v>3</v>
      </c>
      <c r="I2290" t="s">
        <v>34</v>
      </c>
      <c r="J2290" t="s">
        <v>137</v>
      </c>
      <c r="K2290" t="s">
        <v>22</v>
      </c>
      <c r="L2290">
        <v>3</v>
      </c>
      <c r="M2290" s="12">
        <v>6900</v>
      </c>
      <c r="N2290" s="12">
        <v>5727</v>
      </c>
      <c r="O2290">
        <v>4</v>
      </c>
      <c r="P2290" s="12">
        <v>19872</v>
      </c>
      <c r="Q2290" s="12">
        <v>17181</v>
      </c>
      <c r="R2290" s="12">
        <v>2691</v>
      </c>
      <c r="S2290" t="s">
        <v>1246</v>
      </c>
      <c r="T2290" t="s">
        <v>107</v>
      </c>
      <c r="U2290" t="s">
        <v>1199</v>
      </c>
    </row>
    <row r="2291" spans="1:21" x14ac:dyDescent="0.25">
      <c r="A2291" t="s">
        <v>4331</v>
      </c>
      <c r="B2291" s="8">
        <v>45843</v>
      </c>
      <c r="C2291" t="s">
        <v>1724</v>
      </c>
      <c r="D2291" t="s">
        <v>685</v>
      </c>
      <c r="E2291" t="s">
        <v>198</v>
      </c>
      <c r="F2291">
        <v>35</v>
      </c>
      <c r="G2291" t="s">
        <v>289</v>
      </c>
      <c r="H2291" t="s">
        <v>3</v>
      </c>
      <c r="I2291" t="s">
        <v>63</v>
      </c>
      <c r="J2291" t="s">
        <v>77</v>
      </c>
      <c r="K2291" t="s">
        <v>64</v>
      </c>
      <c r="L2291">
        <v>5</v>
      </c>
      <c r="M2291" s="12">
        <v>650</v>
      </c>
      <c r="N2291" s="12">
        <v>468</v>
      </c>
      <c r="O2291">
        <v>4</v>
      </c>
      <c r="P2291" s="12">
        <v>3120</v>
      </c>
      <c r="Q2291" s="12">
        <v>2340</v>
      </c>
      <c r="R2291" s="12">
        <v>780</v>
      </c>
      <c r="S2291" t="s">
        <v>1246</v>
      </c>
      <c r="T2291" t="s">
        <v>108</v>
      </c>
      <c r="U2291" t="s">
        <v>1194</v>
      </c>
    </row>
    <row r="2292" spans="1:21" x14ac:dyDescent="0.25">
      <c r="A2292" t="s">
        <v>4332</v>
      </c>
      <c r="B2292" s="8">
        <v>45824</v>
      </c>
      <c r="C2292" t="s">
        <v>1682</v>
      </c>
      <c r="D2292" t="s">
        <v>410</v>
      </c>
      <c r="E2292" t="s">
        <v>198</v>
      </c>
      <c r="F2292">
        <v>43</v>
      </c>
      <c r="G2292" t="s">
        <v>10</v>
      </c>
      <c r="H2292" t="s">
        <v>8</v>
      </c>
      <c r="I2292" t="s">
        <v>53</v>
      </c>
      <c r="J2292" t="s">
        <v>48</v>
      </c>
      <c r="K2292" t="s">
        <v>43</v>
      </c>
      <c r="L2292">
        <v>4</v>
      </c>
      <c r="M2292" s="12">
        <v>6499</v>
      </c>
      <c r="N2292" s="12">
        <v>4549.2999999999993</v>
      </c>
      <c r="O2292">
        <v>5</v>
      </c>
      <c r="P2292" s="12">
        <v>24696.199999999997</v>
      </c>
      <c r="Q2292" s="12">
        <v>18197.199999999997</v>
      </c>
      <c r="R2292" s="12">
        <v>6499</v>
      </c>
      <c r="S2292" t="s">
        <v>1246</v>
      </c>
      <c r="T2292" t="s">
        <v>109</v>
      </c>
      <c r="U2292" t="s">
        <v>1203</v>
      </c>
    </row>
    <row r="2293" spans="1:21" x14ac:dyDescent="0.25">
      <c r="A2293" t="s">
        <v>4333</v>
      </c>
      <c r="B2293" s="8">
        <v>45924</v>
      </c>
      <c r="C2293" t="s">
        <v>1561</v>
      </c>
      <c r="D2293" t="s">
        <v>729</v>
      </c>
      <c r="E2293" t="s">
        <v>218</v>
      </c>
      <c r="F2293">
        <v>57</v>
      </c>
      <c r="G2293" t="s">
        <v>10</v>
      </c>
      <c r="H2293" t="s">
        <v>8</v>
      </c>
      <c r="I2293" t="s">
        <v>40</v>
      </c>
      <c r="J2293" t="s">
        <v>39</v>
      </c>
      <c r="K2293" t="s">
        <v>22</v>
      </c>
      <c r="L2293">
        <v>4</v>
      </c>
      <c r="M2293" s="12">
        <v>1100</v>
      </c>
      <c r="N2293" s="12">
        <v>715</v>
      </c>
      <c r="O2293">
        <v>3</v>
      </c>
      <c r="P2293" s="12">
        <v>4268</v>
      </c>
      <c r="Q2293" s="12">
        <v>2860</v>
      </c>
      <c r="R2293" s="12">
        <v>1408</v>
      </c>
      <c r="S2293" t="s">
        <v>1246</v>
      </c>
      <c r="T2293" t="s">
        <v>108</v>
      </c>
      <c r="U2293" t="s">
        <v>1207</v>
      </c>
    </row>
    <row r="2294" spans="1:21" x14ac:dyDescent="0.25">
      <c r="A2294" t="s">
        <v>4334</v>
      </c>
      <c r="B2294" s="8">
        <v>45822</v>
      </c>
      <c r="C2294" t="s">
        <v>1684</v>
      </c>
      <c r="D2294" t="s">
        <v>999</v>
      </c>
      <c r="E2294" t="s">
        <v>198</v>
      </c>
      <c r="F2294">
        <v>58</v>
      </c>
      <c r="G2294" t="s">
        <v>9</v>
      </c>
      <c r="H2294" t="s">
        <v>8</v>
      </c>
      <c r="I2294" t="s">
        <v>26</v>
      </c>
      <c r="J2294" t="s">
        <v>27</v>
      </c>
      <c r="K2294" t="s">
        <v>22</v>
      </c>
      <c r="L2294">
        <v>5</v>
      </c>
      <c r="M2294" s="12">
        <v>27499</v>
      </c>
      <c r="N2294" s="12">
        <v>23374.149999999998</v>
      </c>
      <c r="O2294">
        <v>6</v>
      </c>
      <c r="P2294" s="12">
        <v>129245.29999999999</v>
      </c>
      <c r="Q2294" s="12">
        <v>116870.74999999999</v>
      </c>
      <c r="R2294" s="12">
        <v>12374.550000000003</v>
      </c>
      <c r="S2294" t="s">
        <v>113</v>
      </c>
      <c r="T2294" t="s">
        <v>110</v>
      </c>
      <c r="U2294" t="s">
        <v>1211</v>
      </c>
    </row>
    <row r="2295" spans="1:21" x14ac:dyDescent="0.25">
      <c r="A2295" t="s">
        <v>4335</v>
      </c>
      <c r="B2295" s="8">
        <v>45744</v>
      </c>
      <c r="C2295" t="s">
        <v>5001</v>
      </c>
      <c r="D2295" t="s">
        <v>772</v>
      </c>
      <c r="E2295" t="s">
        <v>198</v>
      </c>
      <c r="F2295">
        <v>34</v>
      </c>
      <c r="G2295" t="s">
        <v>2</v>
      </c>
      <c r="H2295" t="s">
        <v>3</v>
      </c>
      <c r="I2295" t="s">
        <v>45</v>
      </c>
      <c r="J2295" t="s">
        <v>46</v>
      </c>
      <c r="K2295" t="s">
        <v>43</v>
      </c>
      <c r="L2295">
        <v>1</v>
      </c>
      <c r="M2295" s="12">
        <v>11999</v>
      </c>
      <c r="N2295" s="12">
        <v>8999.25</v>
      </c>
      <c r="O2295">
        <v>8</v>
      </c>
      <c r="P2295" s="12">
        <v>11039.08</v>
      </c>
      <c r="Q2295" s="12">
        <v>8999.25</v>
      </c>
      <c r="R2295" s="12">
        <v>2039.83</v>
      </c>
      <c r="S2295" t="s">
        <v>1246</v>
      </c>
      <c r="T2295" t="s">
        <v>107</v>
      </c>
      <c r="U2295" t="s">
        <v>1196</v>
      </c>
    </row>
    <row r="2296" spans="1:21" x14ac:dyDescent="0.25">
      <c r="A2296" t="s">
        <v>4336</v>
      </c>
      <c r="B2296" s="8">
        <v>45937</v>
      </c>
      <c r="C2296" t="s">
        <v>1353</v>
      </c>
      <c r="D2296" t="s">
        <v>854</v>
      </c>
      <c r="E2296" t="s">
        <v>218</v>
      </c>
      <c r="F2296">
        <v>28</v>
      </c>
      <c r="G2296" t="s">
        <v>2</v>
      </c>
      <c r="H2296" t="s">
        <v>3</v>
      </c>
      <c r="I2296" t="s">
        <v>40</v>
      </c>
      <c r="J2296" t="s">
        <v>39</v>
      </c>
      <c r="K2296" t="s">
        <v>22</v>
      </c>
      <c r="L2296">
        <v>1</v>
      </c>
      <c r="M2296" s="12">
        <v>1100</v>
      </c>
      <c r="N2296" s="12">
        <v>715</v>
      </c>
      <c r="O2296">
        <v>8</v>
      </c>
      <c r="P2296" s="12">
        <v>1012</v>
      </c>
      <c r="Q2296" s="12">
        <v>715</v>
      </c>
      <c r="R2296" s="12">
        <v>297</v>
      </c>
      <c r="S2296" t="s">
        <v>113</v>
      </c>
      <c r="T2296" t="s">
        <v>108</v>
      </c>
      <c r="U2296" t="s">
        <v>1203</v>
      </c>
    </row>
    <row r="2297" spans="1:21" x14ac:dyDescent="0.25">
      <c r="A2297" t="s">
        <v>4337</v>
      </c>
      <c r="B2297" s="8">
        <v>45666</v>
      </c>
      <c r="C2297" t="s">
        <v>2993</v>
      </c>
      <c r="D2297" t="s">
        <v>1083</v>
      </c>
      <c r="E2297" t="s">
        <v>218</v>
      </c>
      <c r="F2297">
        <v>62</v>
      </c>
      <c r="G2297" t="s">
        <v>14</v>
      </c>
      <c r="H2297" t="s">
        <v>15</v>
      </c>
      <c r="I2297" t="s">
        <v>57</v>
      </c>
      <c r="J2297" t="s">
        <v>67</v>
      </c>
      <c r="K2297" t="s">
        <v>64</v>
      </c>
      <c r="L2297">
        <v>1</v>
      </c>
      <c r="M2297" s="12">
        <v>150</v>
      </c>
      <c r="N2297" s="12">
        <v>97.5</v>
      </c>
      <c r="O2297">
        <v>15</v>
      </c>
      <c r="P2297" s="12">
        <v>127.5</v>
      </c>
      <c r="Q2297" s="12">
        <v>97.5</v>
      </c>
      <c r="R2297" s="12">
        <v>30</v>
      </c>
      <c r="S2297" t="s">
        <v>113</v>
      </c>
      <c r="T2297" t="s">
        <v>107</v>
      </c>
      <c r="U2297" t="s">
        <v>1198</v>
      </c>
    </row>
    <row r="2298" spans="1:21" x14ac:dyDescent="0.25">
      <c r="A2298" t="s">
        <v>4338</v>
      </c>
      <c r="B2298" s="8">
        <v>45748</v>
      </c>
      <c r="C2298" t="s">
        <v>2090</v>
      </c>
      <c r="D2298" t="s">
        <v>689</v>
      </c>
      <c r="E2298" t="s">
        <v>218</v>
      </c>
      <c r="F2298">
        <v>51</v>
      </c>
      <c r="G2298" t="s">
        <v>2</v>
      </c>
      <c r="H2298" t="s">
        <v>3</v>
      </c>
      <c r="I2298" t="s">
        <v>49</v>
      </c>
      <c r="J2298" t="s">
        <v>56</v>
      </c>
      <c r="K2298" t="s">
        <v>43</v>
      </c>
      <c r="L2298">
        <v>2</v>
      </c>
      <c r="M2298" s="12">
        <v>31999</v>
      </c>
      <c r="N2298" s="12">
        <v>25599.200000000001</v>
      </c>
      <c r="O2298">
        <v>9</v>
      </c>
      <c r="P2298" s="12">
        <v>58238.18</v>
      </c>
      <c r="Q2298" s="12">
        <v>51198.400000000001</v>
      </c>
      <c r="R2298" s="12">
        <v>7039.7799999999988</v>
      </c>
      <c r="S2298" t="s">
        <v>1246</v>
      </c>
      <c r="T2298" t="s">
        <v>107</v>
      </c>
      <c r="U2298" t="s">
        <v>1199</v>
      </c>
    </row>
    <row r="2299" spans="1:21" x14ac:dyDescent="0.25">
      <c r="A2299" t="s">
        <v>4339</v>
      </c>
      <c r="B2299" s="8">
        <v>45679</v>
      </c>
      <c r="C2299" t="s">
        <v>1318</v>
      </c>
      <c r="D2299" t="s">
        <v>653</v>
      </c>
      <c r="E2299" t="s">
        <v>218</v>
      </c>
      <c r="F2299">
        <v>41</v>
      </c>
      <c r="G2299" t="s">
        <v>10</v>
      </c>
      <c r="H2299" t="s">
        <v>8</v>
      </c>
      <c r="I2299" t="s">
        <v>49</v>
      </c>
      <c r="J2299" t="s">
        <v>56</v>
      </c>
      <c r="K2299" t="s">
        <v>43</v>
      </c>
      <c r="L2299">
        <v>4</v>
      </c>
      <c r="M2299" s="12">
        <v>31999</v>
      </c>
      <c r="N2299" s="12">
        <v>25599.200000000001</v>
      </c>
      <c r="O2299">
        <v>5</v>
      </c>
      <c r="P2299" s="12">
        <v>121596.2</v>
      </c>
      <c r="Q2299" s="12">
        <v>102396.8</v>
      </c>
      <c r="R2299" s="12">
        <v>19199.399999999994</v>
      </c>
      <c r="S2299" t="s">
        <v>113</v>
      </c>
      <c r="T2299" t="s">
        <v>109</v>
      </c>
      <c r="U2299" t="s">
        <v>1201</v>
      </c>
    </row>
    <row r="2300" spans="1:21" x14ac:dyDescent="0.25">
      <c r="A2300" t="s">
        <v>4340</v>
      </c>
      <c r="B2300" s="8">
        <v>45857</v>
      </c>
      <c r="C2300" t="s">
        <v>5075</v>
      </c>
      <c r="D2300" t="s">
        <v>407</v>
      </c>
      <c r="E2300" t="s">
        <v>218</v>
      </c>
      <c r="F2300">
        <v>37</v>
      </c>
      <c r="G2300" t="s">
        <v>289</v>
      </c>
      <c r="H2300" t="s">
        <v>3</v>
      </c>
      <c r="I2300" t="s">
        <v>38</v>
      </c>
      <c r="J2300" t="s">
        <v>37</v>
      </c>
      <c r="K2300" t="s">
        <v>22</v>
      </c>
      <c r="L2300">
        <v>5</v>
      </c>
      <c r="M2300" s="12">
        <v>1650</v>
      </c>
      <c r="N2300" s="12">
        <v>990</v>
      </c>
      <c r="O2300">
        <v>3</v>
      </c>
      <c r="P2300" s="12">
        <v>8002.5</v>
      </c>
      <c r="Q2300" s="12">
        <v>4950</v>
      </c>
      <c r="R2300" s="12">
        <v>3052.5</v>
      </c>
      <c r="S2300" t="s">
        <v>1246</v>
      </c>
      <c r="T2300" t="s">
        <v>110</v>
      </c>
      <c r="U2300" t="s">
        <v>1199</v>
      </c>
    </row>
    <row r="2301" spans="1:21" x14ac:dyDescent="0.25">
      <c r="A2301" t="s">
        <v>4341</v>
      </c>
      <c r="B2301" s="8">
        <v>45881</v>
      </c>
      <c r="C2301" t="s">
        <v>1368</v>
      </c>
      <c r="D2301" t="s">
        <v>602</v>
      </c>
      <c r="E2301" t="s">
        <v>198</v>
      </c>
      <c r="F2301">
        <v>51</v>
      </c>
      <c r="G2301" t="s">
        <v>14</v>
      </c>
      <c r="H2301" t="s">
        <v>15</v>
      </c>
      <c r="I2301" t="s">
        <v>21</v>
      </c>
      <c r="J2301" t="s">
        <v>23</v>
      </c>
      <c r="K2301" t="s">
        <v>22</v>
      </c>
      <c r="L2301">
        <v>1</v>
      </c>
      <c r="M2301" s="12">
        <v>54999</v>
      </c>
      <c r="N2301" s="12">
        <v>45099.18</v>
      </c>
      <c r="O2301">
        <v>5</v>
      </c>
      <c r="P2301" s="12">
        <v>52249.049999999996</v>
      </c>
      <c r="Q2301" s="12">
        <v>45099.18</v>
      </c>
      <c r="R2301" s="12">
        <v>7149.8699999999953</v>
      </c>
      <c r="S2301" t="s">
        <v>1249</v>
      </c>
      <c r="T2301" t="s">
        <v>109</v>
      </c>
      <c r="U2301" t="s">
        <v>1201</v>
      </c>
    </row>
    <row r="2302" spans="1:21" x14ac:dyDescent="0.25">
      <c r="A2302" t="s">
        <v>4342</v>
      </c>
      <c r="B2302" s="8">
        <v>45969</v>
      </c>
      <c r="C2302" t="s">
        <v>3375</v>
      </c>
      <c r="D2302" t="s">
        <v>956</v>
      </c>
      <c r="E2302" t="s">
        <v>218</v>
      </c>
      <c r="F2302">
        <v>21</v>
      </c>
      <c r="G2302" t="s">
        <v>17</v>
      </c>
      <c r="H2302" t="s">
        <v>15</v>
      </c>
      <c r="I2302" t="s">
        <v>61</v>
      </c>
      <c r="J2302" t="s">
        <v>146</v>
      </c>
      <c r="K2302" t="s">
        <v>64</v>
      </c>
      <c r="L2302">
        <v>3</v>
      </c>
      <c r="M2302" s="12">
        <v>250</v>
      </c>
      <c r="N2302" s="12">
        <v>155</v>
      </c>
      <c r="O2302">
        <v>6</v>
      </c>
      <c r="P2302" s="12">
        <v>705</v>
      </c>
      <c r="Q2302" s="12">
        <v>465</v>
      </c>
      <c r="R2302" s="12">
        <v>240</v>
      </c>
      <c r="S2302" t="s">
        <v>113</v>
      </c>
      <c r="T2302" t="s">
        <v>107</v>
      </c>
      <c r="U2302" t="s">
        <v>1205</v>
      </c>
    </row>
    <row r="2303" spans="1:21" x14ac:dyDescent="0.25">
      <c r="A2303" t="s">
        <v>4343</v>
      </c>
      <c r="B2303" s="8">
        <v>45682</v>
      </c>
      <c r="C2303" t="s">
        <v>2362</v>
      </c>
      <c r="D2303" t="s">
        <v>548</v>
      </c>
      <c r="E2303" t="s">
        <v>218</v>
      </c>
      <c r="F2303">
        <v>38</v>
      </c>
      <c r="G2303" t="s">
        <v>290</v>
      </c>
      <c r="H2303" t="s">
        <v>3</v>
      </c>
      <c r="I2303" t="s">
        <v>45</v>
      </c>
      <c r="J2303" t="s">
        <v>46</v>
      </c>
      <c r="K2303" t="s">
        <v>43</v>
      </c>
      <c r="L2303">
        <v>2</v>
      </c>
      <c r="M2303" s="12">
        <v>11999</v>
      </c>
      <c r="N2303" s="12">
        <v>8999.25</v>
      </c>
      <c r="O2303">
        <v>3</v>
      </c>
      <c r="P2303" s="12">
        <v>23278.059999999998</v>
      </c>
      <c r="Q2303" s="12">
        <v>17998.5</v>
      </c>
      <c r="R2303" s="12">
        <v>5279.5599999999977</v>
      </c>
      <c r="S2303" t="s">
        <v>1246</v>
      </c>
      <c r="T2303" t="s">
        <v>108</v>
      </c>
      <c r="U2303" t="s">
        <v>1196</v>
      </c>
    </row>
    <row r="2304" spans="1:21" x14ac:dyDescent="0.25">
      <c r="A2304" t="s">
        <v>4344</v>
      </c>
      <c r="B2304" s="8">
        <v>46006</v>
      </c>
      <c r="C2304" t="s">
        <v>2234</v>
      </c>
      <c r="D2304" t="s">
        <v>570</v>
      </c>
      <c r="E2304" t="s">
        <v>198</v>
      </c>
      <c r="F2304">
        <v>29</v>
      </c>
      <c r="G2304" t="s">
        <v>4</v>
      </c>
      <c r="H2304" t="s">
        <v>3</v>
      </c>
      <c r="I2304" t="s">
        <v>32</v>
      </c>
      <c r="J2304" t="s">
        <v>29</v>
      </c>
      <c r="K2304" t="s">
        <v>22</v>
      </c>
      <c r="L2304">
        <v>5</v>
      </c>
      <c r="M2304" s="12">
        <v>9500</v>
      </c>
      <c r="N2304" s="12">
        <v>6650</v>
      </c>
      <c r="O2304">
        <v>15</v>
      </c>
      <c r="P2304" s="12">
        <v>40375</v>
      </c>
      <c r="Q2304" s="12">
        <v>33250</v>
      </c>
      <c r="R2304" s="12">
        <v>7125</v>
      </c>
      <c r="S2304" t="s">
        <v>1246</v>
      </c>
      <c r="T2304" t="s">
        <v>111</v>
      </c>
      <c r="U2304" t="s">
        <v>1201</v>
      </c>
    </row>
    <row r="2305" spans="1:21" x14ac:dyDescent="0.25">
      <c r="A2305" t="s">
        <v>4345</v>
      </c>
      <c r="B2305" s="8">
        <v>46003</v>
      </c>
      <c r="C2305" t="s">
        <v>2092</v>
      </c>
      <c r="D2305" t="s">
        <v>565</v>
      </c>
      <c r="E2305" t="s">
        <v>198</v>
      </c>
      <c r="F2305">
        <v>26</v>
      </c>
      <c r="G2305" t="s">
        <v>9</v>
      </c>
      <c r="H2305" t="s">
        <v>8</v>
      </c>
      <c r="I2305" t="s">
        <v>40</v>
      </c>
      <c r="J2305" t="s">
        <v>39</v>
      </c>
      <c r="K2305" t="s">
        <v>22</v>
      </c>
      <c r="L2305">
        <v>4</v>
      </c>
      <c r="M2305" s="12">
        <v>1100</v>
      </c>
      <c r="N2305" s="12">
        <v>715</v>
      </c>
      <c r="O2305">
        <v>18</v>
      </c>
      <c r="P2305" s="12">
        <v>3608.0000000000005</v>
      </c>
      <c r="Q2305" s="12">
        <v>2860</v>
      </c>
      <c r="R2305" s="12">
        <v>748.00000000000045</v>
      </c>
      <c r="S2305" t="s">
        <v>1246</v>
      </c>
      <c r="T2305" t="s">
        <v>107</v>
      </c>
      <c r="U2305" t="s">
        <v>1211</v>
      </c>
    </row>
    <row r="2306" spans="1:21" x14ac:dyDescent="0.25">
      <c r="A2306" t="s">
        <v>4346</v>
      </c>
      <c r="B2306" s="8">
        <v>45959</v>
      </c>
      <c r="C2306" t="s">
        <v>1440</v>
      </c>
      <c r="D2306" t="s">
        <v>979</v>
      </c>
      <c r="E2306" t="s">
        <v>218</v>
      </c>
      <c r="F2306">
        <v>23</v>
      </c>
      <c r="G2306" t="s">
        <v>289</v>
      </c>
      <c r="H2306" t="s">
        <v>3</v>
      </c>
      <c r="I2306" t="s">
        <v>63</v>
      </c>
      <c r="J2306" t="s">
        <v>77</v>
      </c>
      <c r="K2306" t="s">
        <v>64</v>
      </c>
      <c r="L2306">
        <v>1</v>
      </c>
      <c r="M2306" s="12">
        <v>650</v>
      </c>
      <c r="N2306" s="12">
        <v>468</v>
      </c>
      <c r="O2306">
        <v>5</v>
      </c>
      <c r="P2306" s="12">
        <v>617.5</v>
      </c>
      <c r="Q2306" s="12">
        <v>468</v>
      </c>
      <c r="R2306" s="12">
        <v>149.5</v>
      </c>
      <c r="S2306" t="s">
        <v>1246</v>
      </c>
      <c r="T2306" t="s">
        <v>107</v>
      </c>
      <c r="U2306" t="s">
        <v>1205</v>
      </c>
    </row>
    <row r="2307" spans="1:21" x14ac:dyDescent="0.25">
      <c r="A2307" t="s">
        <v>4347</v>
      </c>
      <c r="B2307" s="8">
        <v>45999</v>
      </c>
      <c r="C2307" t="s">
        <v>1731</v>
      </c>
      <c r="D2307" t="s">
        <v>865</v>
      </c>
      <c r="E2307" t="s">
        <v>198</v>
      </c>
      <c r="F2307">
        <v>43</v>
      </c>
      <c r="G2307" t="s">
        <v>10</v>
      </c>
      <c r="H2307" t="s">
        <v>8</v>
      </c>
      <c r="I2307" t="s">
        <v>51</v>
      </c>
      <c r="J2307" t="s">
        <v>54</v>
      </c>
      <c r="K2307" t="s">
        <v>43</v>
      </c>
      <c r="L2307">
        <v>5</v>
      </c>
      <c r="M2307" s="12">
        <v>27499</v>
      </c>
      <c r="N2307" s="12">
        <v>21724.210000000003</v>
      </c>
      <c r="O2307">
        <v>17</v>
      </c>
      <c r="P2307" s="12">
        <v>114120.84999999999</v>
      </c>
      <c r="Q2307" s="12">
        <v>108621.05000000002</v>
      </c>
      <c r="R2307" s="12">
        <v>5499.7999999999738</v>
      </c>
      <c r="S2307" t="s">
        <v>113</v>
      </c>
      <c r="T2307" t="s">
        <v>108</v>
      </c>
      <c r="U2307" t="s">
        <v>1203</v>
      </c>
    </row>
    <row r="2308" spans="1:21" x14ac:dyDescent="0.25">
      <c r="A2308" t="s">
        <v>4348</v>
      </c>
      <c r="B2308" s="8">
        <v>46008</v>
      </c>
      <c r="C2308" t="s">
        <v>2082</v>
      </c>
      <c r="D2308" t="s">
        <v>708</v>
      </c>
      <c r="E2308" t="s">
        <v>198</v>
      </c>
      <c r="F2308">
        <v>43</v>
      </c>
      <c r="G2308" t="s">
        <v>10</v>
      </c>
      <c r="H2308" t="s">
        <v>8</v>
      </c>
      <c r="I2308" t="s">
        <v>26</v>
      </c>
      <c r="J2308" t="s">
        <v>27</v>
      </c>
      <c r="K2308" t="s">
        <v>22</v>
      </c>
      <c r="L2308">
        <v>3</v>
      </c>
      <c r="M2308" s="12">
        <v>27499</v>
      </c>
      <c r="N2308" s="12">
        <v>23374.149999999998</v>
      </c>
      <c r="O2308">
        <v>13</v>
      </c>
      <c r="P2308" s="12">
        <v>71772.39</v>
      </c>
      <c r="Q2308" s="12">
        <v>70122.45</v>
      </c>
      <c r="R2308" s="12">
        <v>1649.9400000000023</v>
      </c>
      <c r="S2308" t="s">
        <v>1246</v>
      </c>
      <c r="T2308" t="s">
        <v>107</v>
      </c>
      <c r="U2308" t="s">
        <v>1201</v>
      </c>
    </row>
    <row r="2309" spans="1:21" x14ac:dyDescent="0.25">
      <c r="A2309" t="s">
        <v>4349</v>
      </c>
      <c r="B2309" s="8">
        <v>45755</v>
      </c>
      <c r="C2309" t="s">
        <v>1293</v>
      </c>
      <c r="D2309" t="s">
        <v>1113</v>
      </c>
      <c r="E2309" t="s">
        <v>198</v>
      </c>
      <c r="F2309">
        <v>50</v>
      </c>
      <c r="G2309" t="s">
        <v>14</v>
      </c>
      <c r="H2309" t="s">
        <v>15</v>
      </c>
      <c r="I2309" t="s">
        <v>45</v>
      </c>
      <c r="J2309" t="s">
        <v>46</v>
      </c>
      <c r="K2309" t="s">
        <v>43</v>
      </c>
      <c r="L2309">
        <v>1</v>
      </c>
      <c r="M2309" s="12">
        <v>11999</v>
      </c>
      <c r="N2309" s="12">
        <v>8999.25</v>
      </c>
      <c r="O2309">
        <v>9</v>
      </c>
      <c r="P2309" s="12">
        <v>10919.09</v>
      </c>
      <c r="Q2309" s="12">
        <v>8999.25</v>
      </c>
      <c r="R2309" s="12">
        <v>1919.8400000000001</v>
      </c>
      <c r="S2309" t="s">
        <v>113</v>
      </c>
      <c r="T2309" t="s">
        <v>110</v>
      </c>
      <c r="U2309" t="s">
        <v>1199</v>
      </c>
    </row>
    <row r="2310" spans="1:21" x14ac:dyDescent="0.25">
      <c r="A2310" t="s">
        <v>4350</v>
      </c>
      <c r="B2310" s="8">
        <v>45935</v>
      </c>
      <c r="C2310" t="s">
        <v>3463</v>
      </c>
      <c r="D2310" t="s">
        <v>448</v>
      </c>
      <c r="E2310" t="s">
        <v>198</v>
      </c>
      <c r="F2310">
        <v>25</v>
      </c>
      <c r="G2310" t="s">
        <v>2</v>
      </c>
      <c r="H2310" t="s">
        <v>3</v>
      </c>
      <c r="I2310" t="s">
        <v>38</v>
      </c>
      <c r="J2310" t="s">
        <v>37</v>
      </c>
      <c r="K2310" t="s">
        <v>22</v>
      </c>
      <c r="L2310">
        <v>1</v>
      </c>
      <c r="M2310" s="12">
        <v>1650</v>
      </c>
      <c r="N2310" s="12">
        <v>990</v>
      </c>
      <c r="O2310">
        <v>6</v>
      </c>
      <c r="P2310" s="12">
        <v>1551</v>
      </c>
      <c r="Q2310" s="12">
        <v>990</v>
      </c>
      <c r="R2310" s="12">
        <v>561</v>
      </c>
      <c r="S2310" t="s">
        <v>113</v>
      </c>
      <c r="T2310" t="s">
        <v>111</v>
      </c>
      <c r="U2310" t="s">
        <v>1194</v>
      </c>
    </row>
    <row r="2311" spans="1:21" x14ac:dyDescent="0.25">
      <c r="A2311" t="s">
        <v>4351</v>
      </c>
      <c r="B2311" s="8">
        <v>45890</v>
      </c>
      <c r="C2311" t="s">
        <v>2167</v>
      </c>
      <c r="D2311" t="s">
        <v>569</v>
      </c>
      <c r="E2311" t="s">
        <v>218</v>
      </c>
      <c r="F2311">
        <v>21</v>
      </c>
      <c r="G2311" t="s">
        <v>14</v>
      </c>
      <c r="H2311" t="s">
        <v>15</v>
      </c>
      <c r="I2311" t="s">
        <v>36</v>
      </c>
      <c r="J2311" t="s">
        <v>136</v>
      </c>
      <c r="K2311" t="s">
        <v>22</v>
      </c>
      <c r="L2311">
        <v>5</v>
      </c>
      <c r="M2311" s="12">
        <v>3590</v>
      </c>
      <c r="N2311" s="12">
        <v>2333.5</v>
      </c>
      <c r="O2311">
        <v>4</v>
      </c>
      <c r="P2311" s="12">
        <v>17232</v>
      </c>
      <c r="Q2311" s="12">
        <v>11667.5</v>
      </c>
      <c r="R2311" s="12">
        <v>5564.5</v>
      </c>
      <c r="S2311" t="s">
        <v>1246</v>
      </c>
      <c r="T2311" t="s">
        <v>109</v>
      </c>
      <c r="U2311" t="s">
        <v>1198</v>
      </c>
    </row>
    <row r="2312" spans="1:21" x14ac:dyDescent="0.25">
      <c r="A2312" t="s">
        <v>4352</v>
      </c>
      <c r="B2312" s="8">
        <v>45972</v>
      </c>
      <c r="C2312" t="s">
        <v>1421</v>
      </c>
      <c r="D2312" t="s">
        <v>1035</v>
      </c>
      <c r="E2312" t="s">
        <v>198</v>
      </c>
      <c r="F2312">
        <v>32</v>
      </c>
      <c r="G2312" t="s">
        <v>289</v>
      </c>
      <c r="H2312" t="s">
        <v>3</v>
      </c>
      <c r="I2312" t="s">
        <v>45</v>
      </c>
      <c r="J2312" t="s">
        <v>46</v>
      </c>
      <c r="K2312" t="s">
        <v>43</v>
      </c>
      <c r="L2312">
        <v>2</v>
      </c>
      <c r="M2312" s="12">
        <v>11999</v>
      </c>
      <c r="N2312" s="12">
        <v>8999.25</v>
      </c>
      <c r="O2312">
        <v>18</v>
      </c>
      <c r="P2312" s="12">
        <v>19678.36</v>
      </c>
      <c r="Q2312" s="12">
        <v>17998.5</v>
      </c>
      <c r="R2312" s="12">
        <v>1679.8600000000006</v>
      </c>
      <c r="S2312" t="s">
        <v>113</v>
      </c>
      <c r="T2312" t="s">
        <v>108</v>
      </c>
      <c r="U2312" t="s">
        <v>1201</v>
      </c>
    </row>
    <row r="2313" spans="1:21" x14ac:dyDescent="0.25">
      <c r="A2313" t="s">
        <v>4353</v>
      </c>
      <c r="B2313" s="8">
        <v>45890</v>
      </c>
      <c r="C2313" t="s">
        <v>2259</v>
      </c>
      <c r="D2313" t="s">
        <v>798</v>
      </c>
      <c r="E2313" t="s">
        <v>218</v>
      </c>
      <c r="F2313">
        <v>55</v>
      </c>
      <c r="G2313" t="s">
        <v>16</v>
      </c>
      <c r="H2313" t="s">
        <v>15</v>
      </c>
      <c r="I2313" t="s">
        <v>47</v>
      </c>
      <c r="J2313" t="s">
        <v>52</v>
      </c>
      <c r="K2313" t="s">
        <v>43</v>
      </c>
      <c r="L2313">
        <v>3</v>
      </c>
      <c r="M2313" s="12">
        <v>42999</v>
      </c>
      <c r="N2313" s="12">
        <v>33539.22</v>
      </c>
      <c r="O2313">
        <v>7</v>
      </c>
      <c r="P2313" s="12">
        <v>119967.20999999999</v>
      </c>
      <c r="Q2313" s="12">
        <v>100617.66</v>
      </c>
      <c r="R2313" s="12">
        <v>19349.549999999988</v>
      </c>
      <c r="S2313" t="s">
        <v>1246</v>
      </c>
      <c r="T2313" t="s">
        <v>107</v>
      </c>
      <c r="U2313" t="s">
        <v>1201</v>
      </c>
    </row>
    <row r="2314" spans="1:21" x14ac:dyDescent="0.25">
      <c r="A2314" t="s">
        <v>4354</v>
      </c>
      <c r="B2314" s="8">
        <v>45909</v>
      </c>
      <c r="C2314" t="s">
        <v>1776</v>
      </c>
      <c r="D2314" t="s">
        <v>550</v>
      </c>
      <c r="E2314" t="s">
        <v>198</v>
      </c>
      <c r="F2314">
        <v>40</v>
      </c>
      <c r="G2314" t="s">
        <v>7</v>
      </c>
      <c r="H2314" t="s">
        <v>8</v>
      </c>
      <c r="I2314" t="s">
        <v>63</v>
      </c>
      <c r="J2314" t="s">
        <v>77</v>
      </c>
      <c r="K2314" t="s">
        <v>64</v>
      </c>
      <c r="L2314">
        <v>1</v>
      </c>
      <c r="M2314" s="12">
        <v>650</v>
      </c>
      <c r="N2314" s="12">
        <v>468</v>
      </c>
      <c r="O2314">
        <v>3</v>
      </c>
      <c r="P2314" s="12">
        <v>630.5</v>
      </c>
      <c r="Q2314" s="12">
        <v>468</v>
      </c>
      <c r="R2314" s="12">
        <v>162.5</v>
      </c>
      <c r="S2314" t="s">
        <v>1246</v>
      </c>
      <c r="T2314" t="s">
        <v>109</v>
      </c>
      <c r="U2314" t="s">
        <v>1207</v>
      </c>
    </row>
    <row r="2315" spans="1:21" x14ac:dyDescent="0.25">
      <c r="A2315" t="s">
        <v>4355</v>
      </c>
      <c r="B2315" s="8">
        <v>46013</v>
      </c>
      <c r="C2315" t="s">
        <v>3298</v>
      </c>
      <c r="D2315" t="s">
        <v>992</v>
      </c>
      <c r="E2315" t="s">
        <v>198</v>
      </c>
      <c r="F2315">
        <v>52</v>
      </c>
      <c r="G2315" t="s">
        <v>290</v>
      </c>
      <c r="H2315" t="s">
        <v>3</v>
      </c>
      <c r="I2315" t="s">
        <v>55</v>
      </c>
      <c r="J2315" t="s">
        <v>65</v>
      </c>
      <c r="K2315" t="s">
        <v>64</v>
      </c>
      <c r="L2315">
        <v>3</v>
      </c>
      <c r="M2315" s="12">
        <v>80</v>
      </c>
      <c r="N2315" s="12">
        <v>56</v>
      </c>
      <c r="O2315">
        <v>6</v>
      </c>
      <c r="P2315" s="12">
        <v>225.6</v>
      </c>
      <c r="Q2315" s="12">
        <v>168</v>
      </c>
      <c r="R2315" s="12">
        <v>57.599999999999994</v>
      </c>
      <c r="S2315" t="s">
        <v>113</v>
      </c>
      <c r="T2315" t="s">
        <v>109</v>
      </c>
      <c r="U2315" t="s">
        <v>1209</v>
      </c>
    </row>
    <row r="2316" spans="1:21" x14ac:dyDescent="0.25">
      <c r="A2316" t="s">
        <v>4356</v>
      </c>
      <c r="B2316" s="8">
        <v>45835</v>
      </c>
      <c r="C2316" t="s">
        <v>1458</v>
      </c>
      <c r="D2316" t="s">
        <v>1038</v>
      </c>
      <c r="E2316" t="s">
        <v>198</v>
      </c>
      <c r="F2316">
        <v>61</v>
      </c>
      <c r="G2316" t="s">
        <v>17</v>
      </c>
      <c r="H2316" t="s">
        <v>15</v>
      </c>
      <c r="I2316" t="s">
        <v>38</v>
      </c>
      <c r="J2316" t="s">
        <v>37</v>
      </c>
      <c r="K2316" t="s">
        <v>22</v>
      </c>
      <c r="L2316">
        <v>5</v>
      </c>
      <c r="M2316" s="12">
        <v>1650</v>
      </c>
      <c r="N2316" s="12">
        <v>990</v>
      </c>
      <c r="O2316">
        <v>7</v>
      </c>
      <c r="P2316" s="12">
        <v>7672.4999999999991</v>
      </c>
      <c r="Q2316" s="12">
        <v>4950</v>
      </c>
      <c r="R2316" s="12">
        <v>2722.4999999999991</v>
      </c>
      <c r="S2316" t="s">
        <v>1246</v>
      </c>
      <c r="T2316" t="s">
        <v>109</v>
      </c>
      <c r="U2316" t="s">
        <v>1209</v>
      </c>
    </row>
    <row r="2317" spans="1:21" x14ac:dyDescent="0.25">
      <c r="A2317" t="s">
        <v>4357</v>
      </c>
      <c r="B2317" s="8">
        <v>45946</v>
      </c>
      <c r="C2317" t="s">
        <v>1263</v>
      </c>
      <c r="D2317" t="s">
        <v>399</v>
      </c>
      <c r="E2317" t="s">
        <v>218</v>
      </c>
      <c r="F2317">
        <v>25</v>
      </c>
      <c r="G2317" t="s">
        <v>17</v>
      </c>
      <c r="H2317" t="s">
        <v>15</v>
      </c>
      <c r="I2317" t="s">
        <v>24</v>
      </c>
      <c r="J2317" t="s">
        <v>25</v>
      </c>
      <c r="K2317" t="s">
        <v>22</v>
      </c>
      <c r="L2317">
        <v>1</v>
      </c>
      <c r="M2317" s="12">
        <v>35800</v>
      </c>
      <c r="N2317" s="12">
        <v>28640</v>
      </c>
      <c r="O2317">
        <v>4</v>
      </c>
      <c r="P2317" s="12">
        <v>34368</v>
      </c>
      <c r="Q2317" s="12">
        <v>28640</v>
      </c>
      <c r="R2317" s="12">
        <v>5728</v>
      </c>
      <c r="S2317" t="s">
        <v>113</v>
      </c>
      <c r="T2317" t="s">
        <v>108</v>
      </c>
      <c r="U2317" t="s">
        <v>1209</v>
      </c>
    </row>
    <row r="2318" spans="1:21" x14ac:dyDescent="0.25">
      <c r="A2318" t="s">
        <v>4358</v>
      </c>
      <c r="B2318" s="8">
        <v>45999</v>
      </c>
      <c r="C2318" t="s">
        <v>1494</v>
      </c>
      <c r="D2318" t="s">
        <v>930</v>
      </c>
      <c r="E2318" t="s">
        <v>198</v>
      </c>
      <c r="F2318">
        <v>54</v>
      </c>
      <c r="G2318" t="s">
        <v>289</v>
      </c>
      <c r="H2318" t="s">
        <v>3</v>
      </c>
      <c r="I2318" t="s">
        <v>55</v>
      </c>
      <c r="J2318" t="s">
        <v>65</v>
      </c>
      <c r="K2318" t="s">
        <v>64</v>
      </c>
      <c r="L2318">
        <v>5</v>
      </c>
      <c r="M2318" s="12">
        <v>80</v>
      </c>
      <c r="N2318" s="12">
        <v>56</v>
      </c>
      <c r="O2318">
        <v>3</v>
      </c>
      <c r="P2318" s="12">
        <v>388</v>
      </c>
      <c r="Q2318" s="12">
        <v>280</v>
      </c>
      <c r="R2318" s="12">
        <v>108</v>
      </c>
      <c r="S2318" t="s">
        <v>1246</v>
      </c>
      <c r="T2318" t="s">
        <v>107</v>
      </c>
      <c r="U2318" t="s">
        <v>1194</v>
      </c>
    </row>
    <row r="2319" spans="1:21" x14ac:dyDescent="0.25">
      <c r="A2319" t="s">
        <v>4359</v>
      </c>
      <c r="B2319" s="8">
        <v>45813</v>
      </c>
      <c r="C2319" t="s">
        <v>1616</v>
      </c>
      <c r="D2319" t="s">
        <v>582</v>
      </c>
      <c r="E2319" t="s">
        <v>198</v>
      </c>
      <c r="F2319">
        <v>61</v>
      </c>
      <c r="G2319" t="s">
        <v>14</v>
      </c>
      <c r="H2319" t="s">
        <v>15</v>
      </c>
      <c r="I2319" t="s">
        <v>40</v>
      </c>
      <c r="J2319" t="s">
        <v>39</v>
      </c>
      <c r="K2319" t="s">
        <v>22</v>
      </c>
      <c r="L2319">
        <v>4</v>
      </c>
      <c r="M2319" s="12">
        <v>1100</v>
      </c>
      <c r="N2319" s="12">
        <v>715</v>
      </c>
      <c r="O2319">
        <v>7</v>
      </c>
      <c r="P2319" s="12">
        <v>4091.9999999999995</v>
      </c>
      <c r="Q2319" s="12">
        <v>2860</v>
      </c>
      <c r="R2319" s="12">
        <v>1231.9999999999995</v>
      </c>
      <c r="S2319" t="s">
        <v>1246</v>
      </c>
      <c r="T2319" t="s">
        <v>108</v>
      </c>
      <c r="U2319" t="s">
        <v>1207</v>
      </c>
    </row>
    <row r="2320" spans="1:21" x14ac:dyDescent="0.25">
      <c r="A2320" t="s">
        <v>4360</v>
      </c>
      <c r="B2320" s="8">
        <v>45826</v>
      </c>
      <c r="C2320" t="s">
        <v>1255</v>
      </c>
      <c r="D2320" t="s">
        <v>864</v>
      </c>
      <c r="E2320" t="s">
        <v>218</v>
      </c>
      <c r="F2320">
        <v>61</v>
      </c>
      <c r="G2320" t="s">
        <v>4</v>
      </c>
      <c r="H2320" t="s">
        <v>3</v>
      </c>
      <c r="I2320" t="s">
        <v>55</v>
      </c>
      <c r="J2320" t="s">
        <v>65</v>
      </c>
      <c r="K2320" t="s">
        <v>64</v>
      </c>
      <c r="L2320">
        <v>5</v>
      </c>
      <c r="M2320" s="12">
        <v>80</v>
      </c>
      <c r="N2320" s="12">
        <v>56</v>
      </c>
      <c r="O2320">
        <v>11</v>
      </c>
      <c r="P2320" s="12">
        <v>356</v>
      </c>
      <c r="Q2320" s="12">
        <v>280</v>
      </c>
      <c r="R2320" s="12">
        <v>76</v>
      </c>
      <c r="S2320" t="s">
        <v>113</v>
      </c>
      <c r="T2320" t="s">
        <v>107</v>
      </c>
      <c r="U2320" t="s">
        <v>1194</v>
      </c>
    </row>
    <row r="2321" spans="1:21" x14ac:dyDescent="0.25">
      <c r="A2321" t="s">
        <v>4361</v>
      </c>
      <c r="B2321" s="8">
        <v>45679</v>
      </c>
      <c r="C2321" t="s">
        <v>1513</v>
      </c>
      <c r="D2321" t="s">
        <v>647</v>
      </c>
      <c r="E2321" t="s">
        <v>198</v>
      </c>
      <c r="F2321">
        <v>47</v>
      </c>
      <c r="G2321" t="s">
        <v>289</v>
      </c>
      <c r="H2321" t="s">
        <v>3</v>
      </c>
      <c r="I2321" t="s">
        <v>45</v>
      </c>
      <c r="J2321" t="s">
        <v>46</v>
      </c>
      <c r="K2321" t="s">
        <v>43</v>
      </c>
      <c r="L2321">
        <v>3</v>
      </c>
      <c r="M2321" s="12">
        <v>11999</v>
      </c>
      <c r="N2321" s="12">
        <v>8999.25</v>
      </c>
      <c r="O2321">
        <v>2</v>
      </c>
      <c r="P2321" s="12">
        <v>35277.06</v>
      </c>
      <c r="Q2321" s="12">
        <v>26997.75</v>
      </c>
      <c r="R2321" s="12">
        <v>8279.3099999999977</v>
      </c>
      <c r="S2321" t="s">
        <v>1246</v>
      </c>
      <c r="T2321" t="s">
        <v>109</v>
      </c>
      <c r="U2321" t="s">
        <v>1199</v>
      </c>
    </row>
    <row r="2322" spans="1:21" x14ac:dyDescent="0.25">
      <c r="A2322" t="s">
        <v>4362</v>
      </c>
      <c r="B2322" s="8">
        <v>45665</v>
      </c>
      <c r="C2322" t="s">
        <v>2790</v>
      </c>
      <c r="D2322" t="s">
        <v>739</v>
      </c>
      <c r="E2322" t="s">
        <v>198</v>
      </c>
      <c r="F2322">
        <v>32</v>
      </c>
      <c r="G2322" t="s">
        <v>289</v>
      </c>
      <c r="H2322" t="s">
        <v>3</v>
      </c>
      <c r="I2322" t="s">
        <v>53</v>
      </c>
      <c r="J2322" t="s">
        <v>48</v>
      </c>
      <c r="K2322" t="s">
        <v>43</v>
      </c>
      <c r="L2322">
        <v>4</v>
      </c>
      <c r="M2322" s="12">
        <v>6499</v>
      </c>
      <c r="N2322" s="12">
        <v>4549.2999999999993</v>
      </c>
      <c r="O2322">
        <v>5</v>
      </c>
      <c r="P2322" s="12">
        <v>24696.199999999997</v>
      </c>
      <c r="Q2322" s="12">
        <v>18197.199999999997</v>
      </c>
      <c r="R2322" s="12">
        <v>6499</v>
      </c>
      <c r="S2322" t="s">
        <v>1249</v>
      </c>
      <c r="T2322" t="s">
        <v>108</v>
      </c>
      <c r="U2322" t="s">
        <v>1198</v>
      </c>
    </row>
    <row r="2323" spans="1:21" x14ac:dyDescent="0.25">
      <c r="A2323" t="s">
        <v>4363</v>
      </c>
      <c r="B2323" s="8">
        <v>45921</v>
      </c>
      <c r="C2323" t="s">
        <v>1619</v>
      </c>
      <c r="D2323" t="s">
        <v>403</v>
      </c>
      <c r="E2323" t="s">
        <v>218</v>
      </c>
      <c r="F2323">
        <v>41</v>
      </c>
      <c r="G2323" t="s">
        <v>17</v>
      </c>
      <c r="H2323" t="s">
        <v>15</v>
      </c>
      <c r="I2323" t="s">
        <v>30</v>
      </c>
      <c r="J2323" t="s">
        <v>41</v>
      </c>
      <c r="K2323" t="s">
        <v>22</v>
      </c>
      <c r="L2323">
        <v>4</v>
      </c>
      <c r="M2323" s="12">
        <v>13749</v>
      </c>
      <c r="N2323" s="12">
        <v>10999.2</v>
      </c>
      <c r="O2323">
        <v>8</v>
      </c>
      <c r="P2323" s="12">
        <v>50596.32</v>
      </c>
      <c r="Q2323" s="12">
        <v>43996.800000000003</v>
      </c>
      <c r="R2323" s="12">
        <v>6599.5199999999968</v>
      </c>
      <c r="S2323" t="s">
        <v>113</v>
      </c>
      <c r="T2323" t="s">
        <v>107</v>
      </c>
      <c r="U2323" t="s">
        <v>1201</v>
      </c>
    </row>
    <row r="2324" spans="1:21" x14ac:dyDescent="0.25">
      <c r="A2324" t="s">
        <v>4364</v>
      </c>
      <c r="B2324" s="8">
        <v>45926</v>
      </c>
      <c r="C2324" t="s">
        <v>1530</v>
      </c>
      <c r="D2324" t="s">
        <v>456</v>
      </c>
      <c r="E2324" t="s">
        <v>218</v>
      </c>
      <c r="F2324">
        <v>31</v>
      </c>
      <c r="G2324" t="s">
        <v>10</v>
      </c>
      <c r="H2324" t="s">
        <v>8</v>
      </c>
      <c r="I2324" t="s">
        <v>53</v>
      </c>
      <c r="J2324" t="s">
        <v>48</v>
      </c>
      <c r="K2324" t="s">
        <v>43</v>
      </c>
      <c r="L2324">
        <v>3</v>
      </c>
      <c r="M2324" s="12">
        <v>6499</v>
      </c>
      <c r="N2324" s="12">
        <v>4549.2999999999993</v>
      </c>
      <c r="O2324">
        <v>8</v>
      </c>
      <c r="P2324" s="12">
        <v>17937.240000000002</v>
      </c>
      <c r="Q2324" s="12">
        <v>13647.899999999998</v>
      </c>
      <c r="R2324" s="12">
        <v>4289.3400000000038</v>
      </c>
      <c r="S2324" t="s">
        <v>1246</v>
      </c>
      <c r="T2324" t="s">
        <v>108</v>
      </c>
      <c r="U2324" t="s">
        <v>1207</v>
      </c>
    </row>
    <row r="2325" spans="1:21" x14ac:dyDescent="0.25">
      <c r="A2325" t="s">
        <v>4365</v>
      </c>
      <c r="B2325" s="8">
        <v>45799</v>
      </c>
      <c r="C2325" t="s">
        <v>1932</v>
      </c>
      <c r="D2325" t="s">
        <v>794</v>
      </c>
      <c r="E2325" t="s">
        <v>218</v>
      </c>
      <c r="F2325">
        <v>64</v>
      </c>
      <c r="G2325" t="s">
        <v>14</v>
      </c>
      <c r="H2325" t="s">
        <v>15</v>
      </c>
      <c r="I2325" t="s">
        <v>30</v>
      </c>
      <c r="J2325" t="s">
        <v>41</v>
      </c>
      <c r="K2325" t="s">
        <v>22</v>
      </c>
      <c r="L2325">
        <v>1</v>
      </c>
      <c r="M2325" s="12">
        <v>13749</v>
      </c>
      <c r="N2325" s="12">
        <v>10999.2</v>
      </c>
      <c r="O2325">
        <v>7</v>
      </c>
      <c r="P2325" s="12">
        <v>12786.57</v>
      </c>
      <c r="Q2325" s="12">
        <v>10999.2</v>
      </c>
      <c r="R2325" s="12">
        <v>1787.369999999999</v>
      </c>
      <c r="S2325" t="s">
        <v>1246</v>
      </c>
      <c r="T2325" t="s">
        <v>109</v>
      </c>
      <c r="U2325" t="s">
        <v>1198</v>
      </c>
    </row>
    <row r="2326" spans="1:21" x14ac:dyDescent="0.25">
      <c r="A2326" t="s">
        <v>4366</v>
      </c>
      <c r="B2326" s="8">
        <v>45663</v>
      </c>
      <c r="C2326" t="s">
        <v>1351</v>
      </c>
      <c r="D2326" t="s">
        <v>726</v>
      </c>
      <c r="E2326" t="s">
        <v>198</v>
      </c>
      <c r="F2326">
        <v>54</v>
      </c>
      <c r="G2326" t="s">
        <v>2</v>
      </c>
      <c r="H2326" t="s">
        <v>3</v>
      </c>
      <c r="I2326" t="s">
        <v>55</v>
      </c>
      <c r="J2326" t="s">
        <v>65</v>
      </c>
      <c r="K2326" t="s">
        <v>64</v>
      </c>
      <c r="L2326">
        <v>5</v>
      </c>
      <c r="M2326" s="12">
        <v>80</v>
      </c>
      <c r="N2326" s="12">
        <v>56</v>
      </c>
      <c r="O2326">
        <v>9</v>
      </c>
      <c r="P2326" s="12">
        <v>364</v>
      </c>
      <c r="Q2326" s="12">
        <v>280</v>
      </c>
      <c r="R2326" s="12">
        <v>84</v>
      </c>
      <c r="S2326" t="s">
        <v>1246</v>
      </c>
      <c r="T2326" t="s">
        <v>107</v>
      </c>
      <c r="U2326" t="s">
        <v>1194</v>
      </c>
    </row>
    <row r="2327" spans="1:21" x14ac:dyDescent="0.25">
      <c r="A2327" t="s">
        <v>4368</v>
      </c>
      <c r="B2327" s="8">
        <v>45776</v>
      </c>
      <c r="C2327" t="s">
        <v>3065</v>
      </c>
      <c r="D2327" t="s">
        <v>447</v>
      </c>
      <c r="E2327" t="s">
        <v>198</v>
      </c>
      <c r="F2327">
        <v>53</v>
      </c>
      <c r="G2327" t="s">
        <v>16</v>
      </c>
      <c r="H2327" t="s">
        <v>15</v>
      </c>
      <c r="I2327" t="s">
        <v>57</v>
      </c>
      <c r="J2327" t="s">
        <v>67</v>
      </c>
      <c r="K2327" t="s">
        <v>64</v>
      </c>
      <c r="L2327">
        <v>3</v>
      </c>
      <c r="M2327" s="12">
        <v>150</v>
      </c>
      <c r="N2327" s="12">
        <v>97.5</v>
      </c>
      <c r="O2327">
        <v>4</v>
      </c>
      <c r="P2327" s="12">
        <v>432</v>
      </c>
      <c r="Q2327" s="12">
        <v>292.5</v>
      </c>
      <c r="R2327" s="12">
        <v>139.5</v>
      </c>
      <c r="S2327" t="s">
        <v>1246</v>
      </c>
      <c r="T2327" t="s">
        <v>109</v>
      </c>
      <c r="U2327" t="s">
        <v>1203</v>
      </c>
    </row>
    <row r="2328" spans="1:21" x14ac:dyDescent="0.25">
      <c r="A2328" t="s">
        <v>4369</v>
      </c>
      <c r="B2328" s="8">
        <v>45877</v>
      </c>
      <c r="C2328" t="s">
        <v>3632</v>
      </c>
      <c r="D2328" t="s">
        <v>1081</v>
      </c>
      <c r="E2328" t="s">
        <v>218</v>
      </c>
      <c r="F2328">
        <v>47</v>
      </c>
      <c r="G2328" t="s">
        <v>289</v>
      </c>
      <c r="H2328" t="s">
        <v>3</v>
      </c>
      <c r="I2328" t="s">
        <v>61</v>
      </c>
      <c r="J2328" t="s">
        <v>146</v>
      </c>
      <c r="K2328" t="s">
        <v>64</v>
      </c>
      <c r="L2328">
        <v>3</v>
      </c>
      <c r="M2328" s="12">
        <v>250</v>
      </c>
      <c r="N2328" s="12">
        <v>155</v>
      </c>
      <c r="O2328">
        <v>4</v>
      </c>
      <c r="P2328" s="12">
        <v>720</v>
      </c>
      <c r="Q2328" s="12">
        <v>465</v>
      </c>
      <c r="R2328" s="12">
        <v>255</v>
      </c>
      <c r="S2328" t="s">
        <v>113</v>
      </c>
      <c r="T2328" t="s">
        <v>107</v>
      </c>
      <c r="U2328" t="s">
        <v>1199</v>
      </c>
    </row>
    <row r="2329" spans="1:21" x14ac:dyDescent="0.25">
      <c r="A2329" t="s">
        <v>4370</v>
      </c>
      <c r="B2329" s="8">
        <v>45966</v>
      </c>
      <c r="C2329" t="s">
        <v>2375</v>
      </c>
      <c r="D2329" t="s">
        <v>923</v>
      </c>
      <c r="E2329" t="s">
        <v>198</v>
      </c>
      <c r="F2329">
        <v>39</v>
      </c>
      <c r="G2329" t="s">
        <v>9</v>
      </c>
      <c r="H2329" t="s">
        <v>8</v>
      </c>
      <c r="I2329" t="s">
        <v>53</v>
      </c>
      <c r="J2329" t="s">
        <v>48</v>
      </c>
      <c r="K2329" t="s">
        <v>43</v>
      </c>
      <c r="L2329">
        <v>1</v>
      </c>
      <c r="M2329" s="12">
        <v>6499</v>
      </c>
      <c r="N2329" s="12">
        <v>4549.2999999999993</v>
      </c>
      <c r="O2329">
        <v>15</v>
      </c>
      <c r="P2329" s="12">
        <v>5524.15</v>
      </c>
      <c r="Q2329" s="12">
        <v>4549.2999999999993</v>
      </c>
      <c r="R2329" s="12">
        <v>974.85000000000036</v>
      </c>
      <c r="S2329" t="s">
        <v>1246</v>
      </c>
      <c r="T2329" t="s">
        <v>107</v>
      </c>
      <c r="U2329" t="s">
        <v>1194</v>
      </c>
    </row>
    <row r="2330" spans="1:21" x14ac:dyDescent="0.25">
      <c r="A2330" t="s">
        <v>4371</v>
      </c>
      <c r="B2330" s="8">
        <v>45874</v>
      </c>
      <c r="C2330" t="s">
        <v>1888</v>
      </c>
      <c r="D2330" t="s">
        <v>844</v>
      </c>
      <c r="E2330" t="s">
        <v>198</v>
      </c>
      <c r="F2330">
        <v>25</v>
      </c>
      <c r="G2330" t="s">
        <v>290</v>
      </c>
      <c r="H2330" t="s">
        <v>3</v>
      </c>
      <c r="I2330" t="s">
        <v>42</v>
      </c>
      <c r="J2330" t="s">
        <v>44</v>
      </c>
      <c r="K2330" t="s">
        <v>43</v>
      </c>
      <c r="L2330">
        <v>4</v>
      </c>
      <c r="M2330" s="12">
        <v>8999</v>
      </c>
      <c r="N2330" s="12">
        <v>6479.28</v>
      </c>
      <c r="O2330">
        <v>6</v>
      </c>
      <c r="P2330" s="12">
        <v>33836.239999999998</v>
      </c>
      <c r="Q2330" s="12">
        <v>25917.119999999999</v>
      </c>
      <c r="R2330" s="12">
        <v>7919.119999999999</v>
      </c>
      <c r="S2330" t="s">
        <v>1246</v>
      </c>
      <c r="T2330" t="s">
        <v>109</v>
      </c>
      <c r="U2330" t="s">
        <v>1196</v>
      </c>
    </row>
    <row r="2331" spans="1:21" x14ac:dyDescent="0.25">
      <c r="A2331" t="s">
        <v>4372</v>
      </c>
      <c r="B2331" s="8">
        <v>45828</v>
      </c>
      <c r="C2331" t="s">
        <v>2551</v>
      </c>
      <c r="D2331" t="s">
        <v>541</v>
      </c>
      <c r="E2331" t="s">
        <v>198</v>
      </c>
      <c r="F2331">
        <v>22</v>
      </c>
      <c r="G2331" t="s">
        <v>14</v>
      </c>
      <c r="H2331" t="s">
        <v>15</v>
      </c>
      <c r="I2331" t="s">
        <v>42</v>
      </c>
      <c r="J2331" t="s">
        <v>44</v>
      </c>
      <c r="K2331" t="s">
        <v>43</v>
      </c>
      <c r="L2331">
        <v>5</v>
      </c>
      <c r="M2331" s="12">
        <v>8999</v>
      </c>
      <c r="N2331" s="12">
        <v>6479.28</v>
      </c>
      <c r="O2331">
        <v>4</v>
      </c>
      <c r="P2331" s="12">
        <v>43195.199999999997</v>
      </c>
      <c r="Q2331" s="12">
        <v>32396.399999999998</v>
      </c>
      <c r="R2331" s="12">
        <v>10798.8</v>
      </c>
      <c r="S2331" t="s">
        <v>1249</v>
      </c>
      <c r="T2331" t="s">
        <v>107</v>
      </c>
      <c r="U2331" t="s">
        <v>1209</v>
      </c>
    </row>
    <row r="2332" spans="1:21" x14ac:dyDescent="0.25">
      <c r="A2332" t="s">
        <v>4373</v>
      </c>
      <c r="B2332" s="8">
        <v>45935</v>
      </c>
      <c r="C2332" t="s">
        <v>2784</v>
      </c>
      <c r="D2332" t="s">
        <v>645</v>
      </c>
      <c r="E2332" t="s">
        <v>198</v>
      </c>
      <c r="F2332">
        <v>50</v>
      </c>
      <c r="G2332" t="s">
        <v>17</v>
      </c>
      <c r="H2332" t="s">
        <v>15</v>
      </c>
      <c r="I2332" t="s">
        <v>36</v>
      </c>
      <c r="J2332" t="s">
        <v>136</v>
      </c>
      <c r="K2332" t="s">
        <v>22</v>
      </c>
      <c r="L2332">
        <v>4</v>
      </c>
      <c r="M2332" s="12">
        <v>3590</v>
      </c>
      <c r="N2332" s="12">
        <v>2333.5</v>
      </c>
      <c r="O2332">
        <v>4</v>
      </c>
      <c r="P2332" s="12">
        <v>13785.6</v>
      </c>
      <c r="Q2332" s="12">
        <v>9334</v>
      </c>
      <c r="R2332" s="12">
        <v>4451.6000000000004</v>
      </c>
      <c r="S2332" t="s">
        <v>113</v>
      </c>
      <c r="T2332" t="s">
        <v>108</v>
      </c>
      <c r="U2332" t="s">
        <v>1196</v>
      </c>
    </row>
    <row r="2333" spans="1:21" x14ac:dyDescent="0.25">
      <c r="A2333" t="s">
        <v>4375</v>
      </c>
      <c r="B2333" s="8">
        <v>45782</v>
      </c>
      <c r="C2333" t="s">
        <v>1692</v>
      </c>
      <c r="D2333" t="s">
        <v>988</v>
      </c>
      <c r="E2333" t="s">
        <v>218</v>
      </c>
      <c r="F2333">
        <v>49</v>
      </c>
      <c r="G2333" t="s">
        <v>289</v>
      </c>
      <c r="H2333" t="s">
        <v>3</v>
      </c>
      <c r="I2333" t="s">
        <v>26</v>
      </c>
      <c r="J2333" t="s">
        <v>27</v>
      </c>
      <c r="K2333" t="s">
        <v>22</v>
      </c>
      <c r="L2333">
        <v>5</v>
      </c>
      <c r="M2333" s="12">
        <v>27499</v>
      </c>
      <c r="N2333" s="12">
        <v>23374.149999999998</v>
      </c>
      <c r="O2333">
        <v>6</v>
      </c>
      <c r="P2333" s="12">
        <v>129245.29999999999</v>
      </c>
      <c r="Q2333" s="12">
        <v>116870.74999999999</v>
      </c>
      <c r="R2333" s="12">
        <v>12374.550000000003</v>
      </c>
      <c r="S2333" t="s">
        <v>1246</v>
      </c>
      <c r="T2333" t="s">
        <v>107</v>
      </c>
      <c r="U2333" t="s">
        <v>1209</v>
      </c>
    </row>
    <row r="2334" spans="1:21" x14ac:dyDescent="0.25">
      <c r="A2334" t="s">
        <v>4376</v>
      </c>
      <c r="B2334" s="8">
        <v>45953</v>
      </c>
      <c r="C2334" t="s">
        <v>1557</v>
      </c>
      <c r="D2334" t="s">
        <v>889</v>
      </c>
      <c r="E2334" t="s">
        <v>218</v>
      </c>
      <c r="F2334">
        <v>31</v>
      </c>
      <c r="G2334" t="s">
        <v>9</v>
      </c>
      <c r="H2334" t="s">
        <v>8</v>
      </c>
      <c r="I2334" t="s">
        <v>55</v>
      </c>
      <c r="J2334" t="s">
        <v>65</v>
      </c>
      <c r="K2334" t="s">
        <v>64</v>
      </c>
      <c r="L2334">
        <v>1</v>
      </c>
      <c r="M2334" s="12">
        <v>80</v>
      </c>
      <c r="N2334" s="12">
        <v>56</v>
      </c>
      <c r="O2334">
        <v>0</v>
      </c>
      <c r="P2334" s="12">
        <v>80</v>
      </c>
      <c r="Q2334" s="12">
        <v>56</v>
      </c>
      <c r="R2334" s="12">
        <v>24</v>
      </c>
      <c r="S2334" t="s">
        <v>1246</v>
      </c>
      <c r="T2334" t="s">
        <v>109</v>
      </c>
      <c r="U2334" t="s">
        <v>1211</v>
      </c>
    </row>
    <row r="2335" spans="1:21" x14ac:dyDescent="0.25">
      <c r="A2335" t="s">
        <v>4377</v>
      </c>
      <c r="B2335" s="8">
        <v>45836</v>
      </c>
      <c r="C2335" t="s">
        <v>1943</v>
      </c>
      <c r="D2335" t="s">
        <v>946</v>
      </c>
      <c r="E2335" t="s">
        <v>218</v>
      </c>
      <c r="F2335">
        <v>38</v>
      </c>
      <c r="G2335" t="s">
        <v>9</v>
      </c>
      <c r="H2335" t="s">
        <v>8</v>
      </c>
      <c r="I2335" t="s">
        <v>53</v>
      </c>
      <c r="J2335" t="s">
        <v>48</v>
      </c>
      <c r="K2335" t="s">
        <v>43</v>
      </c>
      <c r="L2335">
        <v>3</v>
      </c>
      <c r="M2335" s="12">
        <v>6499</v>
      </c>
      <c r="N2335" s="12">
        <v>4549.2999999999993</v>
      </c>
      <c r="O2335">
        <v>3</v>
      </c>
      <c r="P2335" s="12">
        <v>18912.09</v>
      </c>
      <c r="Q2335" s="12">
        <v>13647.899999999998</v>
      </c>
      <c r="R2335" s="12">
        <v>5264.1900000000023</v>
      </c>
      <c r="S2335" t="s">
        <v>113</v>
      </c>
      <c r="T2335" t="s">
        <v>108</v>
      </c>
      <c r="U2335" t="s">
        <v>1211</v>
      </c>
    </row>
    <row r="2336" spans="1:21" x14ac:dyDescent="0.25">
      <c r="A2336" t="s">
        <v>4378</v>
      </c>
      <c r="B2336" s="8">
        <v>46001</v>
      </c>
      <c r="C2336" t="s">
        <v>2852</v>
      </c>
      <c r="D2336" t="s">
        <v>1008</v>
      </c>
      <c r="E2336" t="s">
        <v>198</v>
      </c>
      <c r="F2336">
        <v>56</v>
      </c>
      <c r="G2336" t="s">
        <v>290</v>
      </c>
      <c r="H2336" t="s">
        <v>3</v>
      </c>
      <c r="I2336" t="s">
        <v>55</v>
      </c>
      <c r="J2336" t="s">
        <v>65</v>
      </c>
      <c r="K2336" t="s">
        <v>64</v>
      </c>
      <c r="L2336">
        <v>5</v>
      </c>
      <c r="M2336" s="12">
        <v>80</v>
      </c>
      <c r="N2336" s="12">
        <v>56</v>
      </c>
      <c r="O2336">
        <v>8</v>
      </c>
      <c r="P2336" s="12">
        <v>368</v>
      </c>
      <c r="Q2336" s="12">
        <v>280</v>
      </c>
      <c r="R2336" s="12">
        <v>88</v>
      </c>
      <c r="S2336" t="s">
        <v>113</v>
      </c>
      <c r="T2336" t="s">
        <v>108</v>
      </c>
      <c r="U2336" t="s">
        <v>1203</v>
      </c>
    </row>
    <row r="2337" spans="1:21" x14ac:dyDescent="0.25">
      <c r="A2337" t="s">
        <v>4379</v>
      </c>
      <c r="B2337" s="8">
        <v>45848</v>
      </c>
      <c r="C2337" t="s">
        <v>1736</v>
      </c>
      <c r="D2337" t="s">
        <v>524</v>
      </c>
      <c r="E2337" t="s">
        <v>198</v>
      </c>
      <c r="F2337">
        <v>42</v>
      </c>
      <c r="G2337" t="s">
        <v>5</v>
      </c>
      <c r="H2337" t="s">
        <v>3</v>
      </c>
      <c r="I2337" t="s">
        <v>26</v>
      </c>
      <c r="J2337" t="s">
        <v>27</v>
      </c>
      <c r="K2337" t="s">
        <v>22</v>
      </c>
      <c r="L2337">
        <v>5</v>
      </c>
      <c r="M2337" s="12">
        <v>27499</v>
      </c>
      <c r="N2337" s="12">
        <v>23374.149999999998</v>
      </c>
      <c r="O2337">
        <v>6</v>
      </c>
      <c r="P2337" s="12">
        <v>129245.29999999999</v>
      </c>
      <c r="Q2337" s="12">
        <v>116870.74999999999</v>
      </c>
      <c r="R2337" s="12">
        <v>12374.550000000003</v>
      </c>
      <c r="S2337" t="s">
        <v>1246</v>
      </c>
      <c r="T2337" t="s">
        <v>108</v>
      </c>
      <c r="U2337" t="s">
        <v>1203</v>
      </c>
    </row>
    <row r="2338" spans="1:21" x14ac:dyDescent="0.25">
      <c r="A2338" t="s">
        <v>4381</v>
      </c>
      <c r="B2338" s="8">
        <v>45753</v>
      </c>
      <c r="C2338" t="s">
        <v>3333</v>
      </c>
      <c r="D2338" t="s">
        <v>392</v>
      </c>
      <c r="E2338" t="s">
        <v>198</v>
      </c>
      <c r="F2338">
        <v>19</v>
      </c>
      <c r="G2338" t="s">
        <v>14</v>
      </c>
      <c r="H2338" t="s">
        <v>15</v>
      </c>
      <c r="I2338" t="s">
        <v>59</v>
      </c>
      <c r="J2338" t="s">
        <v>73</v>
      </c>
      <c r="K2338" t="s">
        <v>64</v>
      </c>
      <c r="L2338">
        <v>4</v>
      </c>
      <c r="M2338" s="12">
        <v>120</v>
      </c>
      <c r="N2338" s="12">
        <v>81.599999999999994</v>
      </c>
      <c r="O2338">
        <v>3</v>
      </c>
      <c r="P2338" s="12">
        <v>465.59999999999997</v>
      </c>
      <c r="Q2338" s="12">
        <v>326.39999999999998</v>
      </c>
      <c r="R2338" s="12">
        <v>139.19999999999999</v>
      </c>
      <c r="S2338" t="s">
        <v>113</v>
      </c>
      <c r="T2338" t="s">
        <v>109</v>
      </c>
      <c r="U2338" t="s">
        <v>1196</v>
      </c>
    </row>
    <row r="2339" spans="1:21" x14ac:dyDescent="0.25">
      <c r="A2339" t="s">
        <v>4383</v>
      </c>
      <c r="B2339" s="8">
        <v>45663</v>
      </c>
      <c r="C2339" t="s">
        <v>3773</v>
      </c>
      <c r="D2339" t="s">
        <v>618</v>
      </c>
      <c r="E2339" t="s">
        <v>218</v>
      </c>
      <c r="F2339">
        <v>26</v>
      </c>
      <c r="G2339" t="s">
        <v>289</v>
      </c>
      <c r="H2339" t="s">
        <v>3</v>
      </c>
      <c r="I2339" t="s">
        <v>47</v>
      </c>
      <c r="J2339" t="s">
        <v>52</v>
      </c>
      <c r="K2339" t="s">
        <v>43</v>
      </c>
      <c r="L2339">
        <v>1</v>
      </c>
      <c r="M2339" s="12">
        <v>42999</v>
      </c>
      <c r="N2339" s="12">
        <v>33539.22</v>
      </c>
      <c r="O2339">
        <v>5</v>
      </c>
      <c r="P2339" s="12">
        <v>40849.049999999996</v>
      </c>
      <c r="Q2339" s="12">
        <v>33539.22</v>
      </c>
      <c r="R2339" s="12">
        <v>7309.8299999999945</v>
      </c>
      <c r="S2339" t="s">
        <v>113</v>
      </c>
      <c r="T2339" t="s">
        <v>111</v>
      </c>
      <c r="U2339" t="s">
        <v>1201</v>
      </c>
    </row>
    <row r="2340" spans="1:21" x14ac:dyDescent="0.25">
      <c r="A2340" t="s">
        <v>4384</v>
      </c>
      <c r="B2340" s="8">
        <v>46019</v>
      </c>
      <c r="C2340" t="s">
        <v>3487</v>
      </c>
      <c r="D2340" t="s">
        <v>455</v>
      </c>
      <c r="E2340" t="s">
        <v>198</v>
      </c>
      <c r="F2340">
        <v>39</v>
      </c>
      <c r="G2340" t="s">
        <v>10</v>
      </c>
      <c r="H2340" t="s">
        <v>8</v>
      </c>
      <c r="I2340" t="s">
        <v>34</v>
      </c>
      <c r="J2340" t="s">
        <v>137</v>
      </c>
      <c r="K2340" t="s">
        <v>22</v>
      </c>
      <c r="L2340">
        <v>1</v>
      </c>
      <c r="M2340" s="12">
        <v>6900</v>
      </c>
      <c r="N2340" s="12">
        <v>5727</v>
      </c>
      <c r="O2340">
        <v>14</v>
      </c>
      <c r="P2340" s="12">
        <v>5934</v>
      </c>
      <c r="Q2340" s="12">
        <v>5727</v>
      </c>
      <c r="R2340" s="12">
        <v>207</v>
      </c>
      <c r="S2340" t="s">
        <v>113</v>
      </c>
      <c r="T2340" t="s">
        <v>107</v>
      </c>
      <c r="U2340" t="s">
        <v>1198</v>
      </c>
    </row>
    <row r="2341" spans="1:21" x14ac:dyDescent="0.25">
      <c r="A2341" t="s">
        <v>4385</v>
      </c>
      <c r="B2341" s="8">
        <v>45788</v>
      </c>
      <c r="C2341" t="s">
        <v>2234</v>
      </c>
      <c r="D2341" t="s">
        <v>570</v>
      </c>
      <c r="E2341" t="s">
        <v>198</v>
      </c>
      <c r="F2341">
        <v>29</v>
      </c>
      <c r="G2341" t="s">
        <v>4</v>
      </c>
      <c r="H2341" t="s">
        <v>3</v>
      </c>
      <c r="I2341" t="s">
        <v>61</v>
      </c>
      <c r="J2341" t="s">
        <v>146</v>
      </c>
      <c r="K2341" t="s">
        <v>64</v>
      </c>
      <c r="L2341">
        <v>3</v>
      </c>
      <c r="M2341" s="12">
        <v>250</v>
      </c>
      <c r="N2341" s="12">
        <v>155</v>
      </c>
      <c r="O2341">
        <v>15</v>
      </c>
      <c r="P2341" s="12">
        <v>637.5</v>
      </c>
      <c r="Q2341" s="12">
        <v>465</v>
      </c>
      <c r="R2341" s="12">
        <v>172.5</v>
      </c>
      <c r="S2341" t="s">
        <v>113</v>
      </c>
      <c r="T2341" t="s">
        <v>107</v>
      </c>
      <c r="U2341" t="s">
        <v>1205</v>
      </c>
    </row>
    <row r="2342" spans="1:21" x14ac:dyDescent="0.25">
      <c r="A2342" t="s">
        <v>4386</v>
      </c>
      <c r="B2342" s="8">
        <v>45948</v>
      </c>
      <c r="C2342" t="s">
        <v>1548</v>
      </c>
      <c r="D2342" t="s">
        <v>922</v>
      </c>
      <c r="E2342" t="s">
        <v>218</v>
      </c>
      <c r="F2342">
        <v>52</v>
      </c>
      <c r="G2342" t="s">
        <v>17</v>
      </c>
      <c r="H2342" t="s">
        <v>15</v>
      </c>
      <c r="I2342" t="s">
        <v>34</v>
      </c>
      <c r="J2342" t="s">
        <v>137</v>
      </c>
      <c r="K2342" t="s">
        <v>22</v>
      </c>
      <c r="L2342">
        <v>2</v>
      </c>
      <c r="M2342" s="12">
        <v>6900</v>
      </c>
      <c r="N2342" s="12">
        <v>5727</v>
      </c>
      <c r="O2342">
        <v>7</v>
      </c>
      <c r="P2342" s="12">
        <v>12834</v>
      </c>
      <c r="Q2342" s="12">
        <v>11454</v>
      </c>
      <c r="R2342" s="12">
        <v>1380</v>
      </c>
      <c r="S2342" t="s">
        <v>1246</v>
      </c>
      <c r="T2342" t="s">
        <v>108</v>
      </c>
      <c r="U2342" t="s">
        <v>1196</v>
      </c>
    </row>
    <row r="2343" spans="1:21" x14ac:dyDescent="0.25">
      <c r="A2343" t="s">
        <v>4387</v>
      </c>
      <c r="B2343" s="8">
        <v>45701</v>
      </c>
      <c r="C2343" t="s">
        <v>1494</v>
      </c>
      <c r="D2343" t="s">
        <v>930</v>
      </c>
      <c r="E2343" t="s">
        <v>198</v>
      </c>
      <c r="F2343">
        <v>54</v>
      </c>
      <c r="G2343" t="s">
        <v>289</v>
      </c>
      <c r="H2343" t="s">
        <v>3</v>
      </c>
      <c r="I2343" t="s">
        <v>30</v>
      </c>
      <c r="J2343" t="s">
        <v>41</v>
      </c>
      <c r="K2343" t="s">
        <v>22</v>
      </c>
      <c r="L2343">
        <v>4</v>
      </c>
      <c r="M2343" s="12">
        <v>13749</v>
      </c>
      <c r="N2343" s="12">
        <v>10999.2</v>
      </c>
      <c r="O2343">
        <v>6</v>
      </c>
      <c r="P2343" s="12">
        <v>51696.24</v>
      </c>
      <c r="Q2343" s="12">
        <v>43996.800000000003</v>
      </c>
      <c r="R2343" s="12">
        <v>7699.4399999999951</v>
      </c>
      <c r="S2343" t="s">
        <v>113</v>
      </c>
      <c r="T2343" t="s">
        <v>109</v>
      </c>
      <c r="U2343" t="s">
        <v>1209</v>
      </c>
    </row>
    <row r="2344" spans="1:21" x14ac:dyDescent="0.25">
      <c r="A2344" t="s">
        <v>4388</v>
      </c>
      <c r="B2344" s="8">
        <v>45709</v>
      </c>
      <c r="C2344" t="s">
        <v>2398</v>
      </c>
      <c r="D2344" t="s">
        <v>400</v>
      </c>
      <c r="E2344" t="s">
        <v>198</v>
      </c>
      <c r="F2344">
        <v>49</v>
      </c>
      <c r="G2344" t="s">
        <v>11</v>
      </c>
      <c r="H2344" t="s">
        <v>12</v>
      </c>
      <c r="I2344" t="s">
        <v>36</v>
      </c>
      <c r="J2344" t="s">
        <v>136</v>
      </c>
      <c r="K2344" t="s">
        <v>22</v>
      </c>
      <c r="L2344">
        <v>3</v>
      </c>
      <c r="M2344" s="12">
        <v>3590</v>
      </c>
      <c r="N2344" s="12">
        <v>2333.5</v>
      </c>
      <c r="O2344">
        <v>6</v>
      </c>
      <c r="P2344" s="12">
        <v>10123.799999999999</v>
      </c>
      <c r="Q2344" s="12">
        <v>7000.5</v>
      </c>
      <c r="R2344" s="12">
        <v>3123.2999999999993</v>
      </c>
      <c r="S2344" t="s">
        <v>113</v>
      </c>
      <c r="T2344" t="s">
        <v>108</v>
      </c>
      <c r="U2344" t="s">
        <v>1205</v>
      </c>
    </row>
    <row r="2345" spans="1:21" x14ac:dyDescent="0.25">
      <c r="A2345" t="s">
        <v>4389</v>
      </c>
      <c r="B2345" s="8">
        <v>45976</v>
      </c>
      <c r="C2345" t="s">
        <v>1322</v>
      </c>
      <c r="D2345" t="s">
        <v>737</v>
      </c>
      <c r="E2345" t="s">
        <v>198</v>
      </c>
      <c r="F2345">
        <v>56</v>
      </c>
      <c r="G2345" t="s">
        <v>2</v>
      </c>
      <c r="H2345" t="s">
        <v>3</v>
      </c>
      <c r="I2345" t="s">
        <v>24</v>
      </c>
      <c r="J2345" t="s">
        <v>25</v>
      </c>
      <c r="K2345" t="s">
        <v>22</v>
      </c>
      <c r="L2345">
        <v>5</v>
      </c>
      <c r="M2345" s="12">
        <v>35800</v>
      </c>
      <c r="N2345" s="12">
        <v>28640</v>
      </c>
      <c r="O2345">
        <v>10</v>
      </c>
      <c r="P2345" s="12">
        <v>161100</v>
      </c>
      <c r="Q2345" s="12">
        <v>143200</v>
      </c>
      <c r="R2345" s="12">
        <v>17900</v>
      </c>
      <c r="S2345" t="s">
        <v>1249</v>
      </c>
      <c r="T2345" t="s">
        <v>109</v>
      </c>
      <c r="U2345" t="s">
        <v>1209</v>
      </c>
    </row>
    <row r="2346" spans="1:21" x14ac:dyDescent="0.25">
      <c r="A2346" t="s">
        <v>4390</v>
      </c>
      <c r="B2346" s="8">
        <v>45849</v>
      </c>
      <c r="C2346" t="s">
        <v>3018</v>
      </c>
      <c r="D2346" t="s">
        <v>459</v>
      </c>
      <c r="E2346" t="s">
        <v>218</v>
      </c>
      <c r="F2346">
        <v>21</v>
      </c>
      <c r="G2346" t="s">
        <v>5</v>
      </c>
      <c r="H2346" t="s">
        <v>3</v>
      </c>
      <c r="I2346" t="s">
        <v>53</v>
      </c>
      <c r="J2346" t="s">
        <v>48</v>
      </c>
      <c r="K2346" t="s">
        <v>43</v>
      </c>
      <c r="L2346">
        <v>3</v>
      </c>
      <c r="M2346" s="12">
        <v>6499</v>
      </c>
      <c r="N2346" s="12">
        <v>4549.2999999999993</v>
      </c>
      <c r="O2346">
        <v>9</v>
      </c>
      <c r="P2346" s="12">
        <v>17742.27</v>
      </c>
      <c r="Q2346" s="12">
        <v>13647.899999999998</v>
      </c>
      <c r="R2346" s="12">
        <v>4094.3700000000026</v>
      </c>
      <c r="S2346" t="s">
        <v>113</v>
      </c>
      <c r="T2346" t="s">
        <v>108</v>
      </c>
      <c r="U2346" t="s">
        <v>1198</v>
      </c>
    </row>
    <row r="2347" spans="1:21" x14ac:dyDescent="0.25">
      <c r="A2347" t="s">
        <v>4391</v>
      </c>
      <c r="B2347" s="8">
        <v>45822</v>
      </c>
      <c r="C2347" t="s">
        <v>2296</v>
      </c>
      <c r="D2347" t="s">
        <v>663</v>
      </c>
      <c r="E2347" t="s">
        <v>218</v>
      </c>
      <c r="F2347">
        <v>62</v>
      </c>
      <c r="G2347" t="s">
        <v>17</v>
      </c>
      <c r="H2347" t="s">
        <v>15</v>
      </c>
      <c r="I2347" t="s">
        <v>24</v>
      </c>
      <c r="J2347" t="s">
        <v>25</v>
      </c>
      <c r="K2347" t="s">
        <v>22</v>
      </c>
      <c r="L2347">
        <v>2</v>
      </c>
      <c r="M2347" s="12">
        <v>35800</v>
      </c>
      <c r="N2347" s="12">
        <v>28640</v>
      </c>
      <c r="O2347">
        <v>7</v>
      </c>
      <c r="P2347" s="12">
        <v>66588</v>
      </c>
      <c r="Q2347" s="12">
        <v>57280</v>
      </c>
      <c r="R2347" s="12">
        <v>9308</v>
      </c>
      <c r="S2347" t="s">
        <v>1246</v>
      </c>
      <c r="T2347" t="s">
        <v>107</v>
      </c>
      <c r="U2347" t="s">
        <v>1199</v>
      </c>
    </row>
    <row r="2348" spans="1:21" x14ac:dyDescent="0.25">
      <c r="A2348" t="s">
        <v>4392</v>
      </c>
      <c r="B2348" s="8">
        <v>45756</v>
      </c>
      <c r="C2348" t="s">
        <v>5090</v>
      </c>
      <c r="D2348" t="s">
        <v>836</v>
      </c>
      <c r="E2348" t="s">
        <v>218</v>
      </c>
      <c r="F2348">
        <v>58</v>
      </c>
      <c r="G2348" t="s">
        <v>11</v>
      </c>
      <c r="H2348" t="s">
        <v>12</v>
      </c>
      <c r="I2348" t="s">
        <v>32</v>
      </c>
      <c r="J2348" t="s">
        <v>29</v>
      </c>
      <c r="K2348" t="s">
        <v>22</v>
      </c>
      <c r="L2348">
        <v>5</v>
      </c>
      <c r="M2348" s="12">
        <v>9500</v>
      </c>
      <c r="N2348" s="12">
        <v>6650</v>
      </c>
      <c r="O2348">
        <v>4</v>
      </c>
      <c r="P2348" s="12">
        <v>45600</v>
      </c>
      <c r="Q2348" s="12">
        <v>33250</v>
      </c>
      <c r="R2348" s="12">
        <v>12350</v>
      </c>
      <c r="S2348" t="s">
        <v>1246</v>
      </c>
      <c r="T2348" t="s">
        <v>107</v>
      </c>
      <c r="U2348" t="s">
        <v>1194</v>
      </c>
    </row>
    <row r="2349" spans="1:21" x14ac:dyDescent="0.25">
      <c r="A2349" t="s">
        <v>4393</v>
      </c>
      <c r="B2349" s="8">
        <v>45873</v>
      </c>
      <c r="C2349" t="s">
        <v>2790</v>
      </c>
      <c r="D2349" t="s">
        <v>739</v>
      </c>
      <c r="E2349" t="s">
        <v>198</v>
      </c>
      <c r="F2349">
        <v>32</v>
      </c>
      <c r="G2349" t="s">
        <v>289</v>
      </c>
      <c r="H2349" t="s">
        <v>3</v>
      </c>
      <c r="I2349" t="s">
        <v>28</v>
      </c>
      <c r="J2349" t="s">
        <v>35</v>
      </c>
      <c r="K2349" t="s">
        <v>22</v>
      </c>
      <c r="L2349">
        <v>4</v>
      </c>
      <c r="M2349" s="12">
        <v>16499</v>
      </c>
      <c r="N2349" s="12">
        <v>14519.12</v>
      </c>
      <c r="O2349">
        <v>7</v>
      </c>
      <c r="P2349" s="12">
        <v>61376.28</v>
      </c>
      <c r="Q2349" s="12">
        <v>58076.480000000003</v>
      </c>
      <c r="R2349" s="12">
        <v>3299.7999999999956</v>
      </c>
      <c r="S2349" t="s">
        <v>1246</v>
      </c>
      <c r="T2349" t="s">
        <v>110</v>
      </c>
      <c r="U2349" t="s">
        <v>1205</v>
      </c>
    </row>
    <row r="2350" spans="1:21" x14ac:dyDescent="0.25">
      <c r="A2350" t="s">
        <v>4394</v>
      </c>
      <c r="B2350" s="8">
        <v>45761</v>
      </c>
      <c r="C2350" t="s">
        <v>5104</v>
      </c>
      <c r="D2350" t="s">
        <v>973</v>
      </c>
      <c r="E2350" t="s">
        <v>218</v>
      </c>
      <c r="F2350">
        <v>33</v>
      </c>
      <c r="G2350" t="s">
        <v>290</v>
      </c>
      <c r="H2350" t="s">
        <v>3</v>
      </c>
      <c r="I2350" t="s">
        <v>34</v>
      </c>
      <c r="J2350" t="s">
        <v>137</v>
      </c>
      <c r="K2350" t="s">
        <v>22</v>
      </c>
      <c r="L2350">
        <v>2</v>
      </c>
      <c r="M2350" s="12">
        <v>6900</v>
      </c>
      <c r="N2350" s="12">
        <v>5727</v>
      </c>
      <c r="O2350">
        <v>3</v>
      </c>
      <c r="P2350" s="12">
        <v>13386</v>
      </c>
      <c r="Q2350" s="12">
        <v>11454</v>
      </c>
      <c r="R2350" s="12">
        <v>1932</v>
      </c>
      <c r="S2350" t="s">
        <v>113</v>
      </c>
      <c r="T2350" t="s">
        <v>107</v>
      </c>
      <c r="U2350" t="s">
        <v>1201</v>
      </c>
    </row>
    <row r="2351" spans="1:21" x14ac:dyDescent="0.25">
      <c r="A2351" t="s">
        <v>4395</v>
      </c>
      <c r="B2351" s="8">
        <v>45719</v>
      </c>
      <c r="C2351" t="s">
        <v>1975</v>
      </c>
      <c r="D2351" t="s">
        <v>431</v>
      </c>
      <c r="E2351" t="s">
        <v>198</v>
      </c>
      <c r="F2351">
        <v>34</v>
      </c>
      <c r="G2351" t="s">
        <v>5</v>
      </c>
      <c r="H2351" t="s">
        <v>3</v>
      </c>
      <c r="I2351" t="s">
        <v>21</v>
      </c>
      <c r="J2351" t="s">
        <v>23</v>
      </c>
      <c r="K2351" t="s">
        <v>22</v>
      </c>
      <c r="L2351">
        <v>4</v>
      </c>
      <c r="M2351" s="12">
        <v>54999</v>
      </c>
      <c r="N2351" s="12">
        <v>45099.18</v>
      </c>
      <c r="O2351">
        <v>7</v>
      </c>
      <c r="P2351" s="12">
        <v>204596.28</v>
      </c>
      <c r="Q2351" s="12">
        <v>180396.72</v>
      </c>
      <c r="R2351" s="12">
        <v>24199.559999999998</v>
      </c>
      <c r="S2351" t="s">
        <v>113</v>
      </c>
      <c r="T2351" t="s">
        <v>107</v>
      </c>
      <c r="U2351" t="s">
        <v>1201</v>
      </c>
    </row>
    <row r="2352" spans="1:21" x14ac:dyDescent="0.25">
      <c r="A2352" t="s">
        <v>4396</v>
      </c>
      <c r="B2352" s="8">
        <v>45755</v>
      </c>
      <c r="C2352" t="s">
        <v>2324</v>
      </c>
      <c r="D2352" t="s">
        <v>1130</v>
      </c>
      <c r="E2352" t="s">
        <v>198</v>
      </c>
      <c r="F2352">
        <v>34</v>
      </c>
      <c r="G2352" t="s">
        <v>17</v>
      </c>
      <c r="H2352" t="s">
        <v>15</v>
      </c>
      <c r="I2352" t="s">
        <v>45</v>
      </c>
      <c r="J2352" t="s">
        <v>46</v>
      </c>
      <c r="K2352" t="s">
        <v>43</v>
      </c>
      <c r="L2352">
        <v>4</v>
      </c>
      <c r="M2352" s="12">
        <v>11999</v>
      </c>
      <c r="N2352" s="12">
        <v>8999.25</v>
      </c>
      <c r="O2352">
        <v>6</v>
      </c>
      <c r="P2352" s="12">
        <v>45116.24</v>
      </c>
      <c r="Q2352" s="12">
        <v>35997</v>
      </c>
      <c r="R2352" s="12">
        <v>9119.239999999998</v>
      </c>
      <c r="S2352" t="s">
        <v>1246</v>
      </c>
      <c r="T2352" t="s">
        <v>110</v>
      </c>
      <c r="U2352" t="s">
        <v>1205</v>
      </c>
    </row>
    <row r="2353" spans="1:21" x14ac:dyDescent="0.25">
      <c r="A2353" t="s">
        <v>4397</v>
      </c>
      <c r="B2353" s="8">
        <v>45914</v>
      </c>
      <c r="C2353" t="s">
        <v>1675</v>
      </c>
      <c r="D2353" t="s">
        <v>1029</v>
      </c>
      <c r="E2353" t="s">
        <v>198</v>
      </c>
      <c r="F2353">
        <v>48</v>
      </c>
      <c r="G2353" t="s">
        <v>10</v>
      </c>
      <c r="H2353" t="s">
        <v>8</v>
      </c>
      <c r="I2353" t="s">
        <v>40</v>
      </c>
      <c r="J2353" t="s">
        <v>39</v>
      </c>
      <c r="K2353" t="s">
        <v>22</v>
      </c>
      <c r="L2353">
        <v>5</v>
      </c>
      <c r="M2353" s="12">
        <v>1100</v>
      </c>
      <c r="N2353" s="12">
        <v>715</v>
      </c>
      <c r="O2353">
        <v>7</v>
      </c>
      <c r="P2353" s="12">
        <v>5115</v>
      </c>
      <c r="Q2353" s="12">
        <v>3575</v>
      </c>
      <c r="R2353" s="12">
        <v>1540</v>
      </c>
      <c r="S2353" t="s">
        <v>1246</v>
      </c>
      <c r="T2353" t="s">
        <v>108</v>
      </c>
      <c r="U2353" t="s">
        <v>1201</v>
      </c>
    </row>
    <row r="2354" spans="1:21" x14ac:dyDescent="0.25">
      <c r="A2354" t="s">
        <v>4398</v>
      </c>
      <c r="B2354" s="8">
        <v>45879</v>
      </c>
      <c r="C2354" t="s">
        <v>1383</v>
      </c>
      <c r="D2354" t="s">
        <v>998</v>
      </c>
      <c r="E2354" t="s">
        <v>198</v>
      </c>
      <c r="F2354">
        <v>60</v>
      </c>
      <c r="G2354" t="s">
        <v>9</v>
      </c>
      <c r="H2354" t="s">
        <v>8</v>
      </c>
      <c r="I2354" t="s">
        <v>38</v>
      </c>
      <c r="J2354" t="s">
        <v>37</v>
      </c>
      <c r="K2354" t="s">
        <v>22</v>
      </c>
      <c r="L2354">
        <v>2</v>
      </c>
      <c r="M2354" s="12">
        <v>1650</v>
      </c>
      <c r="N2354" s="12">
        <v>990</v>
      </c>
      <c r="O2354">
        <v>8</v>
      </c>
      <c r="P2354" s="12">
        <v>3036</v>
      </c>
      <c r="Q2354" s="12">
        <v>1980</v>
      </c>
      <c r="R2354" s="12">
        <v>1056</v>
      </c>
      <c r="S2354" t="s">
        <v>1246</v>
      </c>
      <c r="T2354" t="s">
        <v>107</v>
      </c>
      <c r="U2354" t="s">
        <v>1209</v>
      </c>
    </row>
    <row r="2355" spans="1:21" x14ac:dyDescent="0.25">
      <c r="A2355" t="s">
        <v>4399</v>
      </c>
      <c r="B2355" s="8">
        <v>45999</v>
      </c>
      <c r="C2355" t="s">
        <v>3929</v>
      </c>
      <c r="D2355" t="s">
        <v>953</v>
      </c>
      <c r="E2355" t="s">
        <v>198</v>
      </c>
      <c r="F2355">
        <v>51</v>
      </c>
      <c r="G2355" t="s">
        <v>289</v>
      </c>
      <c r="H2355" t="s">
        <v>3</v>
      </c>
      <c r="I2355" t="s">
        <v>49</v>
      </c>
      <c r="J2355" t="s">
        <v>56</v>
      </c>
      <c r="K2355" t="s">
        <v>43</v>
      </c>
      <c r="L2355">
        <v>2</v>
      </c>
      <c r="M2355" s="12">
        <v>31999</v>
      </c>
      <c r="N2355" s="12">
        <v>25599.200000000001</v>
      </c>
      <c r="O2355">
        <v>20</v>
      </c>
      <c r="P2355" s="12">
        <v>51198.400000000001</v>
      </c>
      <c r="Q2355" s="12">
        <v>51198.400000000001</v>
      </c>
      <c r="R2355" s="12">
        <v>0</v>
      </c>
      <c r="S2355" t="s">
        <v>1246</v>
      </c>
      <c r="T2355" t="s">
        <v>107</v>
      </c>
      <c r="U2355" t="s">
        <v>1211</v>
      </c>
    </row>
    <row r="2356" spans="1:21" x14ac:dyDescent="0.25">
      <c r="A2356" t="s">
        <v>4400</v>
      </c>
      <c r="B2356" s="8">
        <v>45940</v>
      </c>
      <c r="C2356" t="s">
        <v>2863</v>
      </c>
      <c r="D2356" t="s">
        <v>890</v>
      </c>
      <c r="E2356" t="s">
        <v>218</v>
      </c>
      <c r="F2356">
        <v>25</v>
      </c>
      <c r="G2356" t="s">
        <v>17</v>
      </c>
      <c r="H2356" t="s">
        <v>15</v>
      </c>
      <c r="I2356" t="s">
        <v>47</v>
      </c>
      <c r="J2356" t="s">
        <v>52</v>
      </c>
      <c r="K2356" t="s">
        <v>43</v>
      </c>
      <c r="L2356">
        <v>2</v>
      </c>
      <c r="M2356" s="12">
        <v>42999</v>
      </c>
      <c r="N2356" s="12">
        <v>33539.22</v>
      </c>
      <c r="O2356">
        <v>8</v>
      </c>
      <c r="P2356" s="12">
        <v>79118.16</v>
      </c>
      <c r="Q2356" s="12">
        <v>67078.44</v>
      </c>
      <c r="R2356" s="12">
        <v>12039.720000000001</v>
      </c>
      <c r="S2356" t="s">
        <v>113</v>
      </c>
      <c r="T2356" t="s">
        <v>107</v>
      </c>
      <c r="U2356" t="s">
        <v>1194</v>
      </c>
    </row>
    <row r="2357" spans="1:21" x14ac:dyDescent="0.25">
      <c r="A2357" t="s">
        <v>4401</v>
      </c>
      <c r="B2357" s="8">
        <v>45784</v>
      </c>
      <c r="C2357" t="s">
        <v>1809</v>
      </c>
      <c r="D2357" t="s">
        <v>767</v>
      </c>
      <c r="E2357" t="s">
        <v>198</v>
      </c>
      <c r="F2357">
        <v>34</v>
      </c>
      <c r="G2357" t="s">
        <v>7</v>
      </c>
      <c r="H2357" t="s">
        <v>8</v>
      </c>
      <c r="I2357" t="s">
        <v>40</v>
      </c>
      <c r="J2357" t="s">
        <v>39</v>
      </c>
      <c r="K2357" t="s">
        <v>22</v>
      </c>
      <c r="L2357">
        <v>5</v>
      </c>
      <c r="M2357" s="12">
        <v>1100</v>
      </c>
      <c r="N2357" s="12">
        <v>715</v>
      </c>
      <c r="O2357">
        <v>5</v>
      </c>
      <c r="P2357" s="12">
        <v>5225</v>
      </c>
      <c r="Q2357" s="12">
        <v>3575</v>
      </c>
      <c r="R2357" s="12">
        <v>1650</v>
      </c>
      <c r="S2357" t="s">
        <v>113</v>
      </c>
      <c r="T2357" t="s">
        <v>107</v>
      </c>
      <c r="U2357" t="s">
        <v>1211</v>
      </c>
    </row>
    <row r="2358" spans="1:21" x14ac:dyDescent="0.25">
      <c r="A2358" t="s">
        <v>4402</v>
      </c>
      <c r="B2358" s="8">
        <v>45669</v>
      </c>
      <c r="C2358" t="s">
        <v>1289</v>
      </c>
      <c r="D2358" t="s">
        <v>1116</v>
      </c>
      <c r="E2358" t="s">
        <v>218</v>
      </c>
      <c r="F2358">
        <v>20</v>
      </c>
      <c r="G2358" t="s">
        <v>16</v>
      </c>
      <c r="H2358" t="s">
        <v>15</v>
      </c>
      <c r="I2358" t="s">
        <v>42</v>
      </c>
      <c r="J2358" t="s">
        <v>44</v>
      </c>
      <c r="K2358" t="s">
        <v>43</v>
      </c>
      <c r="L2358">
        <v>5</v>
      </c>
      <c r="M2358" s="12">
        <v>8999</v>
      </c>
      <c r="N2358" s="12">
        <v>6479.28</v>
      </c>
      <c r="O2358">
        <v>5</v>
      </c>
      <c r="P2358" s="12">
        <v>42745.25</v>
      </c>
      <c r="Q2358" s="12">
        <v>32396.399999999998</v>
      </c>
      <c r="R2358" s="12">
        <v>10348.850000000002</v>
      </c>
      <c r="S2358" t="s">
        <v>1249</v>
      </c>
      <c r="T2358" t="s">
        <v>107</v>
      </c>
      <c r="U2358" t="s">
        <v>1194</v>
      </c>
    </row>
    <row r="2359" spans="1:21" x14ac:dyDescent="0.25">
      <c r="A2359" t="s">
        <v>4403</v>
      </c>
      <c r="B2359" s="8">
        <v>45807</v>
      </c>
      <c r="C2359" t="s">
        <v>1774</v>
      </c>
      <c r="D2359" t="s">
        <v>1105</v>
      </c>
      <c r="E2359" t="s">
        <v>218</v>
      </c>
      <c r="F2359">
        <v>50</v>
      </c>
      <c r="G2359" t="s">
        <v>14</v>
      </c>
      <c r="H2359" t="s">
        <v>15</v>
      </c>
      <c r="I2359" t="s">
        <v>38</v>
      </c>
      <c r="J2359" t="s">
        <v>37</v>
      </c>
      <c r="K2359" t="s">
        <v>22</v>
      </c>
      <c r="L2359">
        <v>4</v>
      </c>
      <c r="M2359" s="12">
        <v>1650</v>
      </c>
      <c r="N2359" s="12">
        <v>990</v>
      </c>
      <c r="O2359">
        <v>5</v>
      </c>
      <c r="P2359" s="12">
        <v>6270</v>
      </c>
      <c r="Q2359" s="12">
        <v>3960</v>
      </c>
      <c r="R2359" s="12">
        <v>2310</v>
      </c>
      <c r="S2359" t="s">
        <v>1246</v>
      </c>
      <c r="T2359" t="s">
        <v>107</v>
      </c>
      <c r="U2359" t="s">
        <v>1205</v>
      </c>
    </row>
    <row r="2360" spans="1:21" x14ac:dyDescent="0.25">
      <c r="A2360" t="s">
        <v>4404</v>
      </c>
      <c r="B2360" s="8">
        <v>45819</v>
      </c>
      <c r="C2360" t="s">
        <v>2349</v>
      </c>
      <c r="D2360" t="s">
        <v>626</v>
      </c>
      <c r="E2360" t="s">
        <v>198</v>
      </c>
      <c r="F2360">
        <v>40</v>
      </c>
      <c r="G2360" t="s">
        <v>290</v>
      </c>
      <c r="H2360" t="s">
        <v>3</v>
      </c>
      <c r="I2360" t="s">
        <v>53</v>
      </c>
      <c r="J2360" t="s">
        <v>48</v>
      </c>
      <c r="K2360" t="s">
        <v>43</v>
      </c>
      <c r="L2360">
        <v>5</v>
      </c>
      <c r="M2360" s="12">
        <v>6499</v>
      </c>
      <c r="N2360" s="12">
        <v>4549.2999999999993</v>
      </c>
      <c r="O2360">
        <v>4</v>
      </c>
      <c r="P2360" s="12">
        <v>31195.199999999997</v>
      </c>
      <c r="Q2360" s="12">
        <v>22746.499999999996</v>
      </c>
      <c r="R2360" s="12">
        <v>8448.7000000000007</v>
      </c>
      <c r="S2360" t="s">
        <v>113</v>
      </c>
      <c r="T2360" t="s">
        <v>108</v>
      </c>
      <c r="U2360" t="s">
        <v>1199</v>
      </c>
    </row>
    <row r="2361" spans="1:21" x14ac:dyDescent="0.25">
      <c r="A2361" t="s">
        <v>4405</v>
      </c>
      <c r="B2361" s="8">
        <v>45694</v>
      </c>
      <c r="C2361" t="s">
        <v>2863</v>
      </c>
      <c r="D2361" t="s">
        <v>890</v>
      </c>
      <c r="E2361" t="s">
        <v>218</v>
      </c>
      <c r="F2361">
        <v>25</v>
      </c>
      <c r="G2361" t="s">
        <v>17</v>
      </c>
      <c r="H2361" t="s">
        <v>15</v>
      </c>
      <c r="I2361" t="s">
        <v>49</v>
      </c>
      <c r="J2361" t="s">
        <v>56</v>
      </c>
      <c r="K2361" t="s">
        <v>43</v>
      </c>
      <c r="L2361">
        <v>2</v>
      </c>
      <c r="M2361" s="12">
        <v>31999</v>
      </c>
      <c r="N2361" s="12">
        <v>25599.200000000001</v>
      </c>
      <c r="O2361">
        <v>10</v>
      </c>
      <c r="P2361" s="12">
        <v>57598.200000000004</v>
      </c>
      <c r="Q2361" s="12">
        <v>51198.400000000001</v>
      </c>
      <c r="R2361" s="12">
        <v>6399.8000000000029</v>
      </c>
      <c r="S2361" t="s">
        <v>113</v>
      </c>
      <c r="T2361" t="s">
        <v>107</v>
      </c>
      <c r="U2361" t="s">
        <v>1211</v>
      </c>
    </row>
    <row r="2362" spans="1:21" x14ac:dyDescent="0.25">
      <c r="A2362" t="s">
        <v>4406</v>
      </c>
      <c r="B2362" s="8">
        <v>46011</v>
      </c>
      <c r="C2362" t="s">
        <v>2790</v>
      </c>
      <c r="D2362" t="s">
        <v>739</v>
      </c>
      <c r="E2362" t="s">
        <v>198</v>
      </c>
      <c r="F2362">
        <v>32</v>
      </c>
      <c r="G2362" t="s">
        <v>289</v>
      </c>
      <c r="H2362" t="s">
        <v>3</v>
      </c>
      <c r="I2362" t="s">
        <v>57</v>
      </c>
      <c r="J2362" t="s">
        <v>67</v>
      </c>
      <c r="K2362" t="s">
        <v>64</v>
      </c>
      <c r="L2362">
        <v>4</v>
      </c>
      <c r="M2362" s="12">
        <v>150</v>
      </c>
      <c r="N2362" s="12">
        <v>97.5</v>
      </c>
      <c r="O2362">
        <v>8</v>
      </c>
      <c r="P2362" s="12">
        <v>552</v>
      </c>
      <c r="Q2362" s="12">
        <v>390</v>
      </c>
      <c r="R2362" s="12">
        <v>162</v>
      </c>
      <c r="S2362" t="s">
        <v>113</v>
      </c>
      <c r="T2362" t="s">
        <v>107</v>
      </c>
      <c r="U2362" t="s">
        <v>1203</v>
      </c>
    </row>
    <row r="2363" spans="1:21" x14ac:dyDescent="0.25">
      <c r="A2363" t="s">
        <v>4407</v>
      </c>
      <c r="B2363" s="8">
        <v>45966</v>
      </c>
      <c r="C2363" t="s">
        <v>1479</v>
      </c>
      <c r="D2363" t="s">
        <v>1085</v>
      </c>
      <c r="E2363" t="s">
        <v>218</v>
      </c>
      <c r="F2363">
        <v>49</v>
      </c>
      <c r="G2363" t="s">
        <v>14</v>
      </c>
      <c r="H2363" t="s">
        <v>15</v>
      </c>
      <c r="I2363" t="s">
        <v>61</v>
      </c>
      <c r="J2363" t="s">
        <v>146</v>
      </c>
      <c r="K2363" t="s">
        <v>64</v>
      </c>
      <c r="L2363">
        <v>1</v>
      </c>
      <c r="M2363" s="12">
        <v>250</v>
      </c>
      <c r="N2363" s="12">
        <v>155</v>
      </c>
      <c r="O2363">
        <v>7</v>
      </c>
      <c r="P2363" s="12">
        <v>232.49999999999997</v>
      </c>
      <c r="Q2363" s="12">
        <v>155</v>
      </c>
      <c r="R2363" s="12">
        <v>77.499999999999972</v>
      </c>
      <c r="S2363" t="s">
        <v>1246</v>
      </c>
      <c r="T2363" t="s">
        <v>107</v>
      </c>
      <c r="U2363" t="s">
        <v>1209</v>
      </c>
    </row>
    <row r="2364" spans="1:21" x14ac:dyDescent="0.25">
      <c r="A2364" t="s">
        <v>4408</v>
      </c>
      <c r="B2364" s="8">
        <v>45881</v>
      </c>
      <c r="C2364" t="s">
        <v>5103</v>
      </c>
      <c r="D2364" t="s">
        <v>610</v>
      </c>
      <c r="E2364" t="s">
        <v>198</v>
      </c>
      <c r="F2364">
        <v>39</v>
      </c>
      <c r="G2364" t="s">
        <v>5</v>
      </c>
      <c r="H2364" t="s">
        <v>3</v>
      </c>
      <c r="I2364" t="s">
        <v>49</v>
      </c>
      <c r="J2364" t="s">
        <v>56</v>
      </c>
      <c r="K2364" t="s">
        <v>43</v>
      </c>
      <c r="L2364">
        <v>3</v>
      </c>
      <c r="M2364" s="12">
        <v>31999</v>
      </c>
      <c r="N2364" s="12">
        <v>25599.200000000001</v>
      </c>
      <c r="O2364">
        <v>9</v>
      </c>
      <c r="P2364" s="12">
        <v>87357.27</v>
      </c>
      <c r="Q2364" s="12">
        <v>76797.600000000006</v>
      </c>
      <c r="R2364" s="12">
        <v>10559.669999999998</v>
      </c>
      <c r="S2364" t="s">
        <v>113</v>
      </c>
      <c r="T2364" t="s">
        <v>108</v>
      </c>
      <c r="U2364" t="s">
        <v>1199</v>
      </c>
    </row>
    <row r="2365" spans="1:21" x14ac:dyDescent="0.25">
      <c r="A2365" t="s">
        <v>4409</v>
      </c>
      <c r="B2365" s="8">
        <v>45894</v>
      </c>
      <c r="C2365" t="s">
        <v>3929</v>
      </c>
      <c r="D2365" t="s">
        <v>953</v>
      </c>
      <c r="E2365" t="s">
        <v>198</v>
      </c>
      <c r="F2365">
        <v>51</v>
      </c>
      <c r="G2365" t="s">
        <v>289</v>
      </c>
      <c r="H2365" t="s">
        <v>3</v>
      </c>
      <c r="I2365" t="s">
        <v>57</v>
      </c>
      <c r="J2365" t="s">
        <v>67</v>
      </c>
      <c r="K2365" t="s">
        <v>64</v>
      </c>
      <c r="L2365">
        <v>2</v>
      </c>
      <c r="M2365" s="12">
        <v>150</v>
      </c>
      <c r="N2365" s="12">
        <v>97.5</v>
      </c>
      <c r="O2365">
        <v>0</v>
      </c>
      <c r="P2365" s="12">
        <v>300</v>
      </c>
      <c r="Q2365" s="12">
        <v>195</v>
      </c>
      <c r="R2365" s="12">
        <v>105</v>
      </c>
      <c r="S2365" t="s">
        <v>1246</v>
      </c>
      <c r="T2365" t="s">
        <v>108</v>
      </c>
      <c r="U2365" t="s">
        <v>1201</v>
      </c>
    </row>
    <row r="2366" spans="1:21" x14ac:dyDescent="0.25">
      <c r="A2366" t="s">
        <v>4410</v>
      </c>
      <c r="B2366" s="8">
        <v>45709</v>
      </c>
      <c r="C2366" t="s">
        <v>2678</v>
      </c>
      <c r="D2366" t="s">
        <v>980</v>
      </c>
      <c r="E2366" t="s">
        <v>218</v>
      </c>
      <c r="F2366">
        <v>34</v>
      </c>
      <c r="G2366" t="s">
        <v>9</v>
      </c>
      <c r="H2366" t="s">
        <v>8</v>
      </c>
      <c r="I2366" t="s">
        <v>32</v>
      </c>
      <c r="J2366" t="s">
        <v>29</v>
      </c>
      <c r="K2366" t="s">
        <v>22</v>
      </c>
      <c r="L2366">
        <v>2</v>
      </c>
      <c r="M2366" s="12">
        <v>9500</v>
      </c>
      <c r="N2366" s="12">
        <v>6650</v>
      </c>
      <c r="O2366">
        <v>5</v>
      </c>
      <c r="P2366" s="12">
        <v>18050</v>
      </c>
      <c r="Q2366" s="12">
        <v>13300</v>
      </c>
      <c r="R2366" s="12">
        <v>4750</v>
      </c>
      <c r="S2366" t="s">
        <v>1249</v>
      </c>
      <c r="T2366" t="s">
        <v>107</v>
      </c>
      <c r="U2366" t="s">
        <v>1198</v>
      </c>
    </row>
    <row r="2367" spans="1:21" x14ac:dyDescent="0.25">
      <c r="A2367" t="s">
        <v>4411</v>
      </c>
      <c r="B2367" s="8">
        <v>45697</v>
      </c>
      <c r="C2367" t="s">
        <v>1872</v>
      </c>
      <c r="D2367" t="s">
        <v>642</v>
      </c>
      <c r="E2367" t="s">
        <v>198</v>
      </c>
      <c r="F2367">
        <v>47</v>
      </c>
      <c r="G2367" t="s">
        <v>4</v>
      </c>
      <c r="H2367" t="s">
        <v>3</v>
      </c>
      <c r="I2367" t="s">
        <v>32</v>
      </c>
      <c r="J2367" t="s">
        <v>29</v>
      </c>
      <c r="K2367" t="s">
        <v>22</v>
      </c>
      <c r="L2367">
        <v>1</v>
      </c>
      <c r="M2367" s="12">
        <v>9500</v>
      </c>
      <c r="N2367" s="12">
        <v>6650</v>
      </c>
      <c r="O2367">
        <v>3</v>
      </c>
      <c r="P2367" s="12">
        <v>9215</v>
      </c>
      <c r="Q2367" s="12">
        <v>6650</v>
      </c>
      <c r="R2367" s="12">
        <v>2565</v>
      </c>
      <c r="S2367" t="s">
        <v>113</v>
      </c>
      <c r="T2367" t="s">
        <v>107</v>
      </c>
      <c r="U2367" t="s">
        <v>1203</v>
      </c>
    </row>
    <row r="2368" spans="1:21" x14ac:dyDescent="0.25">
      <c r="A2368" t="s">
        <v>4412</v>
      </c>
      <c r="B2368" s="8">
        <v>45863</v>
      </c>
      <c r="C2368" t="s">
        <v>1494</v>
      </c>
      <c r="D2368" t="s">
        <v>930</v>
      </c>
      <c r="E2368" t="s">
        <v>198</v>
      </c>
      <c r="F2368">
        <v>54</v>
      </c>
      <c r="G2368" t="s">
        <v>289</v>
      </c>
      <c r="H2368" t="s">
        <v>3</v>
      </c>
      <c r="I2368" t="s">
        <v>49</v>
      </c>
      <c r="J2368" t="s">
        <v>56</v>
      </c>
      <c r="K2368" t="s">
        <v>43</v>
      </c>
      <c r="L2368">
        <v>1</v>
      </c>
      <c r="M2368" s="12">
        <v>31999</v>
      </c>
      <c r="N2368" s="12">
        <v>25599.200000000001</v>
      </c>
      <c r="O2368">
        <v>5</v>
      </c>
      <c r="P2368" s="12">
        <v>30399.05</v>
      </c>
      <c r="Q2368" s="12">
        <v>25599.200000000001</v>
      </c>
      <c r="R2368" s="12">
        <v>4799.8499999999985</v>
      </c>
      <c r="S2368" t="s">
        <v>1246</v>
      </c>
      <c r="T2368" t="s">
        <v>109</v>
      </c>
      <c r="U2368" t="s">
        <v>1203</v>
      </c>
    </row>
    <row r="2369" spans="1:21" x14ac:dyDescent="0.25">
      <c r="A2369" t="s">
        <v>4413</v>
      </c>
      <c r="B2369" s="8">
        <v>45683</v>
      </c>
      <c r="C2369" t="s">
        <v>5093</v>
      </c>
      <c r="D2369" t="s">
        <v>638</v>
      </c>
      <c r="E2369" t="s">
        <v>218</v>
      </c>
      <c r="F2369">
        <v>46</v>
      </c>
      <c r="G2369" t="s">
        <v>289</v>
      </c>
      <c r="H2369" t="s">
        <v>3</v>
      </c>
      <c r="I2369" t="s">
        <v>45</v>
      </c>
      <c r="J2369" t="s">
        <v>46</v>
      </c>
      <c r="K2369" t="s">
        <v>43</v>
      </c>
      <c r="L2369">
        <v>4</v>
      </c>
      <c r="M2369" s="12">
        <v>11999</v>
      </c>
      <c r="N2369" s="12">
        <v>8999.25</v>
      </c>
      <c r="O2369">
        <v>4</v>
      </c>
      <c r="P2369" s="12">
        <v>46076.159999999996</v>
      </c>
      <c r="Q2369" s="12">
        <v>35997</v>
      </c>
      <c r="R2369" s="12">
        <v>10079.159999999996</v>
      </c>
      <c r="S2369" t="s">
        <v>113</v>
      </c>
      <c r="T2369" t="s">
        <v>110</v>
      </c>
      <c r="U2369" t="s">
        <v>1198</v>
      </c>
    </row>
    <row r="2370" spans="1:21" x14ac:dyDescent="0.25">
      <c r="A2370" t="s">
        <v>4414</v>
      </c>
      <c r="B2370" s="8">
        <v>45701</v>
      </c>
      <c r="C2370" t="s">
        <v>1569</v>
      </c>
      <c r="D2370" t="s">
        <v>1012</v>
      </c>
      <c r="E2370" t="s">
        <v>218</v>
      </c>
      <c r="F2370">
        <v>23</v>
      </c>
      <c r="G2370" t="s">
        <v>290</v>
      </c>
      <c r="H2370" t="s">
        <v>3</v>
      </c>
      <c r="I2370" t="s">
        <v>26</v>
      </c>
      <c r="J2370" t="s">
        <v>27</v>
      </c>
      <c r="K2370" t="s">
        <v>22</v>
      </c>
      <c r="L2370">
        <v>5</v>
      </c>
      <c r="M2370" s="12">
        <v>27499</v>
      </c>
      <c r="N2370" s="12">
        <v>23374.149999999998</v>
      </c>
      <c r="O2370">
        <v>4</v>
      </c>
      <c r="P2370" s="12">
        <v>131995.19999999998</v>
      </c>
      <c r="Q2370" s="12">
        <v>116870.74999999999</v>
      </c>
      <c r="R2370" s="12">
        <v>15124.449999999997</v>
      </c>
      <c r="S2370" t="s">
        <v>1246</v>
      </c>
      <c r="T2370" t="s">
        <v>108</v>
      </c>
      <c r="U2370" t="s">
        <v>1201</v>
      </c>
    </row>
    <row r="2371" spans="1:21" x14ac:dyDescent="0.25">
      <c r="A2371" t="s">
        <v>4415</v>
      </c>
      <c r="B2371" s="8">
        <v>45845</v>
      </c>
      <c r="C2371" t="s">
        <v>1378</v>
      </c>
      <c r="D2371" t="s">
        <v>993</v>
      </c>
      <c r="E2371" t="s">
        <v>218</v>
      </c>
      <c r="F2371">
        <v>23</v>
      </c>
      <c r="G2371" t="s">
        <v>4</v>
      </c>
      <c r="H2371" t="s">
        <v>3</v>
      </c>
      <c r="I2371" t="s">
        <v>38</v>
      </c>
      <c r="J2371" t="s">
        <v>37</v>
      </c>
      <c r="K2371" t="s">
        <v>22</v>
      </c>
      <c r="L2371">
        <v>2</v>
      </c>
      <c r="M2371" s="12">
        <v>1650</v>
      </c>
      <c r="N2371" s="12">
        <v>990</v>
      </c>
      <c r="O2371">
        <v>3</v>
      </c>
      <c r="P2371" s="12">
        <v>3201</v>
      </c>
      <c r="Q2371" s="12">
        <v>1980</v>
      </c>
      <c r="R2371" s="12">
        <v>1221</v>
      </c>
      <c r="S2371" t="s">
        <v>1246</v>
      </c>
      <c r="T2371" t="s">
        <v>107</v>
      </c>
      <c r="U2371" t="s">
        <v>1196</v>
      </c>
    </row>
    <row r="2372" spans="1:21" x14ac:dyDescent="0.25">
      <c r="A2372" t="s">
        <v>4416</v>
      </c>
      <c r="B2372" s="8">
        <v>45778</v>
      </c>
      <c r="C2372" t="s">
        <v>4015</v>
      </c>
      <c r="D2372" t="s">
        <v>406</v>
      </c>
      <c r="E2372" t="s">
        <v>218</v>
      </c>
      <c r="F2372">
        <v>21</v>
      </c>
      <c r="G2372" t="s">
        <v>11</v>
      </c>
      <c r="H2372" t="s">
        <v>12</v>
      </c>
      <c r="I2372" t="s">
        <v>63</v>
      </c>
      <c r="J2372" t="s">
        <v>77</v>
      </c>
      <c r="K2372" t="s">
        <v>64</v>
      </c>
      <c r="L2372">
        <v>2</v>
      </c>
      <c r="M2372" s="12">
        <v>650</v>
      </c>
      <c r="N2372" s="12">
        <v>468</v>
      </c>
      <c r="O2372">
        <v>14</v>
      </c>
      <c r="P2372" s="12">
        <v>1118</v>
      </c>
      <c r="Q2372" s="12">
        <v>936</v>
      </c>
      <c r="R2372" s="12">
        <v>182</v>
      </c>
      <c r="S2372" t="s">
        <v>1246</v>
      </c>
      <c r="T2372" t="s">
        <v>107</v>
      </c>
      <c r="U2372" t="s">
        <v>1194</v>
      </c>
    </row>
    <row r="2373" spans="1:21" x14ac:dyDescent="0.25">
      <c r="A2373" t="s">
        <v>4417</v>
      </c>
      <c r="B2373" s="8">
        <v>45855</v>
      </c>
      <c r="C2373" t="s">
        <v>1376</v>
      </c>
      <c r="D2373" t="s">
        <v>1011</v>
      </c>
      <c r="E2373" t="s">
        <v>218</v>
      </c>
      <c r="F2373">
        <v>51</v>
      </c>
      <c r="G2373" t="s">
        <v>7</v>
      </c>
      <c r="H2373" t="s">
        <v>8</v>
      </c>
      <c r="I2373" t="s">
        <v>24</v>
      </c>
      <c r="J2373" t="s">
        <v>25</v>
      </c>
      <c r="K2373" t="s">
        <v>22</v>
      </c>
      <c r="L2373">
        <v>4</v>
      </c>
      <c r="M2373" s="12">
        <v>35800</v>
      </c>
      <c r="N2373" s="12">
        <v>28640</v>
      </c>
      <c r="O2373">
        <v>3</v>
      </c>
      <c r="P2373" s="12">
        <v>138904</v>
      </c>
      <c r="Q2373" s="12">
        <v>114560</v>
      </c>
      <c r="R2373" s="12">
        <v>24344</v>
      </c>
      <c r="S2373" t="s">
        <v>113</v>
      </c>
      <c r="T2373" t="s">
        <v>108</v>
      </c>
      <c r="U2373" t="s">
        <v>1207</v>
      </c>
    </row>
    <row r="2374" spans="1:21" x14ac:dyDescent="0.25">
      <c r="A2374" t="s">
        <v>4418</v>
      </c>
      <c r="B2374" s="8">
        <v>45777</v>
      </c>
      <c r="C2374" t="s">
        <v>2743</v>
      </c>
      <c r="D2374" t="s">
        <v>616</v>
      </c>
      <c r="E2374" t="s">
        <v>218</v>
      </c>
      <c r="F2374">
        <v>24</v>
      </c>
      <c r="G2374" t="s">
        <v>7</v>
      </c>
      <c r="H2374" t="s">
        <v>8</v>
      </c>
      <c r="I2374" t="s">
        <v>51</v>
      </c>
      <c r="J2374" t="s">
        <v>54</v>
      </c>
      <c r="K2374" t="s">
        <v>43</v>
      </c>
      <c r="L2374">
        <v>5</v>
      </c>
      <c r="M2374" s="12">
        <v>27499</v>
      </c>
      <c r="N2374" s="12">
        <v>21724.210000000003</v>
      </c>
      <c r="O2374">
        <v>9</v>
      </c>
      <c r="P2374" s="12">
        <v>125120.45</v>
      </c>
      <c r="Q2374" s="12">
        <v>108621.05000000002</v>
      </c>
      <c r="R2374" s="12">
        <v>16499.39999999998</v>
      </c>
      <c r="S2374" t="s">
        <v>113</v>
      </c>
      <c r="T2374" t="s">
        <v>108</v>
      </c>
      <c r="U2374" t="s">
        <v>1207</v>
      </c>
    </row>
    <row r="2375" spans="1:21" x14ac:dyDescent="0.25">
      <c r="A2375" t="s">
        <v>4419</v>
      </c>
      <c r="B2375" s="8">
        <v>45956</v>
      </c>
      <c r="C2375" t="s">
        <v>1850</v>
      </c>
      <c r="D2375" t="s">
        <v>918</v>
      </c>
      <c r="E2375" t="s">
        <v>218</v>
      </c>
      <c r="F2375">
        <v>44</v>
      </c>
      <c r="G2375" t="s">
        <v>9</v>
      </c>
      <c r="H2375" t="s">
        <v>8</v>
      </c>
      <c r="I2375" t="s">
        <v>47</v>
      </c>
      <c r="J2375" t="s">
        <v>52</v>
      </c>
      <c r="K2375" t="s">
        <v>43</v>
      </c>
      <c r="L2375">
        <v>4</v>
      </c>
      <c r="M2375" s="12">
        <v>42999</v>
      </c>
      <c r="N2375" s="12">
        <v>33539.22</v>
      </c>
      <c r="O2375">
        <v>6</v>
      </c>
      <c r="P2375" s="12">
        <v>161676.24</v>
      </c>
      <c r="Q2375" s="12">
        <v>134156.88</v>
      </c>
      <c r="R2375" s="12">
        <v>27519.359999999986</v>
      </c>
      <c r="S2375" t="s">
        <v>113</v>
      </c>
      <c r="T2375" t="s">
        <v>107</v>
      </c>
      <c r="U2375" t="s">
        <v>1211</v>
      </c>
    </row>
    <row r="2376" spans="1:21" x14ac:dyDescent="0.25">
      <c r="A2376" t="s">
        <v>4420</v>
      </c>
      <c r="B2376" s="8">
        <v>45746</v>
      </c>
      <c r="C2376" t="s">
        <v>4875</v>
      </c>
      <c r="D2376" t="s">
        <v>728</v>
      </c>
      <c r="E2376" t="s">
        <v>198</v>
      </c>
      <c r="F2376">
        <v>20</v>
      </c>
      <c r="G2376" t="s">
        <v>11</v>
      </c>
      <c r="H2376" t="s">
        <v>12</v>
      </c>
      <c r="I2376" t="s">
        <v>34</v>
      </c>
      <c r="J2376" t="s">
        <v>137</v>
      </c>
      <c r="K2376" t="s">
        <v>22</v>
      </c>
      <c r="L2376">
        <v>3</v>
      </c>
      <c r="M2376" s="12">
        <v>6900</v>
      </c>
      <c r="N2376" s="12">
        <v>5727</v>
      </c>
      <c r="O2376">
        <v>7</v>
      </c>
      <c r="P2376" s="12">
        <v>19251</v>
      </c>
      <c r="Q2376" s="12">
        <v>17181</v>
      </c>
      <c r="R2376" s="12">
        <v>2070</v>
      </c>
      <c r="S2376" t="s">
        <v>113</v>
      </c>
      <c r="T2376" t="s">
        <v>107</v>
      </c>
      <c r="U2376" t="s">
        <v>1198</v>
      </c>
    </row>
    <row r="2377" spans="1:21" x14ac:dyDescent="0.25">
      <c r="A2377" t="s">
        <v>4421</v>
      </c>
      <c r="B2377" s="8">
        <v>45755</v>
      </c>
      <c r="C2377" t="s">
        <v>2790</v>
      </c>
      <c r="D2377" t="s">
        <v>739</v>
      </c>
      <c r="E2377" t="s">
        <v>198</v>
      </c>
      <c r="F2377">
        <v>32</v>
      </c>
      <c r="G2377" t="s">
        <v>289</v>
      </c>
      <c r="H2377" t="s">
        <v>3</v>
      </c>
      <c r="I2377" t="s">
        <v>24</v>
      </c>
      <c r="J2377" t="s">
        <v>25</v>
      </c>
      <c r="K2377" t="s">
        <v>22</v>
      </c>
      <c r="L2377">
        <v>3</v>
      </c>
      <c r="M2377" s="12">
        <v>35800</v>
      </c>
      <c r="N2377" s="12">
        <v>28640</v>
      </c>
      <c r="O2377">
        <v>4</v>
      </c>
      <c r="P2377" s="12">
        <v>103104</v>
      </c>
      <c r="Q2377" s="12">
        <v>85920</v>
      </c>
      <c r="R2377" s="12">
        <v>17184</v>
      </c>
      <c r="S2377" t="s">
        <v>1246</v>
      </c>
      <c r="T2377" t="s">
        <v>108</v>
      </c>
      <c r="U2377" t="s">
        <v>1209</v>
      </c>
    </row>
    <row r="2378" spans="1:21" x14ac:dyDescent="0.25">
      <c r="A2378" t="s">
        <v>4423</v>
      </c>
      <c r="B2378" s="8">
        <v>46016</v>
      </c>
      <c r="C2378" t="s">
        <v>1768</v>
      </c>
      <c r="D2378" t="s">
        <v>388</v>
      </c>
      <c r="E2378" t="s">
        <v>198</v>
      </c>
      <c r="F2378">
        <v>23</v>
      </c>
      <c r="G2378" t="s">
        <v>10</v>
      </c>
      <c r="H2378" t="s">
        <v>8</v>
      </c>
      <c r="I2378" t="s">
        <v>38</v>
      </c>
      <c r="J2378" t="s">
        <v>37</v>
      </c>
      <c r="K2378" t="s">
        <v>22</v>
      </c>
      <c r="L2378">
        <v>1</v>
      </c>
      <c r="M2378" s="12">
        <v>1650</v>
      </c>
      <c r="N2378" s="12">
        <v>990</v>
      </c>
      <c r="O2378">
        <v>18</v>
      </c>
      <c r="P2378" s="12">
        <v>1353</v>
      </c>
      <c r="Q2378" s="12">
        <v>990</v>
      </c>
      <c r="R2378" s="12">
        <v>363</v>
      </c>
      <c r="S2378" t="s">
        <v>1246</v>
      </c>
      <c r="T2378" t="s">
        <v>108</v>
      </c>
      <c r="U2378" t="s">
        <v>1201</v>
      </c>
    </row>
    <row r="2379" spans="1:21" x14ac:dyDescent="0.25">
      <c r="A2379" t="s">
        <v>4424</v>
      </c>
      <c r="B2379" s="8">
        <v>45850</v>
      </c>
      <c r="C2379" t="s">
        <v>1872</v>
      </c>
      <c r="D2379" t="s">
        <v>642</v>
      </c>
      <c r="E2379" t="s">
        <v>198</v>
      </c>
      <c r="F2379">
        <v>47</v>
      </c>
      <c r="G2379" t="s">
        <v>4</v>
      </c>
      <c r="H2379" t="s">
        <v>3</v>
      </c>
      <c r="I2379" t="s">
        <v>38</v>
      </c>
      <c r="J2379" t="s">
        <v>37</v>
      </c>
      <c r="K2379" t="s">
        <v>22</v>
      </c>
      <c r="L2379">
        <v>1</v>
      </c>
      <c r="M2379" s="12">
        <v>1650</v>
      </c>
      <c r="N2379" s="12">
        <v>990</v>
      </c>
      <c r="O2379">
        <v>8</v>
      </c>
      <c r="P2379" s="12">
        <v>1518</v>
      </c>
      <c r="Q2379" s="12">
        <v>990</v>
      </c>
      <c r="R2379" s="12">
        <v>528</v>
      </c>
      <c r="S2379" t="s">
        <v>1246</v>
      </c>
      <c r="T2379" t="s">
        <v>108</v>
      </c>
      <c r="U2379" t="s">
        <v>1196</v>
      </c>
    </row>
    <row r="2380" spans="1:21" x14ac:dyDescent="0.25">
      <c r="A2380" t="s">
        <v>4426</v>
      </c>
      <c r="B2380" s="8">
        <v>45815</v>
      </c>
      <c r="C2380" t="s">
        <v>4949</v>
      </c>
      <c r="D2380" t="s">
        <v>853</v>
      </c>
      <c r="E2380" t="s">
        <v>198</v>
      </c>
      <c r="F2380">
        <v>37</v>
      </c>
      <c r="G2380" t="s">
        <v>11</v>
      </c>
      <c r="H2380" t="s">
        <v>12</v>
      </c>
      <c r="I2380" t="s">
        <v>57</v>
      </c>
      <c r="J2380" t="s">
        <v>67</v>
      </c>
      <c r="K2380" t="s">
        <v>64</v>
      </c>
      <c r="L2380">
        <v>5</v>
      </c>
      <c r="M2380" s="12">
        <v>150</v>
      </c>
      <c r="N2380" s="12">
        <v>97.5</v>
      </c>
      <c r="O2380">
        <v>10</v>
      </c>
      <c r="P2380" s="12">
        <v>675</v>
      </c>
      <c r="Q2380" s="12">
        <v>487.5</v>
      </c>
      <c r="R2380" s="12">
        <v>187.5</v>
      </c>
      <c r="S2380" t="s">
        <v>1246</v>
      </c>
      <c r="T2380" t="s">
        <v>108</v>
      </c>
      <c r="U2380" t="s">
        <v>1198</v>
      </c>
    </row>
    <row r="2381" spans="1:21" x14ac:dyDescent="0.25">
      <c r="A2381" t="s">
        <v>4427</v>
      </c>
      <c r="B2381" s="8">
        <v>45748</v>
      </c>
      <c r="C2381" t="s">
        <v>3724</v>
      </c>
      <c r="D2381" t="s">
        <v>1119</v>
      </c>
      <c r="E2381" t="s">
        <v>198</v>
      </c>
      <c r="F2381">
        <v>22</v>
      </c>
      <c r="G2381" t="s">
        <v>2</v>
      </c>
      <c r="H2381" t="s">
        <v>3</v>
      </c>
      <c r="I2381" t="s">
        <v>53</v>
      </c>
      <c r="J2381" t="s">
        <v>48</v>
      </c>
      <c r="K2381" t="s">
        <v>43</v>
      </c>
      <c r="L2381">
        <v>4</v>
      </c>
      <c r="M2381" s="12">
        <v>6499</v>
      </c>
      <c r="N2381" s="12">
        <v>4549.2999999999993</v>
      </c>
      <c r="O2381">
        <v>5</v>
      </c>
      <c r="P2381" s="12">
        <v>24696.199999999997</v>
      </c>
      <c r="Q2381" s="12">
        <v>18197.199999999997</v>
      </c>
      <c r="R2381" s="12">
        <v>6499</v>
      </c>
      <c r="S2381" t="s">
        <v>1249</v>
      </c>
      <c r="T2381" t="s">
        <v>109</v>
      </c>
      <c r="U2381" t="s">
        <v>1196</v>
      </c>
    </row>
    <row r="2382" spans="1:21" x14ac:dyDescent="0.25">
      <c r="A2382" t="s">
        <v>4428</v>
      </c>
      <c r="B2382" s="8">
        <v>45748</v>
      </c>
      <c r="C2382" t="s">
        <v>2407</v>
      </c>
      <c r="D2382" t="s">
        <v>1146</v>
      </c>
      <c r="E2382" t="s">
        <v>218</v>
      </c>
      <c r="F2382">
        <v>18</v>
      </c>
      <c r="G2382" t="s">
        <v>10</v>
      </c>
      <c r="H2382" t="s">
        <v>8</v>
      </c>
      <c r="I2382" t="s">
        <v>47</v>
      </c>
      <c r="J2382" t="s">
        <v>52</v>
      </c>
      <c r="K2382" t="s">
        <v>43</v>
      </c>
      <c r="L2382">
        <v>4</v>
      </c>
      <c r="M2382" s="12">
        <v>42999</v>
      </c>
      <c r="N2382" s="12">
        <v>33539.22</v>
      </c>
      <c r="O2382">
        <v>5</v>
      </c>
      <c r="P2382" s="12">
        <v>163396.19999999998</v>
      </c>
      <c r="Q2382" s="12">
        <v>134156.88</v>
      </c>
      <c r="R2382" s="12">
        <v>29239.319999999978</v>
      </c>
      <c r="S2382" t="s">
        <v>1246</v>
      </c>
      <c r="T2382" t="s">
        <v>107</v>
      </c>
      <c r="U2382" t="s">
        <v>1207</v>
      </c>
    </row>
    <row r="2383" spans="1:21" x14ac:dyDescent="0.25">
      <c r="A2383" t="s">
        <v>4429</v>
      </c>
      <c r="B2383" s="8">
        <v>45812</v>
      </c>
      <c r="C2383" t="s">
        <v>2526</v>
      </c>
      <c r="D2383" t="s">
        <v>554</v>
      </c>
      <c r="E2383" t="s">
        <v>198</v>
      </c>
      <c r="F2383">
        <v>39</v>
      </c>
      <c r="G2383" t="s">
        <v>16</v>
      </c>
      <c r="H2383" t="s">
        <v>15</v>
      </c>
      <c r="I2383" t="s">
        <v>28</v>
      </c>
      <c r="J2383" t="s">
        <v>35</v>
      </c>
      <c r="K2383" t="s">
        <v>22</v>
      </c>
      <c r="L2383">
        <v>2</v>
      </c>
      <c r="M2383" s="12">
        <v>16499</v>
      </c>
      <c r="N2383" s="12">
        <v>14519.12</v>
      </c>
      <c r="O2383">
        <v>10</v>
      </c>
      <c r="P2383" s="12">
        <v>29698.2</v>
      </c>
      <c r="Q2383" s="12">
        <v>29038.240000000002</v>
      </c>
      <c r="R2383" s="12">
        <v>659.95999999999913</v>
      </c>
      <c r="S2383" t="s">
        <v>113</v>
      </c>
      <c r="T2383" t="s">
        <v>111</v>
      </c>
      <c r="U2383" t="s">
        <v>1211</v>
      </c>
    </row>
    <row r="2384" spans="1:21" x14ac:dyDescent="0.25">
      <c r="A2384" t="s">
        <v>4430</v>
      </c>
      <c r="B2384" s="8">
        <v>45926</v>
      </c>
      <c r="C2384" t="s">
        <v>2036</v>
      </c>
      <c r="D2384" t="s">
        <v>1077</v>
      </c>
      <c r="E2384" t="s">
        <v>218</v>
      </c>
      <c r="F2384">
        <v>32</v>
      </c>
      <c r="G2384" t="s">
        <v>16</v>
      </c>
      <c r="H2384" t="s">
        <v>15</v>
      </c>
      <c r="I2384" t="s">
        <v>55</v>
      </c>
      <c r="J2384" t="s">
        <v>65</v>
      </c>
      <c r="K2384" t="s">
        <v>64</v>
      </c>
      <c r="L2384">
        <v>1</v>
      </c>
      <c r="M2384" s="12">
        <v>80</v>
      </c>
      <c r="N2384" s="12">
        <v>56</v>
      </c>
      <c r="O2384">
        <v>4</v>
      </c>
      <c r="P2384" s="12">
        <v>76.8</v>
      </c>
      <c r="Q2384" s="12">
        <v>56</v>
      </c>
      <c r="R2384" s="12">
        <v>20.799999999999997</v>
      </c>
      <c r="S2384" t="s">
        <v>1246</v>
      </c>
      <c r="T2384" t="s">
        <v>109</v>
      </c>
      <c r="U2384" t="s">
        <v>1205</v>
      </c>
    </row>
    <row r="2385" spans="1:21" x14ac:dyDescent="0.25">
      <c r="A2385" t="s">
        <v>4431</v>
      </c>
      <c r="B2385" s="8">
        <v>45932</v>
      </c>
      <c r="C2385" t="s">
        <v>2509</v>
      </c>
      <c r="D2385" t="s">
        <v>832</v>
      </c>
      <c r="E2385" t="s">
        <v>218</v>
      </c>
      <c r="F2385">
        <v>55</v>
      </c>
      <c r="G2385" t="s">
        <v>10</v>
      </c>
      <c r="H2385" t="s">
        <v>8</v>
      </c>
      <c r="I2385" t="s">
        <v>40</v>
      </c>
      <c r="J2385" t="s">
        <v>39</v>
      </c>
      <c r="K2385" t="s">
        <v>22</v>
      </c>
      <c r="L2385">
        <v>4</v>
      </c>
      <c r="M2385" s="12">
        <v>1100</v>
      </c>
      <c r="N2385" s="12">
        <v>715</v>
      </c>
      <c r="O2385">
        <v>4</v>
      </c>
      <c r="P2385" s="12">
        <v>4224</v>
      </c>
      <c r="Q2385" s="12">
        <v>2860</v>
      </c>
      <c r="R2385" s="12">
        <v>1364</v>
      </c>
      <c r="S2385" t="s">
        <v>113</v>
      </c>
      <c r="T2385" t="s">
        <v>107</v>
      </c>
      <c r="U2385" t="s">
        <v>1198</v>
      </c>
    </row>
    <row r="2386" spans="1:21" x14ac:dyDescent="0.25">
      <c r="A2386" t="s">
        <v>4432</v>
      </c>
      <c r="B2386" s="8">
        <v>45886</v>
      </c>
      <c r="C2386" t="s">
        <v>1918</v>
      </c>
      <c r="D2386" t="s">
        <v>522</v>
      </c>
      <c r="E2386" t="s">
        <v>198</v>
      </c>
      <c r="F2386">
        <v>55</v>
      </c>
      <c r="G2386" t="s">
        <v>16</v>
      </c>
      <c r="H2386" t="s">
        <v>15</v>
      </c>
      <c r="I2386" t="s">
        <v>57</v>
      </c>
      <c r="J2386" t="s">
        <v>67</v>
      </c>
      <c r="K2386" t="s">
        <v>64</v>
      </c>
      <c r="L2386">
        <v>5</v>
      </c>
      <c r="M2386" s="12">
        <v>150</v>
      </c>
      <c r="N2386" s="12">
        <v>97.5</v>
      </c>
      <c r="O2386">
        <v>2</v>
      </c>
      <c r="P2386" s="12">
        <v>735</v>
      </c>
      <c r="Q2386" s="12">
        <v>487.5</v>
      </c>
      <c r="R2386" s="12">
        <v>247.5</v>
      </c>
      <c r="S2386" t="s">
        <v>1246</v>
      </c>
      <c r="T2386" t="s">
        <v>110</v>
      </c>
      <c r="U2386" t="s">
        <v>1203</v>
      </c>
    </row>
    <row r="2387" spans="1:21" x14ac:dyDescent="0.25">
      <c r="A2387" t="s">
        <v>4433</v>
      </c>
      <c r="B2387" s="8">
        <v>45830</v>
      </c>
      <c r="C2387" t="s">
        <v>3312</v>
      </c>
      <c r="D2387" t="s">
        <v>1131</v>
      </c>
      <c r="E2387" t="s">
        <v>218</v>
      </c>
      <c r="F2387">
        <v>52</v>
      </c>
      <c r="G2387" t="s">
        <v>289</v>
      </c>
      <c r="H2387" t="s">
        <v>3</v>
      </c>
      <c r="I2387" t="s">
        <v>61</v>
      </c>
      <c r="J2387" t="s">
        <v>146</v>
      </c>
      <c r="K2387" t="s">
        <v>64</v>
      </c>
      <c r="L2387">
        <v>4</v>
      </c>
      <c r="M2387" s="12">
        <v>250</v>
      </c>
      <c r="N2387" s="12">
        <v>155</v>
      </c>
      <c r="O2387">
        <v>15</v>
      </c>
      <c r="P2387" s="12">
        <v>850</v>
      </c>
      <c r="Q2387" s="12">
        <v>620</v>
      </c>
      <c r="R2387" s="12">
        <v>230</v>
      </c>
      <c r="S2387" t="s">
        <v>1249</v>
      </c>
      <c r="T2387" t="s">
        <v>109</v>
      </c>
      <c r="U2387" t="s">
        <v>1201</v>
      </c>
    </row>
    <row r="2388" spans="1:21" x14ac:dyDescent="0.25">
      <c r="A2388" t="s">
        <v>4434</v>
      </c>
      <c r="B2388" s="8">
        <v>45740</v>
      </c>
      <c r="C2388" t="s">
        <v>1646</v>
      </c>
      <c r="D2388" t="s">
        <v>1078</v>
      </c>
      <c r="E2388" t="s">
        <v>218</v>
      </c>
      <c r="F2388">
        <v>58</v>
      </c>
      <c r="G2388" t="s">
        <v>11</v>
      </c>
      <c r="H2388" t="s">
        <v>12</v>
      </c>
      <c r="I2388" t="s">
        <v>24</v>
      </c>
      <c r="J2388" t="s">
        <v>25</v>
      </c>
      <c r="K2388" t="s">
        <v>22</v>
      </c>
      <c r="L2388">
        <v>4</v>
      </c>
      <c r="M2388" s="12">
        <v>35800</v>
      </c>
      <c r="N2388" s="12">
        <v>28640</v>
      </c>
      <c r="O2388">
        <v>4</v>
      </c>
      <c r="P2388" s="12">
        <v>137472</v>
      </c>
      <c r="Q2388" s="12">
        <v>114560</v>
      </c>
      <c r="R2388" s="12">
        <v>22912</v>
      </c>
      <c r="S2388" t="s">
        <v>113</v>
      </c>
      <c r="T2388" t="s">
        <v>107</v>
      </c>
      <c r="U2388" t="s">
        <v>1198</v>
      </c>
    </row>
    <row r="2389" spans="1:21" x14ac:dyDescent="0.25">
      <c r="A2389" t="s">
        <v>4435</v>
      </c>
      <c r="B2389" s="8">
        <v>45778</v>
      </c>
      <c r="C2389" t="s">
        <v>1474</v>
      </c>
      <c r="D2389" t="s">
        <v>364</v>
      </c>
      <c r="E2389" t="s">
        <v>198</v>
      </c>
      <c r="F2389">
        <v>61</v>
      </c>
      <c r="G2389" t="s">
        <v>2</v>
      </c>
      <c r="H2389" t="s">
        <v>3</v>
      </c>
      <c r="I2389" t="s">
        <v>32</v>
      </c>
      <c r="J2389" t="s">
        <v>29</v>
      </c>
      <c r="K2389" t="s">
        <v>22</v>
      </c>
      <c r="L2389">
        <v>4</v>
      </c>
      <c r="M2389" s="12">
        <v>9500</v>
      </c>
      <c r="N2389" s="12">
        <v>6650</v>
      </c>
      <c r="O2389">
        <v>6</v>
      </c>
      <c r="P2389" s="12">
        <v>35720</v>
      </c>
      <c r="Q2389" s="12">
        <v>26600</v>
      </c>
      <c r="R2389" s="12">
        <v>9120</v>
      </c>
      <c r="S2389" t="s">
        <v>113</v>
      </c>
      <c r="T2389" t="s">
        <v>109</v>
      </c>
      <c r="U2389" t="s">
        <v>1196</v>
      </c>
    </row>
    <row r="2390" spans="1:21" x14ac:dyDescent="0.25">
      <c r="A2390" t="s">
        <v>4436</v>
      </c>
      <c r="B2390" s="8">
        <v>45755</v>
      </c>
      <c r="C2390" t="s">
        <v>1914</v>
      </c>
      <c r="D2390" t="s">
        <v>678</v>
      </c>
      <c r="E2390" t="s">
        <v>198</v>
      </c>
      <c r="F2390">
        <v>47</v>
      </c>
      <c r="G2390" t="s">
        <v>14</v>
      </c>
      <c r="H2390" t="s">
        <v>15</v>
      </c>
      <c r="I2390" t="s">
        <v>63</v>
      </c>
      <c r="J2390" t="s">
        <v>77</v>
      </c>
      <c r="K2390" t="s">
        <v>64</v>
      </c>
      <c r="L2390">
        <v>5</v>
      </c>
      <c r="M2390" s="12">
        <v>650</v>
      </c>
      <c r="N2390" s="12">
        <v>468</v>
      </c>
      <c r="O2390">
        <v>5</v>
      </c>
      <c r="P2390" s="12">
        <v>3087.5</v>
      </c>
      <c r="Q2390" s="12">
        <v>2340</v>
      </c>
      <c r="R2390" s="12">
        <v>747.5</v>
      </c>
      <c r="S2390" t="s">
        <v>1249</v>
      </c>
      <c r="T2390" t="s">
        <v>108</v>
      </c>
      <c r="U2390" t="s">
        <v>1198</v>
      </c>
    </row>
    <row r="2391" spans="1:21" x14ac:dyDescent="0.25">
      <c r="A2391" t="s">
        <v>4437</v>
      </c>
      <c r="B2391" s="8">
        <v>45887</v>
      </c>
      <c r="C2391" t="s">
        <v>1688</v>
      </c>
      <c r="D2391" t="s">
        <v>755</v>
      </c>
      <c r="E2391" t="s">
        <v>198</v>
      </c>
      <c r="F2391">
        <v>35</v>
      </c>
      <c r="G2391" t="s">
        <v>2</v>
      </c>
      <c r="H2391" t="s">
        <v>3</v>
      </c>
      <c r="I2391" t="s">
        <v>30</v>
      </c>
      <c r="J2391" t="s">
        <v>41</v>
      </c>
      <c r="K2391" t="s">
        <v>22</v>
      </c>
      <c r="L2391">
        <v>2</v>
      </c>
      <c r="M2391" s="12">
        <v>13749</v>
      </c>
      <c r="N2391" s="12">
        <v>10999.2</v>
      </c>
      <c r="O2391">
        <v>3</v>
      </c>
      <c r="P2391" s="12">
        <v>26673.059999999998</v>
      </c>
      <c r="Q2391" s="12">
        <v>21998.400000000001</v>
      </c>
      <c r="R2391" s="12">
        <v>4674.6599999999962</v>
      </c>
      <c r="S2391" t="s">
        <v>1246</v>
      </c>
      <c r="T2391" t="s">
        <v>108</v>
      </c>
      <c r="U2391" t="s">
        <v>1205</v>
      </c>
    </row>
    <row r="2392" spans="1:21" x14ac:dyDescent="0.25">
      <c r="A2392" t="s">
        <v>4438</v>
      </c>
      <c r="B2392" s="8">
        <v>45899</v>
      </c>
      <c r="C2392" t="s">
        <v>2692</v>
      </c>
      <c r="D2392" t="s">
        <v>488</v>
      </c>
      <c r="E2392" t="s">
        <v>198</v>
      </c>
      <c r="F2392">
        <v>18</v>
      </c>
      <c r="G2392" t="s">
        <v>7</v>
      </c>
      <c r="H2392" t="s">
        <v>8</v>
      </c>
      <c r="I2392" t="s">
        <v>24</v>
      </c>
      <c r="J2392" t="s">
        <v>25</v>
      </c>
      <c r="K2392" t="s">
        <v>22</v>
      </c>
      <c r="L2392">
        <v>2</v>
      </c>
      <c r="M2392" s="12">
        <v>35800</v>
      </c>
      <c r="N2392" s="12">
        <v>28640</v>
      </c>
      <c r="O2392">
        <v>6</v>
      </c>
      <c r="P2392" s="12">
        <v>67304</v>
      </c>
      <c r="Q2392" s="12">
        <v>57280</v>
      </c>
      <c r="R2392" s="12">
        <v>10024</v>
      </c>
      <c r="S2392" t="s">
        <v>1246</v>
      </c>
      <c r="T2392" t="s">
        <v>110</v>
      </c>
      <c r="U2392" t="s">
        <v>1194</v>
      </c>
    </row>
    <row r="2393" spans="1:21" x14ac:dyDescent="0.25">
      <c r="A2393" t="s">
        <v>4440</v>
      </c>
      <c r="B2393" s="8">
        <v>45749</v>
      </c>
      <c r="C2393" t="s">
        <v>5103</v>
      </c>
      <c r="D2393" t="s">
        <v>610</v>
      </c>
      <c r="E2393" t="s">
        <v>198</v>
      </c>
      <c r="F2393">
        <v>39</v>
      </c>
      <c r="G2393" t="s">
        <v>5</v>
      </c>
      <c r="H2393" t="s">
        <v>3</v>
      </c>
      <c r="I2393" t="s">
        <v>47</v>
      </c>
      <c r="J2393" t="s">
        <v>52</v>
      </c>
      <c r="K2393" t="s">
        <v>43</v>
      </c>
      <c r="L2393">
        <v>1</v>
      </c>
      <c r="M2393" s="12">
        <v>42999</v>
      </c>
      <c r="N2393" s="12">
        <v>33539.22</v>
      </c>
      <c r="O2393">
        <v>7</v>
      </c>
      <c r="P2393" s="12">
        <v>39989.07</v>
      </c>
      <c r="Q2393" s="12">
        <v>33539.22</v>
      </c>
      <c r="R2393" s="12">
        <v>6449.8499999999985</v>
      </c>
      <c r="S2393" t="s">
        <v>113</v>
      </c>
      <c r="T2393" t="s">
        <v>107</v>
      </c>
      <c r="U2393" t="s">
        <v>1207</v>
      </c>
    </row>
    <row r="2394" spans="1:21" x14ac:dyDescent="0.25">
      <c r="A2394" t="s">
        <v>4441</v>
      </c>
      <c r="B2394" s="8">
        <v>45666</v>
      </c>
      <c r="C2394" t="s">
        <v>2852</v>
      </c>
      <c r="D2394" t="s">
        <v>1008</v>
      </c>
      <c r="E2394" t="s">
        <v>198</v>
      </c>
      <c r="F2394">
        <v>56</v>
      </c>
      <c r="G2394" t="s">
        <v>290</v>
      </c>
      <c r="H2394" t="s">
        <v>3</v>
      </c>
      <c r="I2394" t="s">
        <v>51</v>
      </c>
      <c r="J2394" t="s">
        <v>54</v>
      </c>
      <c r="K2394" t="s">
        <v>43</v>
      </c>
      <c r="L2394">
        <v>1</v>
      </c>
      <c r="M2394" s="12">
        <v>27499</v>
      </c>
      <c r="N2394" s="12">
        <v>21724.210000000003</v>
      </c>
      <c r="O2394">
        <v>5</v>
      </c>
      <c r="P2394" s="12">
        <v>26124.05</v>
      </c>
      <c r="Q2394" s="12">
        <v>21724.210000000003</v>
      </c>
      <c r="R2394" s="12">
        <v>4399.8399999999965</v>
      </c>
      <c r="S2394" t="s">
        <v>1246</v>
      </c>
      <c r="T2394" t="s">
        <v>110</v>
      </c>
      <c r="U2394" t="s">
        <v>1201</v>
      </c>
    </row>
    <row r="2395" spans="1:21" x14ac:dyDescent="0.25">
      <c r="A2395" t="s">
        <v>4442</v>
      </c>
      <c r="B2395" s="8">
        <v>45721</v>
      </c>
      <c r="C2395" t="s">
        <v>2304</v>
      </c>
      <c r="D2395" t="s">
        <v>599</v>
      </c>
      <c r="E2395" t="s">
        <v>218</v>
      </c>
      <c r="F2395">
        <v>50</v>
      </c>
      <c r="G2395" t="s">
        <v>290</v>
      </c>
      <c r="H2395" t="s">
        <v>3</v>
      </c>
      <c r="I2395" t="s">
        <v>32</v>
      </c>
      <c r="J2395" t="s">
        <v>29</v>
      </c>
      <c r="K2395" t="s">
        <v>22</v>
      </c>
      <c r="L2395">
        <v>3</v>
      </c>
      <c r="M2395" s="12">
        <v>9500</v>
      </c>
      <c r="N2395" s="12">
        <v>6650</v>
      </c>
      <c r="O2395">
        <v>5</v>
      </c>
      <c r="P2395" s="12">
        <v>27075</v>
      </c>
      <c r="Q2395" s="12">
        <v>19950</v>
      </c>
      <c r="R2395" s="12">
        <v>7125</v>
      </c>
      <c r="S2395" t="s">
        <v>1246</v>
      </c>
      <c r="T2395" t="s">
        <v>107</v>
      </c>
      <c r="U2395" t="s">
        <v>1211</v>
      </c>
    </row>
    <row r="2396" spans="1:21" x14ac:dyDescent="0.25">
      <c r="A2396" t="s">
        <v>4443</v>
      </c>
      <c r="B2396" s="8">
        <v>45816</v>
      </c>
      <c r="C2396" t="s">
        <v>2050</v>
      </c>
      <c r="D2396" t="s">
        <v>842</v>
      </c>
      <c r="E2396" t="s">
        <v>198</v>
      </c>
      <c r="F2396">
        <v>39</v>
      </c>
      <c r="G2396" t="s">
        <v>7</v>
      </c>
      <c r="H2396" t="s">
        <v>8</v>
      </c>
      <c r="I2396" t="s">
        <v>24</v>
      </c>
      <c r="J2396" t="s">
        <v>25</v>
      </c>
      <c r="K2396" t="s">
        <v>22</v>
      </c>
      <c r="L2396">
        <v>5</v>
      </c>
      <c r="M2396" s="12">
        <v>35800</v>
      </c>
      <c r="N2396" s="12">
        <v>28640</v>
      </c>
      <c r="O2396">
        <v>10</v>
      </c>
      <c r="P2396" s="12">
        <v>161100</v>
      </c>
      <c r="Q2396" s="12">
        <v>143200</v>
      </c>
      <c r="R2396" s="12">
        <v>17900</v>
      </c>
      <c r="S2396" t="s">
        <v>113</v>
      </c>
      <c r="T2396" t="s">
        <v>107</v>
      </c>
      <c r="U2396" t="s">
        <v>1201</v>
      </c>
    </row>
    <row r="2397" spans="1:21" x14ac:dyDescent="0.25">
      <c r="A2397" t="s">
        <v>4444</v>
      </c>
      <c r="B2397" s="8">
        <v>45968</v>
      </c>
      <c r="C2397" t="s">
        <v>1621</v>
      </c>
      <c r="D2397" t="s">
        <v>1086</v>
      </c>
      <c r="E2397" t="s">
        <v>218</v>
      </c>
      <c r="F2397">
        <v>24</v>
      </c>
      <c r="G2397" t="s">
        <v>2</v>
      </c>
      <c r="H2397" t="s">
        <v>3</v>
      </c>
      <c r="I2397" t="s">
        <v>40</v>
      </c>
      <c r="J2397" t="s">
        <v>39</v>
      </c>
      <c r="K2397" t="s">
        <v>22</v>
      </c>
      <c r="L2397">
        <v>2</v>
      </c>
      <c r="M2397" s="12">
        <v>1100</v>
      </c>
      <c r="N2397" s="12">
        <v>715</v>
      </c>
      <c r="O2397">
        <v>16</v>
      </c>
      <c r="P2397" s="12">
        <v>1848</v>
      </c>
      <c r="Q2397" s="12">
        <v>1430</v>
      </c>
      <c r="R2397" s="12">
        <v>418</v>
      </c>
      <c r="S2397" t="s">
        <v>113</v>
      </c>
      <c r="T2397" t="s">
        <v>107</v>
      </c>
      <c r="U2397" t="s">
        <v>1211</v>
      </c>
    </row>
    <row r="2398" spans="1:21" x14ac:dyDescent="0.25">
      <c r="A2398" t="s">
        <v>4445</v>
      </c>
      <c r="B2398" s="8">
        <v>46005</v>
      </c>
      <c r="C2398" t="s">
        <v>1937</v>
      </c>
      <c r="D2398" t="s">
        <v>559</v>
      </c>
      <c r="E2398" t="s">
        <v>198</v>
      </c>
      <c r="F2398">
        <v>59</v>
      </c>
      <c r="G2398" t="s">
        <v>16</v>
      </c>
      <c r="H2398" t="s">
        <v>15</v>
      </c>
      <c r="I2398" t="s">
        <v>30</v>
      </c>
      <c r="J2398" t="s">
        <v>41</v>
      </c>
      <c r="K2398" t="s">
        <v>22</v>
      </c>
      <c r="L2398">
        <v>2</v>
      </c>
      <c r="M2398" s="12">
        <v>13749</v>
      </c>
      <c r="N2398" s="12">
        <v>10999.2</v>
      </c>
      <c r="O2398">
        <v>15</v>
      </c>
      <c r="P2398" s="12">
        <v>23373.3</v>
      </c>
      <c r="Q2398" s="12">
        <v>21998.400000000001</v>
      </c>
      <c r="R2398" s="12">
        <v>1374.8999999999978</v>
      </c>
      <c r="S2398" t="s">
        <v>1246</v>
      </c>
      <c r="T2398" t="s">
        <v>110</v>
      </c>
      <c r="U2398" t="s">
        <v>1207</v>
      </c>
    </row>
    <row r="2399" spans="1:21" x14ac:dyDescent="0.25">
      <c r="A2399" t="s">
        <v>4446</v>
      </c>
      <c r="B2399" s="8">
        <v>45813</v>
      </c>
      <c r="C2399" t="s">
        <v>2559</v>
      </c>
      <c r="D2399" t="s">
        <v>748</v>
      </c>
      <c r="E2399" t="s">
        <v>218</v>
      </c>
      <c r="F2399">
        <v>34</v>
      </c>
      <c r="G2399" t="s">
        <v>10</v>
      </c>
      <c r="H2399" t="s">
        <v>8</v>
      </c>
      <c r="I2399" t="s">
        <v>36</v>
      </c>
      <c r="J2399" t="s">
        <v>136</v>
      </c>
      <c r="K2399" t="s">
        <v>22</v>
      </c>
      <c r="L2399">
        <v>1</v>
      </c>
      <c r="M2399" s="12">
        <v>3590</v>
      </c>
      <c r="N2399" s="12">
        <v>2333.5</v>
      </c>
      <c r="O2399">
        <v>9</v>
      </c>
      <c r="P2399" s="12">
        <v>3266.9</v>
      </c>
      <c r="Q2399" s="12">
        <v>2333.5</v>
      </c>
      <c r="R2399" s="12">
        <v>933.40000000000009</v>
      </c>
      <c r="S2399" t="s">
        <v>1246</v>
      </c>
      <c r="T2399" t="s">
        <v>110</v>
      </c>
      <c r="U2399" t="s">
        <v>1198</v>
      </c>
    </row>
    <row r="2400" spans="1:21" x14ac:dyDescent="0.25">
      <c r="A2400" t="s">
        <v>4447</v>
      </c>
      <c r="B2400" s="8">
        <v>45848</v>
      </c>
      <c r="C2400" t="s">
        <v>1963</v>
      </c>
      <c r="D2400" t="s">
        <v>927</v>
      </c>
      <c r="E2400" t="s">
        <v>218</v>
      </c>
      <c r="F2400">
        <v>47</v>
      </c>
      <c r="G2400" t="s">
        <v>4</v>
      </c>
      <c r="H2400" t="s">
        <v>3</v>
      </c>
      <c r="I2400" t="s">
        <v>40</v>
      </c>
      <c r="J2400" t="s">
        <v>39</v>
      </c>
      <c r="K2400" t="s">
        <v>22</v>
      </c>
      <c r="L2400">
        <v>1</v>
      </c>
      <c r="M2400" s="12">
        <v>1100</v>
      </c>
      <c r="N2400" s="12">
        <v>715</v>
      </c>
      <c r="O2400">
        <v>3</v>
      </c>
      <c r="P2400" s="12">
        <v>1067</v>
      </c>
      <c r="Q2400" s="12">
        <v>715</v>
      </c>
      <c r="R2400" s="12">
        <v>352</v>
      </c>
      <c r="S2400" t="s">
        <v>1249</v>
      </c>
      <c r="T2400" t="s">
        <v>109</v>
      </c>
      <c r="U2400" t="s">
        <v>1211</v>
      </c>
    </row>
    <row r="2401" spans="1:21" x14ac:dyDescent="0.25">
      <c r="A2401" t="s">
        <v>4448</v>
      </c>
      <c r="B2401" s="8">
        <v>45816</v>
      </c>
      <c r="C2401" t="s">
        <v>2076</v>
      </c>
      <c r="D2401" t="s">
        <v>884</v>
      </c>
      <c r="E2401" t="s">
        <v>218</v>
      </c>
      <c r="F2401">
        <v>29</v>
      </c>
      <c r="G2401" t="s">
        <v>9</v>
      </c>
      <c r="H2401" t="s">
        <v>8</v>
      </c>
      <c r="I2401" t="s">
        <v>38</v>
      </c>
      <c r="J2401" t="s">
        <v>37</v>
      </c>
      <c r="K2401" t="s">
        <v>22</v>
      </c>
      <c r="L2401">
        <v>1</v>
      </c>
      <c r="M2401" s="12">
        <v>1650</v>
      </c>
      <c r="N2401" s="12">
        <v>990</v>
      </c>
      <c r="O2401">
        <v>6</v>
      </c>
      <c r="P2401" s="12">
        <v>1551</v>
      </c>
      <c r="Q2401" s="12">
        <v>990</v>
      </c>
      <c r="R2401" s="12">
        <v>561</v>
      </c>
      <c r="S2401" t="s">
        <v>1249</v>
      </c>
      <c r="T2401" t="s">
        <v>109</v>
      </c>
      <c r="U2401" t="s">
        <v>1211</v>
      </c>
    </row>
    <row r="2402" spans="1:21" x14ac:dyDescent="0.25">
      <c r="A2402" t="s">
        <v>4449</v>
      </c>
      <c r="B2402" s="8">
        <v>45928</v>
      </c>
      <c r="C2402" t="s">
        <v>5085</v>
      </c>
      <c r="D2402" t="s">
        <v>1159</v>
      </c>
      <c r="E2402" t="s">
        <v>198</v>
      </c>
      <c r="F2402">
        <v>37</v>
      </c>
      <c r="G2402" t="s">
        <v>9</v>
      </c>
      <c r="H2402" t="s">
        <v>8</v>
      </c>
      <c r="I2402" t="s">
        <v>26</v>
      </c>
      <c r="J2402" t="s">
        <v>27</v>
      </c>
      <c r="K2402" t="s">
        <v>22</v>
      </c>
      <c r="L2402">
        <v>4</v>
      </c>
      <c r="M2402" s="12">
        <v>27499</v>
      </c>
      <c r="N2402" s="12">
        <v>23374.149999999998</v>
      </c>
      <c r="O2402">
        <v>7</v>
      </c>
      <c r="P2402" s="12">
        <v>102296.28</v>
      </c>
      <c r="Q2402" s="12">
        <v>93496.599999999991</v>
      </c>
      <c r="R2402" s="12">
        <v>8799.6800000000076</v>
      </c>
      <c r="S2402" t="s">
        <v>1246</v>
      </c>
      <c r="T2402" t="s">
        <v>107</v>
      </c>
      <c r="U2402" t="s">
        <v>1205</v>
      </c>
    </row>
    <row r="2403" spans="1:21" x14ac:dyDescent="0.25">
      <c r="A2403" t="s">
        <v>4450</v>
      </c>
      <c r="B2403" s="8">
        <v>45879</v>
      </c>
      <c r="C2403" t="s">
        <v>1281</v>
      </c>
      <c r="D2403" t="s">
        <v>771</v>
      </c>
      <c r="E2403" t="s">
        <v>218</v>
      </c>
      <c r="F2403">
        <v>62</v>
      </c>
      <c r="G2403" t="s">
        <v>16</v>
      </c>
      <c r="H2403" t="s">
        <v>15</v>
      </c>
      <c r="I2403" t="s">
        <v>63</v>
      </c>
      <c r="J2403" t="s">
        <v>77</v>
      </c>
      <c r="K2403" t="s">
        <v>64</v>
      </c>
      <c r="L2403">
        <v>1</v>
      </c>
      <c r="M2403" s="12">
        <v>650</v>
      </c>
      <c r="N2403" s="12">
        <v>468</v>
      </c>
      <c r="O2403">
        <v>1</v>
      </c>
      <c r="P2403" s="12">
        <v>643.5</v>
      </c>
      <c r="Q2403" s="12">
        <v>468</v>
      </c>
      <c r="R2403" s="12">
        <v>175.5</v>
      </c>
      <c r="S2403" t="s">
        <v>1246</v>
      </c>
      <c r="T2403" t="s">
        <v>108</v>
      </c>
      <c r="U2403" t="s">
        <v>1203</v>
      </c>
    </row>
    <row r="2404" spans="1:21" x14ac:dyDescent="0.25">
      <c r="A2404" t="s">
        <v>4451</v>
      </c>
      <c r="B2404" s="8">
        <v>45758</v>
      </c>
      <c r="C2404" t="s">
        <v>1572</v>
      </c>
      <c r="D2404" t="s">
        <v>490</v>
      </c>
      <c r="E2404" t="s">
        <v>218</v>
      </c>
      <c r="F2404">
        <v>40</v>
      </c>
      <c r="G2404" t="s">
        <v>14</v>
      </c>
      <c r="H2404" t="s">
        <v>15</v>
      </c>
      <c r="I2404" t="s">
        <v>34</v>
      </c>
      <c r="J2404" t="s">
        <v>137</v>
      </c>
      <c r="K2404" t="s">
        <v>22</v>
      </c>
      <c r="L2404">
        <v>3</v>
      </c>
      <c r="M2404" s="12">
        <v>6900</v>
      </c>
      <c r="N2404" s="12">
        <v>5727</v>
      </c>
      <c r="O2404">
        <v>8</v>
      </c>
      <c r="P2404" s="12">
        <v>19044</v>
      </c>
      <c r="Q2404" s="12">
        <v>17181</v>
      </c>
      <c r="R2404" s="12">
        <v>1863</v>
      </c>
      <c r="S2404" t="s">
        <v>113</v>
      </c>
      <c r="T2404" t="s">
        <v>108</v>
      </c>
      <c r="U2404" t="s">
        <v>1199</v>
      </c>
    </row>
    <row r="2405" spans="1:21" x14ac:dyDescent="0.25">
      <c r="A2405" t="s">
        <v>4452</v>
      </c>
      <c r="B2405" s="8">
        <v>45713</v>
      </c>
      <c r="C2405" t="s">
        <v>5092</v>
      </c>
      <c r="D2405" t="s">
        <v>496</v>
      </c>
      <c r="E2405" t="s">
        <v>198</v>
      </c>
      <c r="F2405">
        <v>64</v>
      </c>
      <c r="G2405" t="s">
        <v>289</v>
      </c>
      <c r="H2405" t="s">
        <v>3</v>
      </c>
      <c r="I2405" t="s">
        <v>59</v>
      </c>
      <c r="J2405" t="s">
        <v>73</v>
      </c>
      <c r="K2405" t="s">
        <v>64</v>
      </c>
      <c r="L2405">
        <v>5</v>
      </c>
      <c r="M2405" s="12">
        <v>120</v>
      </c>
      <c r="N2405" s="12">
        <v>81.599999999999994</v>
      </c>
      <c r="O2405">
        <v>5</v>
      </c>
      <c r="P2405" s="12">
        <v>570</v>
      </c>
      <c r="Q2405" s="12">
        <v>408</v>
      </c>
      <c r="R2405" s="12">
        <v>162</v>
      </c>
      <c r="S2405" t="s">
        <v>113</v>
      </c>
      <c r="T2405" t="s">
        <v>111</v>
      </c>
      <c r="U2405" t="s">
        <v>1198</v>
      </c>
    </row>
    <row r="2406" spans="1:21" x14ac:dyDescent="0.25">
      <c r="A2406" t="s">
        <v>4453</v>
      </c>
      <c r="B2406" s="8">
        <v>45753</v>
      </c>
      <c r="C2406" t="s">
        <v>1515</v>
      </c>
      <c r="D2406" t="s">
        <v>422</v>
      </c>
      <c r="E2406" t="s">
        <v>218</v>
      </c>
      <c r="F2406">
        <v>48</v>
      </c>
      <c r="G2406" t="s">
        <v>9</v>
      </c>
      <c r="H2406" t="s">
        <v>8</v>
      </c>
      <c r="I2406" t="s">
        <v>38</v>
      </c>
      <c r="J2406" t="s">
        <v>37</v>
      </c>
      <c r="K2406" t="s">
        <v>22</v>
      </c>
      <c r="L2406">
        <v>5</v>
      </c>
      <c r="M2406" s="12">
        <v>1650</v>
      </c>
      <c r="N2406" s="12">
        <v>990</v>
      </c>
      <c r="O2406">
        <v>8</v>
      </c>
      <c r="P2406" s="12">
        <v>7590</v>
      </c>
      <c r="Q2406" s="12">
        <v>4950</v>
      </c>
      <c r="R2406" s="12">
        <v>2640</v>
      </c>
      <c r="S2406" t="s">
        <v>1246</v>
      </c>
      <c r="T2406" t="s">
        <v>110</v>
      </c>
      <c r="U2406" t="s">
        <v>1199</v>
      </c>
    </row>
    <row r="2407" spans="1:21" x14ac:dyDescent="0.25">
      <c r="A2407" t="s">
        <v>4454</v>
      </c>
      <c r="B2407" s="8">
        <v>45952</v>
      </c>
      <c r="C2407" t="s">
        <v>2003</v>
      </c>
      <c r="D2407" t="s">
        <v>1089</v>
      </c>
      <c r="E2407" t="s">
        <v>198</v>
      </c>
      <c r="F2407">
        <v>49</v>
      </c>
      <c r="G2407" t="s">
        <v>4</v>
      </c>
      <c r="H2407" t="s">
        <v>3</v>
      </c>
      <c r="I2407" t="s">
        <v>63</v>
      </c>
      <c r="J2407" t="s">
        <v>77</v>
      </c>
      <c r="K2407" t="s">
        <v>64</v>
      </c>
      <c r="L2407">
        <v>4</v>
      </c>
      <c r="M2407" s="12">
        <v>650</v>
      </c>
      <c r="N2407" s="12">
        <v>468</v>
      </c>
      <c r="O2407">
        <v>3</v>
      </c>
      <c r="P2407" s="12">
        <v>2522</v>
      </c>
      <c r="Q2407" s="12">
        <v>1872</v>
      </c>
      <c r="R2407" s="12">
        <v>650</v>
      </c>
      <c r="S2407" t="s">
        <v>113</v>
      </c>
      <c r="T2407" t="s">
        <v>109</v>
      </c>
      <c r="U2407" t="s">
        <v>1198</v>
      </c>
    </row>
    <row r="2408" spans="1:21" x14ac:dyDescent="0.25">
      <c r="A2408" t="s">
        <v>4455</v>
      </c>
      <c r="B2408" s="8">
        <v>45921</v>
      </c>
      <c r="C2408" t="s">
        <v>1809</v>
      </c>
      <c r="D2408" t="s">
        <v>767</v>
      </c>
      <c r="E2408" t="s">
        <v>198</v>
      </c>
      <c r="F2408">
        <v>34</v>
      </c>
      <c r="G2408" t="s">
        <v>7</v>
      </c>
      <c r="H2408" t="s">
        <v>8</v>
      </c>
      <c r="I2408" t="s">
        <v>32</v>
      </c>
      <c r="J2408" t="s">
        <v>29</v>
      </c>
      <c r="K2408" t="s">
        <v>22</v>
      </c>
      <c r="L2408">
        <v>4</v>
      </c>
      <c r="M2408" s="12">
        <v>9500</v>
      </c>
      <c r="N2408" s="12">
        <v>6650</v>
      </c>
      <c r="O2408">
        <v>5</v>
      </c>
      <c r="P2408" s="12">
        <v>36100</v>
      </c>
      <c r="Q2408" s="12">
        <v>26600</v>
      </c>
      <c r="R2408" s="12">
        <v>9500</v>
      </c>
      <c r="S2408" t="s">
        <v>1246</v>
      </c>
      <c r="T2408" t="s">
        <v>111</v>
      </c>
      <c r="U2408" t="s">
        <v>1207</v>
      </c>
    </row>
    <row r="2409" spans="1:21" x14ac:dyDescent="0.25">
      <c r="A2409" t="s">
        <v>4456</v>
      </c>
      <c r="B2409" s="8">
        <v>45755</v>
      </c>
      <c r="C2409" t="s">
        <v>2086</v>
      </c>
      <c r="D2409" t="s">
        <v>624</v>
      </c>
      <c r="E2409" t="s">
        <v>198</v>
      </c>
      <c r="F2409">
        <v>56</v>
      </c>
      <c r="G2409" t="s">
        <v>290</v>
      </c>
      <c r="H2409" t="s">
        <v>3</v>
      </c>
      <c r="I2409" t="s">
        <v>55</v>
      </c>
      <c r="J2409" t="s">
        <v>65</v>
      </c>
      <c r="K2409" t="s">
        <v>64</v>
      </c>
      <c r="L2409">
        <v>4</v>
      </c>
      <c r="M2409" s="12">
        <v>80</v>
      </c>
      <c r="N2409" s="12">
        <v>56</v>
      </c>
      <c r="O2409">
        <v>1</v>
      </c>
      <c r="P2409" s="12">
        <v>316.8</v>
      </c>
      <c r="Q2409" s="12">
        <v>224</v>
      </c>
      <c r="R2409" s="12">
        <v>92.800000000000011</v>
      </c>
      <c r="S2409" t="s">
        <v>1246</v>
      </c>
      <c r="T2409" t="s">
        <v>109</v>
      </c>
      <c r="U2409" t="s">
        <v>1203</v>
      </c>
    </row>
    <row r="2410" spans="1:21" x14ac:dyDescent="0.25">
      <c r="A2410" t="s">
        <v>4457</v>
      </c>
      <c r="B2410" s="8">
        <v>45763</v>
      </c>
      <c r="C2410" t="s">
        <v>2398</v>
      </c>
      <c r="D2410" t="s">
        <v>400</v>
      </c>
      <c r="E2410" t="s">
        <v>198</v>
      </c>
      <c r="F2410">
        <v>49</v>
      </c>
      <c r="G2410" t="s">
        <v>11</v>
      </c>
      <c r="H2410" t="s">
        <v>12</v>
      </c>
      <c r="I2410" t="s">
        <v>30</v>
      </c>
      <c r="J2410" t="s">
        <v>41</v>
      </c>
      <c r="K2410" t="s">
        <v>22</v>
      </c>
      <c r="L2410">
        <v>2</v>
      </c>
      <c r="M2410" s="12">
        <v>13749</v>
      </c>
      <c r="N2410" s="12">
        <v>10999.2</v>
      </c>
      <c r="O2410">
        <v>5</v>
      </c>
      <c r="P2410" s="12">
        <v>26123.1</v>
      </c>
      <c r="Q2410" s="12">
        <v>21998.400000000001</v>
      </c>
      <c r="R2410" s="12">
        <v>4124.6999999999971</v>
      </c>
      <c r="S2410" t="s">
        <v>1246</v>
      </c>
      <c r="T2410" t="s">
        <v>107</v>
      </c>
      <c r="U2410" t="s">
        <v>1201</v>
      </c>
    </row>
    <row r="2411" spans="1:21" x14ac:dyDescent="0.25">
      <c r="A2411" t="s">
        <v>4458</v>
      </c>
      <c r="B2411" s="8">
        <v>45977</v>
      </c>
      <c r="C2411" t="s">
        <v>2729</v>
      </c>
      <c r="D2411" t="s">
        <v>1037</v>
      </c>
      <c r="E2411" t="s">
        <v>218</v>
      </c>
      <c r="F2411">
        <v>62</v>
      </c>
      <c r="G2411" t="s">
        <v>10</v>
      </c>
      <c r="H2411" t="s">
        <v>8</v>
      </c>
      <c r="I2411" t="s">
        <v>42</v>
      </c>
      <c r="J2411" t="s">
        <v>44</v>
      </c>
      <c r="K2411" t="s">
        <v>43</v>
      </c>
      <c r="L2411">
        <v>2</v>
      </c>
      <c r="M2411" s="12">
        <v>8999</v>
      </c>
      <c r="N2411" s="12">
        <v>6479.28</v>
      </c>
      <c r="O2411">
        <v>13</v>
      </c>
      <c r="P2411" s="12">
        <v>15658.26</v>
      </c>
      <c r="Q2411" s="12">
        <v>12958.56</v>
      </c>
      <c r="R2411" s="12">
        <v>2699.7000000000007</v>
      </c>
      <c r="S2411" t="s">
        <v>1249</v>
      </c>
      <c r="T2411" t="s">
        <v>107</v>
      </c>
      <c r="U2411" t="s">
        <v>1207</v>
      </c>
    </row>
    <row r="2412" spans="1:21" x14ac:dyDescent="0.25">
      <c r="A2412" t="s">
        <v>4459</v>
      </c>
      <c r="B2412" s="8">
        <v>45938</v>
      </c>
      <c r="C2412" t="s">
        <v>2758</v>
      </c>
      <c r="D2412" t="s">
        <v>1048</v>
      </c>
      <c r="E2412" t="s">
        <v>218</v>
      </c>
      <c r="F2412">
        <v>57</v>
      </c>
      <c r="G2412" t="s">
        <v>17</v>
      </c>
      <c r="H2412" t="s">
        <v>15</v>
      </c>
      <c r="I2412" t="s">
        <v>30</v>
      </c>
      <c r="J2412" t="s">
        <v>41</v>
      </c>
      <c r="K2412" t="s">
        <v>22</v>
      </c>
      <c r="L2412">
        <v>5</v>
      </c>
      <c r="M2412" s="12">
        <v>13749</v>
      </c>
      <c r="N2412" s="12">
        <v>10999.2</v>
      </c>
      <c r="O2412">
        <v>8</v>
      </c>
      <c r="P2412" s="12">
        <v>63245.4</v>
      </c>
      <c r="Q2412" s="12">
        <v>54996</v>
      </c>
      <c r="R2412" s="12">
        <v>8249.4000000000015</v>
      </c>
      <c r="S2412" t="s">
        <v>1246</v>
      </c>
      <c r="T2412" t="s">
        <v>110</v>
      </c>
      <c r="U2412" t="s">
        <v>1199</v>
      </c>
    </row>
    <row r="2413" spans="1:21" x14ac:dyDescent="0.25">
      <c r="A2413" t="s">
        <v>4460</v>
      </c>
      <c r="B2413" s="8">
        <v>45810</v>
      </c>
      <c r="C2413" t="s">
        <v>1271</v>
      </c>
      <c r="D2413" t="s">
        <v>545</v>
      </c>
      <c r="E2413" t="s">
        <v>218</v>
      </c>
      <c r="F2413">
        <v>42</v>
      </c>
      <c r="G2413" t="s">
        <v>4</v>
      </c>
      <c r="H2413" t="s">
        <v>3</v>
      </c>
      <c r="I2413" t="s">
        <v>53</v>
      </c>
      <c r="J2413" t="s">
        <v>48</v>
      </c>
      <c r="K2413" t="s">
        <v>43</v>
      </c>
      <c r="L2413">
        <v>5</v>
      </c>
      <c r="M2413" s="12">
        <v>6499</v>
      </c>
      <c r="N2413" s="12">
        <v>4549.2999999999993</v>
      </c>
      <c r="O2413">
        <v>3</v>
      </c>
      <c r="P2413" s="12">
        <v>31520.149999999998</v>
      </c>
      <c r="Q2413" s="12">
        <v>22746.499999999996</v>
      </c>
      <c r="R2413" s="12">
        <v>8773.6500000000015</v>
      </c>
      <c r="S2413" t="s">
        <v>1246</v>
      </c>
      <c r="T2413" t="s">
        <v>107</v>
      </c>
      <c r="U2413" t="s">
        <v>1196</v>
      </c>
    </row>
    <row r="2414" spans="1:21" x14ac:dyDescent="0.25">
      <c r="A2414" t="s">
        <v>4461</v>
      </c>
      <c r="B2414" s="8">
        <v>46003</v>
      </c>
      <c r="C2414" t="s">
        <v>1925</v>
      </c>
      <c r="D2414" t="s">
        <v>765</v>
      </c>
      <c r="E2414" t="s">
        <v>218</v>
      </c>
      <c r="F2414">
        <v>25</v>
      </c>
      <c r="G2414" t="s">
        <v>14</v>
      </c>
      <c r="H2414" t="s">
        <v>15</v>
      </c>
      <c r="I2414" t="s">
        <v>47</v>
      </c>
      <c r="J2414" t="s">
        <v>52</v>
      </c>
      <c r="K2414" t="s">
        <v>43</v>
      </c>
      <c r="L2414">
        <v>3</v>
      </c>
      <c r="M2414" s="12">
        <v>42999</v>
      </c>
      <c r="N2414" s="12">
        <v>33539.22</v>
      </c>
      <c r="O2414">
        <v>12</v>
      </c>
      <c r="P2414" s="12">
        <v>113517.36</v>
      </c>
      <c r="Q2414" s="12">
        <v>100617.66</v>
      </c>
      <c r="R2414" s="12">
        <v>12899.699999999997</v>
      </c>
      <c r="S2414" t="s">
        <v>1246</v>
      </c>
      <c r="T2414" t="s">
        <v>108</v>
      </c>
      <c r="U2414" t="s">
        <v>1199</v>
      </c>
    </row>
    <row r="2415" spans="1:21" x14ac:dyDescent="0.25">
      <c r="A2415" t="s">
        <v>4462</v>
      </c>
      <c r="B2415" s="8">
        <v>45966</v>
      </c>
      <c r="C2415" t="s">
        <v>3643</v>
      </c>
      <c r="D2415" t="s">
        <v>632</v>
      </c>
      <c r="E2415" t="s">
        <v>198</v>
      </c>
      <c r="F2415">
        <v>36</v>
      </c>
      <c r="G2415" t="s">
        <v>289</v>
      </c>
      <c r="H2415" t="s">
        <v>3</v>
      </c>
      <c r="I2415" t="s">
        <v>24</v>
      </c>
      <c r="J2415" t="s">
        <v>25</v>
      </c>
      <c r="K2415" t="s">
        <v>22</v>
      </c>
      <c r="L2415">
        <v>2</v>
      </c>
      <c r="M2415" s="12">
        <v>35800</v>
      </c>
      <c r="N2415" s="12">
        <v>28640</v>
      </c>
      <c r="O2415">
        <v>12</v>
      </c>
      <c r="P2415" s="12">
        <v>63008</v>
      </c>
      <c r="Q2415" s="12">
        <v>57280</v>
      </c>
      <c r="R2415" s="12">
        <v>5728</v>
      </c>
      <c r="S2415" t="s">
        <v>113</v>
      </c>
      <c r="T2415" t="s">
        <v>110</v>
      </c>
      <c r="U2415" t="s">
        <v>1205</v>
      </c>
    </row>
    <row r="2416" spans="1:21" x14ac:dyDescent="0.25">
      <c r="A2416" t="s">
        <v>4463</v>
      </c>
      <c r="B2416" s="8">
        <v>45941</v>
      </c>
      <c r="C2416" t="s">
        <v>5093</v>
      </c>
      <c r="D2416" t="s">
        <v>638</v>
      </c>
      <c r="E2416" t="s">
        <v>218</v>
      </c>
      <c r="F2416">
        <v>46</v>
      </c>
      <c r="G2416" t="s">
        <v>289</v>
      </c>
      <c r="H2416" t="s">
        <v>3</v>
      </c>
      <c r="I2416" t="s">
        <v>49</v>
      </c>
      <c r="J2416" t="s">
        <v>56</v>
      </c>
      <c r="K2416" t="s">
        <v>43</v>
      </c>
      <c r="L2416">
        <v>5</v>
      </c>
      <c r="M2416" s="12">
        <v>31999</v>
      </c>
      <c r="N2416" s="12">
        <v>25599.200000000001</v>
      </c>
      <c r="O2416">
        <v>5</v>
      </c>
      <c r="P2416" s="12">
        <v>151995.25</v>
      </c>
      <c r="Q2416" s="12">
        <v>127996</v>
      </c>
      <c r="R2416" s="12">
        <v>23999.25</v>
      </c>
      <c r="S2416" t="s">
        <v>1249</v>
      </c>
      <c r="T2416" t="s">
        <v>107</v>
      </c>
      <c r="U2416" t="s">
        <v>1198</v>
      </c>
    </row>
    <row r="2417" spans="1:21" x14ac:dyDescent="0.25">
      <c r="A2417" t="s">
        <v>4464</v>
      </c>
      <c r="B2417" s="8">
        <v>45855</v>
      </c>
      <c r="C2417" t="s">
        <v>2476</v>
      </c>
      <c r="D2417" t="s">
        <v>1093</v>
      </c>
      <c r="E2417" t="s">
        <v>218</v>
      </c>
      <c r="F2417">
        <v>32</v>
      </c>
      <c r="G2417" t="s">
        <v>290</v>
      </c>
      <c r="H2417" t="s">
        <v>3</v>
      </c>
      <c r="I2417" t="s">
        <v>34</v>
      </c>
      <c r="J2417" t="s">
        <v>137</v>
      </c>
      <c r="K2417" t="s">
        <v>22</v>
      </c>
      <c r="L2417">
        <v>4</v>
      </c>
      <c r="M2417" s="12">
        <v>6900</v>
      </c>
      <c r="N2417" s="12">
        <v>5727</v>
      </c>
      <c r="O2417">
        <v>5</v>
      </c>
      <c r="P2417" s="12">
        <v>26220</v>
      </c>
      <c r="Q2417" s="12">
        <v>22908</v>
      </c>
      <c r="R2417" s="12">
        <v>3312</v>
      </c>
      <c r="S2417" t="s">
        <v>1246</v>
      </c>
      <c r="T2417" t="s">
        <v>107</v>
      </c>
      <c r="U2417" t="s">
        <v>1203</v>
      </c>
    </row>
    <row r="2418" spans="1:21" x14ac:dyDescent="0.25">
      <c r="A2418" t="s">
        <v>4465</v>
      </c>
      <c r="B2418" s="8">
        <v>45808</v>
      </c>
      <c r="C2418" t="s">
        <v>1385</v>
      </c>
      <c r="D2418" t="s">
        <v>401</v>
      </c>
      <c r="E2418" t="s">
        <v>218</v>
      </c>
      <c r="F2418">
        <v>39</v>
      </c>
      <c r="G2418" t="s">
        <v>4</v>
      </c>
      <c r="H2418" t="s">
        <v>3</v>
      </c>
      <c r="I2418" t="s">
        <v>45</v>
      </c>
      <c r="J2418" t="s">
        <v>46</v>
      </c>
      <c r="K2418" t="s">
        <v>43</v>
      </c>
      <c r="L2418">
        <v>1</v>
      </c>
      <c r="M2418" s="12">
        <v>11999</v>
      </c>
      <c r="N2418" s="12">
        <v>8999.25</v>
      </c>
      <c r="O2418">
        <v>2</v>
      </c>
      <c r="P2418" s="12">
        <v>11759.02</v>
      </c>
      <c r="Q2418" s="12">
        <v>8999.25</v>
      </c>
      <c r="R2418" s="12">
        <v>2759.7700000000004</v>
      </c>
      <c r="S2418" t="s">
        <v>1246</v>
      </c>
      <c r="T2418" t="s">
        <v>108</v>
      </c>
      <c r="U2418" t="s">
        <v>1194</v>
      </c>
    </row>
    <row r="2419" spans="1:21" x14ac:dyDescent="0.25">
      <c r="A2419" t="s">
        <v>4466</v>
      </c>
      <c r="B2419" s="8">
        <v>45746</v>
      </c>
      <c r="C2419" t="s">
        <v>4780</v>
      </c>
      <c r="D2419" t="s">
        <v>1056</v>
      </c>
      <c r="E2419" t="s">
        <v>218</v>
      </c>
      <c r="F2419">
        <v>31</v>
      </c>
      <c r="G2419" t="s">
        <v>10</v>
      </c>
      <c r="H2419" t="s">
        <v>8</v>
      </c>
      <c r="I2419" t="s">
        <v>38</v>
      </c>
      <c r="J2419" t="s">
        <v>37</v>
      </c>
      <c r="K2419" t="s">
        <v>22</v>
      </c>
      <c r="L2419">
        <v>5</v>
      </c>
      <c r="M2419" s="12">
        <v>1650</v>
      </c>
      <c r="N2419" s="12">
        <v>990</v>
      </c>
      <c r="O2419">
        <v>5</v>
      </c>
      <c r="P2419" s="12">
        <v>7837.5</v>
      </c>
      <c r="Q2419" s="12">
        <v>4950</v>
      </c>
      <c r="R2419" s="12">
        <v>2887.5</v>
      </c>
      <c r="S2419" t="s">
        <v>113</v>
      </c>
      <c r="T2419" t="s">
        <v>109</v>
      </c>
      <c r="U2419" t="s">
        <v>1199</v>
      </c>
    </row>
    <row r="2420" spans="1:21" x14ac:dyDescent="0.25">
      <c r="A2420" t="s">
        <v>4467</v>
      </c>
      <c r="B2420" s="8">
        <v>45681</v>
      </c>
      <c r="C2420" t="s">
        <v>1731</v>
      </c>
      <c r="D2420" t="s">
        <v>865</v>
      </c>
      <c r="E2420" t="s">
        <v>198</v>
      </c>
      <c r="F2420">
        <v>43</v>
      </c>
      <c r="G2420" t="s">
        <v>10</v>
      </c>
      <c r="H2420" t="s">
        <v>8</v>
      </c>
      <c r="I2420" t="s">
        <v>34</v>
      </c>
      <c r="J2420" t="s">
        <v>137</v>
      </c>
      <c r="K2420" t="s">
        <v>22</v>
      </c>
      <c r="L2420">
        <v>4</v>
      </c>
      <c r="M2420" s="12">
        <v>6900</v>
      </c>
      <c r="N2420" s="12">
        <v>5727</v>
      </c>
      <c r="O2420">
        <v>10</v>
      </c>
      <c r="P2420" s="12">
        <v>24840</v>
      </c>
      <c r="Q2420" s="12">
        <v>22908</v>
      </c>
      <c r="R2420" s="12">
        <v>1932</v>
      </c>
      <c r="S2420" t="s">
        <v>1246</v>
      </c>
      <c r="T2420" t="s">
        <v>107</v>
      </c>
      <c r="U2420" t="s">
        <v>1211</v>
      </c>
    </row>
    <row r="2421" spans="1:21" x14ac:dyDescent="0.25">
      <c r="A2421" t="s">
        <v>4468</v>
      </c>
      <c r="B2421" s="8">
        <v>45698</v>
      </c>
      <c r="C2421" t="s">
        <v>1603</v>
      </c>
      <c r="D2421" t="s">
        <v>983</v>
      </c>
      <c r="E2421" t="s">
        <v>198</v>
      </c>
      <c r="F2421">
        <v>33</v>
      </c>
      <c r="G2421" t="s">
        <v>10</v>
      </c>
      <c r="H2421" t="s">
        <v>8</v>
      </c>
      <c r="I2421" t="s">
        <v>47</v>
      </c>
      <c r="J2421" t="s">
        <v>52</v>
      </c>
      <c r="K2421" t="s">
        <v>43</v>
      </c>
      <c r="L2421">
        <v>3</v>
      </c>
      <c r="M2421" s="12">
        <v>42999</v>
      </c>
      <c r="N2421" s="12">
        <v>33539.22</v>
      </c>
      <c r="O2421">
        <v>10</v>
      </c>
      <c r="P2421" s="12">
        <v>116097.3</v>
      </c>
      <c r="Q2421" s="12">
        <v>100617.66</v>
      </c>
      <c r="R2421" s="12">
        <v>15479.64</v>
      </c>
      <c r="S2421" t="s">
        <v>1246</v>
      </c>
      <c r="T2421" t="s">
        <v>109</v>
      </c>
      <c r="U2421" t="s">
        <v>1203</v>
      </c>
    </row>
    <row r="2422" spans="1:21" x14ac:dyDescent="0.25">
      <c r="A2422" t="s">
        <v>4469</v>
      </c>
      <c r="B2422" s="8">
        <v>45860</v>
      </c>
      <c r="C2422" t="s">
        <v>1743</v>
      </c>
      <c r="D2422" t="s">
        <v>511</v>
      </c>
      <c r="E2422" t="s">
        <v>218</v>
      </c>
      <c r="F2422">
        <v>46</v>
      </c>
      <c r="G2422" t="s">
        <v>289</v>
      </c>
      <c r="H2422" t="s">
        <v>3</v>
      </c>
      <c r="I2422" t="s">
        <v>47</v>
      </c>
      <c r="J2422" t="s">
        <v>52</v>
      </c>
      <c r="K2422" t="s">
        <v>43</v>
      </c>
      <c r="L2422">
        <v>1</v>
      </c>
      <c r="M2422" s="12">
        <v>42999</v>
      </c>
      <c r="N2422" s="12">
        <v>33539.22</v>
      </c>
      <c r="O2422">
        <v>6</v>
      </c>
      <c r="P2422" s="12">
        <v>40419.06</v>
      </c>
      <c r="Q2422" s="12">
        <v>33539.22</v>
      </c>
      <c r="R2422" s="12">
        <v>6879.8399999999965</v>
      </c>
      <c r="S2422" t="s">
        <v>1246</v>
      </c>
      <c r="T2422" t="s">
        <v>107</v>
      </c>
      <c r="U2422" t="s">
        <v>1196</v>
      </c>
    </row>
    <row r="2423" spans="1:21" x14ac:dyDescent="0.25">
      <c r="A2423" t="s">
        <v>4470</v>
      </c>
      <c r="B2423" s="8">
        <v>45915</v>
      </c>
      <c r="C2423" t="s">
        <v>2735</v>
      </c>
      <c r="D2423" t="s">
        <v>793</v>
      </c>
      <c r="E2423" t="s">
        <v>198</v>
      </c>
      <c r="F2423">
        <v>35</v>
      </c>
      <c r="G2423" t="s">
        <v>9</v>
      </c>
      <c r="H2423" t="s">
        <v>8</v>
      </c>
      <c r="I2423" t="s">
        <v>36</v>
      </c>
      <c r="J2423" t="s">
        <v>136</v>
      </c>
      <c r="K2423" t="s">
        <v>22</v>
      </c>
      <c r="L2423">
        <v>1</v>
      </c>
      <c r="M2423" s="12">
        <v>3590</v>
      </c>
      <c r="N2423" s="12">
        <v>2333.5</v>
      </c>
      <c r="O2423">
        <v>5</v>
      </c>
      <c r="P2423" s="12">
        <v>3410.5</v>
      </c>
      <c r="Q2423" s="12">
        <v>2333.5</v>
      </c>
      <c r="R2423" s="12">
        <v>1077</v>
      </c>
      <c r="S2423" t="s">
        <v>113</v>
      </c>
      <c r="T2423" t="s">
        <v>109</v>
      </c>
      <c r="U2423" t="s">
        <v>1203</v>
      </c>
    </row>
    <row r="2424" spans="1:21" x14ac:dyDescent="0.25">
      <c r="A2424" t="s">
        <v>4471</v>
      </c>
      <c r="B2424" s="8">
        <v>45729</v>
      </c>
      <c r="C2424" t="s">
        <v>3290</v>
      </c>
      <c r="D2424" t="s">
        <v>1179</v>
      </c>
      <c r="E2424" t="s">
        <v>198</v>
      </c>
      <c r="F2424">
        <v>56</v>
      </c>
      <c r="G2424" t="s">
        <v>14</v>
      </c>
      <c r="H2424" t="s">
        <v>15</v>
      </c>
      <c r="I2424" t="s">
        <v>28</v>
      </c>
      <c r="J2424" t="s">
        <v>35</v>
      </c>
      <c r="K2424" t="s">
        <v>22</v>
      </c>
      <c r="L2424">
        <v>4</v>
      </c>
      <c r="M2424" s="12">
        <v>16499</v>
      </c>
      <c r="N2424" s="12">
        <v>14519.12</v>
      </c>
      <c r="O2424">
        <v>7</v>
      </c>
      <c r="P2424" s="12">
        <v>61376.28</v>
      </c>
      <c r="Q2424" s="12">
        <v>58076.480000000003</v>
      </c>
      <c r="R2424" s="12">
        <v>3299.7999999999956</v>
      </c>
      <c r="S2424" t="s">
        <v>1246</v>
      </c>
      <c r="T2424" t="s">
        <v>110</v>
      </c>
      <c r="U2424" t="s">
        <v>1201</v>
      </c>
    </row>
    <row r="2425" spans="1:21" x14ac:dyDescent="0.25">
      <c r="A2425" t="s">
        <v>4472</v>
      </c>
      <c r="B2425" s="8">
        <v>45882</v>
      </c>
      <c r="C2425" t="s">
        <v>1616</v>
      </c>
      <c r="D2425" t="s">
        <v>582</v>
      </c>
      <c r="E2425" t="s">
        <v>198</v>
      </c>
      <c r="F2425">
        <v>61</v>
      </c>
      <c r="G2425" t="s">
        <v>14</v>
      </c>
      <c r="H2425" t="s">
        <v>15</v>
      </c>
      <c r="I2425" t="s">
        <v>59</v>
      </c>
      <c r="J2425" t="s">
        <v>73</v>
      </c>
      <c r="K2425" t="s">
        <v>64</v>
      </c>
      <c r="L2425">
        <v>4</v>
      </c>
      <c r="M2425" s="12">
        <v>120</v>
      </c>
      <c r="N2425" s="12">
        <v>81.599999999999994</v>
      </c>
      <c r="O2425">
        <v>4</v>
      </c>
      <c r="P2425" s="12">
        <v>460.79999999999995</v>
      </c>
      <c r="Q2425" s="12">
        <v>326.39999999999998</v>
      </c>
      <c r="R2425" s="12">
        <v>134.39999999999998</v>
      </c>
      <c r="S2425" t="s">
        <v>1246</v>
      </c>
      <c r="T2425" t="s">
        <v>107</v>
      </c>
      <c r="U2425" t="s">
        <v>1196</v>
      </c>
    </row>
    <row r="2426" spans="1:21" x14ac:dyDescent="0.25">
      <c r="A2426" t="s">
        <v>4473</v>
      </c>
      <c r="B2426" s="8">
        <v>45930</v>
      </c>
      <c r="C2426" t="s">
        <v>3765</v>
      </c>
      <c r="D2426" t="s">
        <v>591</v>
      </c>
      <c r="E2426" t="s">
        <v>218</v>
      </c>
      <c r="F2426">
        <v>29</v>
      </c>
      <c r="G2426" t="s">
        <v>290</v>
      </c>
      <c r="H2426" t="s">
        <v>3</v>
      </c>
      <c r="I2426" t="s">
        <v>47</v>
      </c>
      <c r="J2426" t="s">
        <v>52</v>
      </c>
      <c r="K2426" t="s">
        <v>43</v>
      </c>
      <c r="L2426">
        <v>1</v>
      </c>
      <c r="M2426" s="12">
        <v>42999</v>
      </c>
      <c r="N2426" s="12">
        <v>33539.22</v>
      </c>
      <c r="O2426">
        <v>10</v>
      </c>
      <c r="P2426" s="12">
        <v>38699.1</v>
      </c>
      <c r="Q2426" s="12">
        <v>33539.22</v>
      </c>
      <c r="R2426" s="12">
        <v>5159.8799999999974</v>
      </c>
      <c r="S2426" t="s">
        <v>1246</v>
      </c>
      <c r="T2426" t="s">
        <v>111</v>
      </c>
      <c r="U2426" t="s">
        <v>1205</v>
      </c>
    </row>
    <row r="2427" spans="1:21" x14ac:dyDescent="0.25">
      <c r="A2427" t="s">
        <v>4474</v>
      </c>
      <c r="B2427" s="8">
        <v>45954</v>
      </c>
      <c r="C2427" t="s">
        <v>1302</v>
      </c>
      <c r="D2427" t="s">
        <v>415</v>
      </c>
      <c r="E2427" t="s">
        <v>198</v>
      </c>
      <c r="F2427">
        <v>48</v>
      </c>
      <c r="G2427" t="s">
        <v>4</v>
      </c>
      <c r="H2427" t="s">
        <v>3</v>
      </c>
      <c r="I2427" t="s">
        <v>32</v>
      </c>
      <c r="J2427" t="s">
        <v>29</v>
      </c>
      <c r="K2427" t="s">
        <v>22</v>
      </c>
      <c r="L2427">
        <v>1</v>
      </c>
      <c r="M2427" s="12">
        <v>9500</v>
      </c>
      <c r="N2427" s="12">
        <v>6650</v>
      </c>
      <c r="O2427">
        <v>6</v>
      </c>
      <c r="P2427" s="12">
        <v>8930</v>
      </c>
      <c r="Q2427" s="12">
        <v>6650</v>
      </c>
      <c r="R2427" s="12">
        <v>2280</v>
      </c>
      <c r="S2427" t="s">
        <v>113</v>
      </c>
      <c r="T2427" t="s">
        <v>108</v>
      </c>
      <c r="U2427" t="s">
        <v>1199</v>
      </c>
    </row>
    <row r="2428" spans="1:21" x14ac:dyDescent="0.25">
      <c r="A2428" t="s">
        <v>4475</v>
      </c>
      <c r="B2428" s="8">
        <v>45673</v>
      </c>
      <c r="C2428" t="s">
        <v>1555</v>
      </c>
      <c r="D2428" t="s">
        <v>968</v>
      </c>
      <c r="E2428" t="s">
        <v>218</v>
      </c>
      <c r="F2428">
        <v>63</v>
      </c>
      <c r="G2428" t="s">
        <v>16</v>
      </c>
      <c r="H2428" t="s">
        <v>15</v>
      </c>
      <c r="I2428" t="s">
        <v>47</v>
      </c>
      <c r="J2428" t="s">
        <v>52</v>
      </c>
      <c r="K2428" t="s">
        <v>43</v>
      </c>
      <c r="L2428">
        <v>3</v>
      </c>
      <c r="M2428" s="12">
        <v>42999</v>
      </c>
      <c r="N2428" s="12">
        <v>33539.22</v>
      </c>
      <c r="O2428">
        <v>2</v>
      </c>
      <c r="P2428" s="12">
        <v>126417.06</v>
      </c>
      <c r="Q2428" s="12">
        <v>100617.66</v>
      </c>
      <c r="R2428" s="12">
        <v>25799.399999999994</v>
      </c>
      <c r="S2428" t="s">
        <v>113</v>
      </c>
      <c r="T2428" t="s">
        <v>107</v>
      </c>
      <c r="U2428" t="s">
        <v>1201</v>
      </c>
    </row>
    <row r="2429" spans="1:21" x14ac:dyDescent="0.25">
      <c r="A2429" t="s">
        <v>4476</v>
      </c>
      <c r="B2429" s="8">
        <v>45783</v>
      </c>
      <c r="C2429" t="s">
        <v>2204</v>
      </c>
      <c r="D2429" t="s">
        <v>1031</v>
      </c>
      <c r="E2429" t="s">
        <v>198</v>
      </c>
      <c r="F2429">
        <v>43</v>
      </c>
      <c r="G2429" t="s">
        <v>289</v>
      </c>
      <c r="H2429" t="s">
        <v>3</v>
      </c>
      <c r="I2429" t="s">
        <v>55</v>
      </c>
      <c r="J2429" t="s">
        <v>65</v>
      </c>
      <c r="K2429" t="s">
        <v>64</v>
      </c>
      <c r="L2429">
        <v>5</v>
      </c>
      <c r="M2429" s="12">
        <v>80</v>
      </c>
      <c r="N2429" s="12">
        <v>56</v>
      </c>
      <c r="O2429">
        <v>10</v>
      </c>
      <c r="P2429" s="12">
        <v>360</v>
      </c>
      <c r="Q2429" s="12">
        <v>280</v>
      </c>
      <c r="R2429" s="12">
        <v>80</v>
      </c>
      <c r="S2429" t="s">
        <v>1246</v>
      </c>
      <c r="T2429" t="s">
        <v>108</v>
      </c>
      <c r="U2429" t="s">
        <v>1207</v>
      </c>
    </row>
    <row r="2430" spans="1:21" x14ac:dyDescent="0.25">
      <c r="A2430" t="s">
        <v>4477</v>
      </c>
      <c r="B2430" s="8">
        <v>45879</v>
      </c>
      <c r="C2430" t="s">
        <v>2926</v>
      </c>
      <c r="D2430" t="s">
        <v>929</v>
      </c>
      <c r="E2430" t="s">
        <v>218</v>
      </c>
      <c r="F2430">
        <v>44</v>
      </c>
      <c r="G2430" t="s">
        <v>16</v>
      </c>
      <c r="H2430" t="s">
        <v>15</v>
      </c>
      <c r="I2430" t="s">
        <v>42</v>
      </c>
      <c r="J2430" t="s">
        <v>44</v>
      </c>
      <c r="K2430" t="s">
        <v>43</v>
      </c>
      <c r="L2430">
        <v>4</v>
      </c>
      <c r="M2430" s="12">
        <v>8999</v>
      </c>
      <c r="N2430" s="12">
        <v>6479.28</v>
      </c>
      <c r="O2430">
        <v>6</v>
      </c>
      <c r="P2430" s="12">
        <v>33836.239999999998</v>
      </c>
      <c r="Q2430" s="12">
        <v>25917.119999999999</v>
      </c>
      <c r="R2430" s="12">
        <v>7919.119999999999</v>
      </c>
      <c r="S2430" t="s">
        <v>1246</v>
      </c>
      <c r="T2430" t="s">
        <v>108</v>
      </c>
      <c r="U2430" t="s">
        <v>1209</v>
      </c>
    </row>
    <row r="2431" spans="1:21" x14ac:dyDescent="0.25">
      <c r="A2431" t="s">
        <v>4478</v>
      </c>
      <c r="B2431" s="8">
        <v>45762</v>
      </c>
      <c r="C2431" t="s">
        <v>2454</v>
      </c>
      <c r="D2431" t="s">
        <v>478</v>
      </c>
      <c r="E2431" t="s">
        <v>198</v>
      </c>
      <c r="F2431">
        <v>42</v>
      </c>
      <c r="G2431" t="s">
        <v>10</v>
      </c>
      <c r="H2431" t="s">
        <v>8</v>
      </c>
      <c r="I2431" t="s">
        <v>34</v>
      </c>
      <c r="J2431" t="s">
        <v>137</v>
      </c>
      <c r="K2431" t="s">
        <v>22</v>
      </c>
      <c r="L2431">
        <v>2</v>
      </c>
      <c r="M2431" s="12">
        <v>6900</v>
      </c>
      <c r="N2431" s="12">
        <v>5727</v>
      </c>
      <c r="O2431">
        <v>8</v>
      </c>
      <c r="P2431" s="12">
        <v>12696</v>
      </c>
      <c r="Q2431" s="12">
        <v>11454</v>
      </c>
      <c r="R2431" s="12">
        <v>1242</v>
      </c>
      <c r="S2431" t="s">
        <v>1246</v>
      </c>
      <c r="T2431" t="s">
        <v>107</v>
      </c>
      <c r="U2431" t="s">
        <v>1207</v>
      </c>
    </row>
    <row r="2432" spans="1:21" x14ac:dyDescent="0.25">
      <c r="A2432" t="s">
        <v>4479</v>
      </c>
      <c r="B2432" s="8">
        <v>45840</v>
      </c>
      <c r="C2432" t="s">
        <v>2926</v>
      </c>
      <c r="D2432" t="s">
        <v>929</v>
      </c>
      <c r="E2432" t="s">
        <v>218</v>
      </c>
      <c r="F2432">
        <v>44</v>
      </c>
      <c r="G2432" t="s">
        <v>16</v>
      </c>
      <c r="H2432" t="s">
        <v>15</v>
      </c>
      <c r="I2432" t="s">
        <v>24</v>
      </c>
      <c r="J2432" t="s">
        <v>25</v>
      </c>
      <c r="K2432" t="s">
        <v>22</v>
      </c>
      <c r="L2432">
        <v>3</v>
      </c>
      <c r="M2432" s="12">
        <v>35800</v>
      </c>
      <c r="N2432" s="12">
        <v>28640</v>
      </c>
      <c r="O2432">
        <v>7</v>
      </c>
      <c r="P2432" s="12">
        <v>99882</v>
      </c>
      <c r="Q2432" s="12">
        <v>85920</v>
      </c>
      <c r="R2432" s="12">
        <v>13962</v>
      </c>
      <c r="S2432" t="s">
        <v>113</v>
      </c>
      <c r="T2432" t="s">
        <v>107</v>
      </c>
      <c r="U2432" t="s">
        <v>1211</v>
      </c>
    </row>
    <row r="2433" spans="1:21" x14ac:dyDescent="0.25">
      <c r="A2433" t="s">
        <v>4480</v>
      </c>
      <c r="B2433" s="8">
        <v>45732</v>
      </c>
      <c r="C2433" t="s">
        <v>2113</v>
      </c>
      <c r="D2433" t="s">
        <v>790</v>
      </c>
      <c r="E2433" t="s">
        <v>198</v>
      </c>
      <c r="F2433">
        <v>58</v>
      </c>
      <c r="G2433" t="s">
        <v>2</v>
      </c>
      <c r="H2433" t="s">
        <v>3</v>
      </c>
      <c r="I2433" t="s">
        <v>42</v>
      </c>
      <c r="J2433" t="s">
        <v>44</v>
      </c>
      <c r="K2433" t="s">
        <v>43</v>
      </c>
      <c r="L2433">
        <v>5</v>
      </c>
      <c r="M2433" s="12">
        <v>8999</v>
      </c>
      <c r="N2433" s="12">
        <v>6479.28</v>
      </c>
      <c r="O2433">
        <v>9</v>
      </c>
      <c r="P2433" s="12">
        <v>40945.450000000004</v>
      </c>
      <c r="Q2433" s="12">
        <v>32396.399999999998</v>
      </c>
      <c r="R2433" s="12">
        <v>8549.0500000000065</v>
      </c>
      <c r="S2433" t="s">
        <v>1246</v>
      </c>
      <c r="T2433" t="s">
        <v>107</v>
      </c>
      <c r="U2433" t="s">
        <v>1211</v>
      </c>
    </row>
    <row r="2434" spans="1:21" x14ac:dyDescent="0.25">
      <c r="A2434" t="s">
        <v>4481</v>
      </c>
      <c r="B2434" s="8">
        <v>45685</v>
      </c>
      <c r="C2434" t="s">
        <v>1551</v>
      </c>
      <c r="D2434" t="s">
        <v>830</v>
      </c>
      <c r="E2434" t="s">
        <v>218</v>
      </c>
      <c r="F2434">
        <v>20</v>
      </c>
      <c r="G2434" t="s">
        <v>5</v>
      </c>
      <c r="H2434" t="s">
        <v>3</v>
      </c>
      <c r="I2434" t="s">
        <v>36</v>
      </c>
      <c r="J2434" t="s">
        <v>136</v>
      </c>
      <c r="K2434" t="s">
        <v>22</v>
      </c>
      <c r="L2434">
        <v>2</v>
      </c>
      <c r="M2434" s="12">
        <v>3590</v>
      </c>
      <c r="N2434" s="12">
        <v>2333.5</v>
      </c>
      <c r="O2434">
        <v>7</v>
      </c>
      <c r="P2434" s="12">
        <v>6677.4</v>
      </c>
      <c r="Q2434" s="12">
        <v>4667</v>
      </c>
      <c r="R2434" s="12">
        <v>2010.3999999999996</v>
      </c>
      <c r="S2434" t="s">
        <v>1246</v>
      </c>
      <c r="T2434" t="s">
        <v>108</v>
      </c>
      <c r="U2434" t="s">
        <v>1205</v>
      </c>
    </row>
    <row r="2435" spans="1:21" x14ac:dyDescent="0.25">
      <c r="A2435" t="s">
        <v>4482</v>
      </c>
      <c r="B2435" s="8">
        <v>45895</v>
      </c>
      <c r="C2435" t="s">
        <v>2873</v>
      </c>
      <c r="D2435" t="s">
        <v>687</v>
      </c>
      <c r="E2435" t="s">
        <v>218</v>
      </c>
      <c r="F2435">
        <v>45</v>
      </c>
      <c r="G2435" t="s">
        <v>290</v>
      </c>
      <c r="H2435" t="s">
        <v>3</v>
      </c>
      <c r="I2435" t="s">
        <v>47</v>
      </c>
      <c r="J2435" t="s">
        <v>52</v>
      </c>
      <c r="K2435" t="s">
        <v>43</v>
      </c>
      <c r="L2435">
        <v>3</v>
      </c>
      <c r="M2435" s="12">
        <v>42999</v>
      </c>
      <c r="N2435" s="12">
        <v>33539.22</v>
      </c>
      <c r="O2435">
        <v>10</v>
      </c>
      <c r="P2435" s="12">
        <v>116097.3</v>
      </c>
      <c r="Q2435" s="12">
        <v>100617.66</v>
      </c>
      <c r="R2435" s="12">
        <v>15479.64</v>
      </c>
      <c r="S2435" t="s">
        <v>1246</v>
      </c>
      <c r="T2435" t="s">
        <v>107</v>
      </c>
      <c r="U2435" t="s">
        <v>1207</v>
      </c>
    </row>
    <row r="2436" spans="1:21" x14ac:dyDescent="0.25">
      <c r="A2436" t="s">
        <v>4483</v>
      </c>
      <c r="B2436" s="8">
        <v>45768</v>
      </c>
      <c r="C2436" t="s">
        <v>3750</v>
      </c>
      <c r="D2436" t="s">
        <v>579</v>
      </c>
      <c r="E2436" t="s">
        <v>198</v>
      </c>
      <c r="F2436">
        <v>18</v>
      </c>
      <c r="G2436" t="s">
        <v>14</v>
      </c>
      <c r="H2436" t="s">
        <v>15</v>
      </c>
      <c r="I2436" t="s">
        <v>40</v>
      </c>
      <c r="J2436" t="s">
        <v>39</v>
      </c>
      <c r="K2436" t="s">
        <v>22</v>
      </c>
      <c r="L2436">
        <v>2</v>
      </c>
      <c r="M2436" s="12">
        <v>1100</v>
      </c>
      <c r="N2436" s="12">
        <v>715</v>
      </c>
      <c r="O2436">
        <v>7</v>
      </c>
      <c r="P2436" s="12">
        <v>2045.9999999999998</v>
      </c>
      <c r="Q2436" s="12">
        <v>1430</v>
      </c>
      <c r="R2436" s="12">
        <v>615.99999999999977</v>
      </c>
      <c r="S2436" t="s">
        <v>1246</v>
      </c>
      <c r="T2436" t="s">
        <v>109</v>
      </c>
      <c r="U2436" t="s">
        <v>1209</v>
      </c>
    </row>
    <row r="2437" spans="1:21" x14ac:dyDescent="0.25">
      <c r="A2437" t="s">
        <v>4484</v>
      </c>
      <c r="B2437" s="8">
        <v>45697</v>
      </c>
      <c r="C2437" t="s">
        <v>1755</v>
      </c>
      <c r="D2437" t="s">
        <v>908</v>
      </c>
      <c r="E2437" t="s">
        <v>218</v>
      </c>
      <c r="F2437">
        <v>33</v>
      </c>
      <c r="G2437" t="s">
        <v>14</v>
      </c>
      <c r="H2437" t="s">
        <v>15</v>
      </c>
      <c r="I2437" t="s">
        <v>42</v>
      </c>
      <c r="J2437" t="s">
        <v>44</v>
      </c>
      <c r="K2437" t="s">
        <v>43</v>
      </c>
      <c r="L2437">
        <v>2</v>
      </c>
      <c r="M2437" s="12">
        <v>8999</v>
      </c>
      <c r="N2437" s="12">
        <v>6479.28</v>
      </c>
      <c r="O2437">
        <v>8</v>
      </c>
      <c r="P2437" s="12">
        <v>16558.16</v>
      </c>
      <c r="Q2437" s="12">
        <v>12958.56</v>
      </c>
      <c r="R2437" s="12">
        <v>3599.6000000000004</v>
      </c>
      <c r="S2437" t="s">
        <v>113</v>
      </c>
      <c r="T2437" t="s">
        <v>109</v>
      </c>
      <c r="U2437" t="s">
        <v>1211</v>
      </c>
    </row>
    <row r="2438" spans="1:21" x14ac:dyDescent="0.25">
      <c r="A2438" t="s">
        <v>4485</v>
      </c>
      <c r="B2438" s="8">
        <v>45921</v>
      </c>
      <c r="C2438" t="s">
        <v>2145</v>
      </c>
      <c r="D2438" t="s">
        <v>761</v>
      </c>
      <c r="E2438" t="s">
        <v>198</v>
      </c>
      <c r="F2438">
        <v>34</v>
      </c>
      <c r="G2438" t="s">
        <v>289</v>
      </c>
      <c r="H2438" t="s">
        <v>3</v>
      </c>
      <c r="I2438" t="s">
        <v>34</v>
      </c>
      <c r="J2438" t="s">
        <v>137</v>
      </c>
      <c r="K2438" t="s">
        <v>22</v>
      </c>
      <c r="L2438">
        <v>1</v>
      </c>
      <c r="M2438" s="12">
        <v>6900</v>
      </c>
      <c r="N2438" s="12">
        <v>5727</v>
      </c>
      <c r="O2438">
        <v>5</v>
      </c>
      <c r="P2438" s="12">
        <v>6555</v>
      </c>
      <c r="Q2438" s="12">
        <v>5727</v>
      </c>
      <c r="R2438" s="12">
        <v>828</v>
      </c>
      <c r="S2438" t="s">
        <v>1246</v>
      </c>
      <c r="T2438" t="s">
        <v>108</v>
      </c>
      <c r="U2438" t="s">
        <v>1198</v>
      </c>
    </row>
    <row r="2439" spans="1:21" x14ac:dyDescent="0.25">
      <c r="A2439" t="s">
        <v>4486</v>
      </c>
      <c r="B2439" s="8">
        <v>45929</v>
      </c>
      <c r="C2439" t="s">
        <v>1563</v>
      </c>
      <c r="D2439" t="s">
        <v>991</v>
      </c>
      <c r="E2439" t="s">
        <v>198</v>
      </c>
      <c r="F2439">
        <v>45</v>
      </c>
      <c r="G2439" t="s">
        <v>16</v>
      </c>
      <c r="H2439" t="s">
        <v>15</v>
      </c>
      <c r="I2439" t="s">
        <v>32</v>
      </c>
      <c r="J2439" t="s">
        <v>29</v>
      </c>
      <c r="K2439" t="s">
        <v>22</v>
      </c>
      <c r="L2439">
        <v>2</v>
      </c>
      <c r="M2439" s="12">
        <v>9500</v>
      </c>
      <c r="N2439" s="12">
        <v>6650</v>
      </c>
      <c r="O2439">
        <v>4</v>
      </c>
      <c r="P2439" s="12">
        <v>18240</v>
      </c>
      <c r="Q2439" s="12">
        <v>13300</v>
      </c>
      <c r="R2439" s="12">
        <v>4940</v>
      </c>
      <c r="S2439" t="s">
        <v>1246</v>
      </c>
      <c r="T2439" t="s">
        <v>109</v>
      </c>
      <c r="U2439" t="s">
        <v>1207</v>
      </c>
    </row>
    <row r="2440" spans="1:21" x14ac:dyDescent="0.25">
      <c r="A2440" t="s">
        <v>4487</v>
      </c>
      <c r="B2440" s="8">
        <v>45843</v>
      </c>
      <c r="C2440" t="s">
        <v>2102</v>
      </c>
      <c r="D2440" t="s">
        <v>1134</v>
      </c>
      <c r="E2440" t="s">
        <v>198</v>
      </c>
      <c r="F2440">
        <v>19</v>
      </c>
      <c r="G2440" t="s">
        <v>16</v>
      </c>
      <c r="H2440" t="s">
        <v>15</v>
      </c>
      <c r="I2440" t="s">
        <v>47</v>
      </c>
      <c r="J2440" t="s">
        <v>52</v>
      </c>
      <c r="K2440" t="s">
        <v>43</v>
      </c>
      <c r="L2440">
        <v>5</v>
      </c>
      <c r="M2440" s="12">
        <v>42999</v>
      </c>
      <c r="N2440" s="12">
        <v>33539.22</v>
      </c>
      <c r="O2440">
        <v>7</v>
      </c>
      <c r="P2440" s="12">
        <v>199945.34999999998</v>
      </c>
      <c r="Q2440" s="12">
        <v>167696.1</v>
      </c>
      <c r="R2440" s="12">
        <v>32249.249999999971</v>
      </c>
      <c r="S2440" t="s">
        <v>1246</v>
      </c>
      <c r="T2440" t="s">
        <v>108</v>
      </c>
      <c r="U2440" t="s">
        <v>1211</v>
      </c>
    </row>
    <row r="2441" spans="1:21" x14ac:dyDescent="0.25">
      <c r="A2441" t="s">
        <v>4488</v>
      </c>
      <c r="B2441" s="8">
        <v>45991</v>
      </c>
      <c r="C2441" t="s">
        <v>1374</v>
      </c>
      <c r="D2441" t="s">
        <v>1158</v>
      </c>
      <c r="E2441" t="s">
        <v>218</v>
      </c>
      <c r="F2441">
        <v>37</v>
      </c>
      <c r="G2441" t="s">
        <v>2</v>
      </c>
      <c r="H2441" t="s">
        <v>3</v>
      </c>
      <c r="I2441" t="s">
        <v>24</v>
      </c>
      <c r="J2441" t="s">
        <v>25</v>
      </c>
      <c r="K2441" t="s">
        <v>22</v>
      </c>
      <c r="L2441">
        <v>4</v>
      </c>
      <c r="M2441" s="12">
        <v>35800</v>
      </c>
      <c r="N2441" s="12">
        <v>28640</v>
      </c>
      <c r="O2441">
        <v>12</v>
      </c>
      <c r="P2441" s="12">
        <v>126016</v>
      </c>
      <c r="Q2441" s="12">
        <v>114560</v>
      </c>
      <c r="R2441" s="12">
        <v>11456</v>
      </c>
      <c r="S2441" t="s">
        <v>1246</v>
      </c>
      <c r="T2441" t="s">
        <v>111</v>
      </c>
      <c r="U2441" t="s">
        <v>1196</v>
      </c>
    </row>
    <row r="2442" spans="1:21" x14ac:dyDescent="0.25">
      <c r="A2442" t="s">
        <v>4489</v>
      </c>
      <c r="B2442" s="8">
        <v>45906</v>
      </c>
      <c r="C2442" t="s">
        <v>4886</v>
      </c>
      <c r="D2442" t="s">
        <v>725</v>
      </c>
      <c r="E2442" t="s">
        <v>198</v>
      </c>
      <c r="F2442">
        <v>64</v>
      </c>
      <c r="G2442" t="s">
        <v>11</v>
      </c>
      <c r="H2442" t="s">
        <v>12</v>
      </c>
      <c r="I2442" t="s">
        <v>21</v>
      </c>
      <c r="J2442" t="s">
        <v>23</v>
      </c>
      <c r="K2442" t="s">
        <v>22</v>
      </c>
      <c r="L2442">
        <v>2</v>
      </c>
      <c r="M2442" s="12">
        <v>54999</v>
      </c>
      <c r="N2442" s="12">
        <v>45099.18</v>
      </c>
      <c r="O2442">
        <v>5</v>
      </c>
      <c r="P2442" s="12">
        <v>104498.09999999999</v>
      </c>
      <c r="Q2442" s="12">
        <v>90198.36</v>
      </c>
      <c r="R2442" s="12">
        <v>14299.739999999991</v>
      </c>
      <c r="S2442" t="s">
        <v>113</v>
      </c>
      <c r="T2442" t="s">
        <v>108</v>
      </c>
      <c r="U2442" t="s">
        <v>1201</v>
      </c>
    </row>
    <row r="2443" spans="1:21" x14ac:dyDescent="0.25">
      <c r="A2443" t="s">
        <v>4490</v>
      </c>
      <c r="B2443" s="8">
        <v>45936</v>
      </c>
      <c r="C2443" t="s">
        <v>1955</v>
      </c>
      <c r="D2443" t="s">
        <v>756</v>
      </c>
      <c r="E2443" t="s">
        <v>198</v>
      </c>
      <c r="F2443">
        <v>39</v>
      </c>
      <c r="G2443" t="s">
        <v>17</v>
      </c>
      <c r="H2443" t="s">
        <v>15</v>
      </c>
      <c r="I2443" t="s">
        <v>28</v>
      </c>
      <c r="J2443" t="s">
        <v>35</v>
      </c>
      <c r="K2443" t="s">
        <v>22</v>
      </c>
      <c r="L2443">
        <v>2</v>
      </c>
      <c r="M2443" s="12">
        <v>16499</v>
      </c>
      <c r="N2443" s="12">
        <v>14519.12</v>
      </c>
      <c r="O2443">
        <v>5</v>
      </c>
      <c r="P2443" s="12">
        <v>31348.1</v>
      </c>
      <c r="Q2443" s="12">
        <v>29038.240000000002</v>
      </c>
      <c r="R2443" s="12">
        <v>2309.8599999999969</v>
      </c>
      <c r="S2443" t="s">
        <v>1249</v>
      </c>
      <c r="T2443" t="s">
        <v>108</v>
      </c>
      <c r="U2443" t="s">
        <v>1199</v>
      </c>
    </row>
    <row r="2444" spans="1:21" x14ac:dyDescent="0.25">
      <c r="A2444" t="s">
        <v>4491</v>
      </c>
      <c r="B2444" s="8">
        <v>45805</v>
      </c>
      <c r="C2444" t="s">
        <v>5088</v>
      </c>
      <c r="D2444" t="s">
        <v>965</v>
      </c>
      <c r="E2444" t="s">
        <v>198</v>
      </c>
      <c r="F2444">
        <v>54</v>
      </c>
      <c r="G2444" t="s">
        <v>2</v>
      </c>
      <c r="H2444" t="s">
        <v>3</v>
      </c>
      <c r="I2444" t="s">
        <v>51</v>
      </c>
      <c r="J2444" t="s">
        <v>54</v>
      </c>
      <c r="K2444" t="s">
        <v>43</v>
      </c>
      <c r="L2444">
        <v>5</v>
      </c>
      <c r="M2444" s="12">
        <v>27499</v>
      </c>
      <c r="N2444" s="12">
        <v>21724.210000000003</v>
      </c>
      <c r="O2444">
        <v>2</v>
      </c>
      <c r="P2444" s="12">
        <v>134745.1</v>
      </c>
      <c r="Q2444" s="12">
        <v>108621.05000000002</v>
      </c>
      <c r="R2444" s="12">
        <v>26124.049999999988</v>
      </c>
      <c r="S2444" t="s">
        <v>1246</v>
      </c>
      <c r="T2444" t="s">
        <v>107</v>
      </c>
      <c r="U2444" t="s">
        <v>1203</v>
      </c>
    </row>
    <row r="2445" spans="1:21" x14ac:dyDescent="0.25">
      <c r="A2445" t="s">
        <v>4492</v>
      </c>
      <c r="B2445" s="8">
        <v>45775</v>
      </c>
      <c r="C2445" t="s">
        <v>3375</v>
      </c>
      <c r="D2445" t="s">
        <v>956</v>
      </c>
      <c r="E2445" t="s">
        <v>218</v>
      </c>
      <c r="F2445">
        <v>21</v>
      </c>
      <c r="G2445" t="s">
        <v>17</v>
      </c>
      <c r="H2445" t="s">
        <v>15</v>
      </c>
      <c r="I2445" t="s">
        <v>32</v>
      </c>
      <c r="J2445" t="s">
        <v>29</v>
      </c>
      <c r="K2445" t="s">
        <v>22</v>
      </c>
      <c r="L2445">
        <v>5</v>
      </c>
      <c r="M2445" s="12">
        <v>9500</v>
      </c>
      <c r="N2445" s="12">
        <v>6650</v>
      </c>
      <c r="O2445">
        <v>3</v>
      </c>
      <c r="P2445" s="12">
        <v>46075</v>
      </c>
      <c r="Q2445" s="12">
        <v>33250</v>
      </c>
      <c r="R2445" s="12">
        <v>12825</v>
      </c>
      <c r="S2445" t="s">
        <v>1246</v>
      </c>
      <c r="T2445" t="s">
        <v>109</v>
      </c>
      <c r="U2445" t="s">
        <v>1194</v>
      </c>
    </row>
    <row r="2446" spans="1:21" x14ac:dyDescent="0.25">
      <c r="A2446" t="s">
        <v>4493</v>
      </c>
      <c r="B2446" s="8">
        <v>45874</v>
      </c>
      <c r="C2446" t="s">
        <v>1472</v>
      </c>
      <c r="D2446" t="s">
        <v>778</v>
      </c>
      <c r="E2446" t="s">
        <v>218</v>
      </c>
      <c r="F2446">
        <v>62</v>
      </c>
      <c r="G2446" t="s">
        <v>16</v>
      </c>
      <c r="H2446" t="s">
        <v>15</v>
      </c>
      <c r="I2446" t="s">
        <v>21</v>
      </c>
      <c r="J2446" t="s">
        <v>23</v>
      </c>
      <c r="K2446" t="s">
        <v>22</v>
      </c>
      <c r="L2446">
        <v>5</v>
      </c>
      <c r="M2446" s="12">
        <v>54999</v>
      </c>
      <c r="N2446" s="12">
        <v>45099.18</v>
      </c>
      <c r="O2446">
        <v>6</v>
      </c>
      <c r="P2446" s="12">
        <v>258495.3</v>
      </c>
      <c r="Q2446" s="12">
        <v>225495.9</v>
      </c>
      <c r="R2446" s="12">
        <v>32999.399999999994</v>
      </c>
      <c r="S2446" t="s">
        <v>1246</v>
      </c>
      <c r="T2446" t="s">
        <v>107</v>
      </c>
      <c r="U2446" t="s">
        <v>1207</v>
      </c>
    </row>
    <row r="2447" spans="1:21" x14ac:dyDescent="0.25">
      <c r="A2447" t="s">
        <v>4494</v>
      </c>
      <c r="B2447" s="8">
        <v>45887</v>
      </c>
      <c r="C2447" t="s">
        <v>2890</v>
      </c>
      <c r="D2447" t="s">
        <v>1095</v>
      </c>
      <c r="E2447" t="s">
        <v>198</v>
      </c>
      <c r="F2447">
        <v>52</v>
      </c>
      <c r="G2447" t="s">
        <v>7</v>
      </c>
      <c r="H2447" t="s">
        <v>8</v>
      </c>
      <c r="I2447" t="s">
        <v>47</v>
      </c>
      <c r="J2447" t="s">
        <v>52</v>
      </c>
      <c r="K2447" t="s">
        <v>43</v>
      </c>
      <c r="L2447">
        <v>5</v>
      </c>
      <c r="M2447" s="12">
        <v>42999</v>
      </c>
      <c r="N2447" s="12">
        <v>33539.22</v>
      </c>
      <c r="O2447">
        <v>9</v>
      </c>
      <c r="P2447" s="12">
        <v>195645.45</v>
      </c>
      <c r="Q2447" s="12">
        <v>167696.1</v>
      </c>
      <c r="R2447" s="12">
        <v>27949.350000000006</v>
      </c>
      <c r="S2447" t="s">
        <v>1246</v>
      </c>
      <c r="T2447" t="s">
        <v>108</v>
      </c>
      <c r="U2447" t="s">
        <v>1201</v>
      </c>
    </row>
    <row r="2448" spans="1:21" x14ac:dyDescent="0.25">
      <c r="A2448" t="s">
        <v>4495</v>
      </c>
      <c r="B2448" s="8">
        <v>45698</v>
      </c>
      <c r="C2448" t="s">
        <v>1843</v>
      </c>
      <c r="D2448" t="s">
        <v>985</v>
      </c>
      <c r="E2448" t="s">
        <v>218</v>
      </c>
      <c r="F2448">
        <v>21</v>
      </c>
      <c r="G2448" t="s">
        <v>7</v>
      </c>
      <c r="H2448" t="s">
        <v>8</v>
      </c>
      <c r="I2448" t="s">
        <v>55</v>
      </c>
      <c r="J2448" t="s">
        <v>65</v>
      </c>
      <c r="K2448" t="s">
        <v>64</v>
      </c>
      <c r="L2448">
        <v>2</v>
      </c>
      <c r="M2448" s="12">
        <v>80</v>
      </c>
      <c r="N2448" s="12">
        <v>56</v>
      </c>
      <c r="O2448">
        <v>1</v>
      </c>
      <c r="P2448" s="12">
        <v>158.4</v>
      </c>
      <c r="Q2448" s="12">
        <v>112</v>
      </c>
      <c r="R2448" s="12">
        <v>46.400000000000006</v>
      </c>
      <c r="S2448" t="s">
        <v>113</v>
      </c>
      <c r="T2448" t="s">
        <v>108</v>
      </c>
      <c r="U2448" t="s">
        <v>1209</v>
      </c>
    </row>
    <row r="2449" spans="1:21" x14ac:dyDescent="0.25">
      <c r="A2449" t="s">
        <v>4496</v>
      </c>
      <c r="B2449" s="8">
        <v>45970</v>
      </c>
      <c r="C2449" t="s">
        <v>2294</v>
      </c>
      <c r="D2449" t="s">
        <v>1165</v>
      </c>
      <c r="E2449" t="s">
        <v>198</v>
      </c>
      <c r="F2449">
        <v>26</v>
      </c>
      <c r="G2449" t="s">
        <v>9</v>
      </c>
      <c r="H2449" t="s">
        <v>8</v>
      </c>
      <c r="I2449" t="s">
        <v>59</v>
      </c>
      <c r="J2449" t="s">
        <v>73</v>
      </c>
      <c r="K2449" t="s">
        <v>64</v>
      </c>
      <c r="L2449">
        <v>1</v>
      </c>
      <c r="M2449" s="12">
        <v>120</v>
      </c>
      <c r="N2449" s="12">
        <v>81.599999999999994</v>
      </c>
      <c r="O2449">
        <v>4</v>
      </c>
      <c r="P2449" s="12">
        <v>115.19999999999999</v>
      </c>
      <c r="Q2449" s="12">
        <v>81.599999999999994</v>
      </c>
      <c r="R2449" s="12">
        <v>33.599999999999994</v>
      </c>
      <c r="S2449" t="s">
        <v>1246</v>
      </c>
      <c r="T2449" t="s">
        <v>109</v>
      </c>
      <c r="U2449" t="s">
        <v>1194</v>
      </c>
    </row>
    <row r="2450" spans="1:21" x14ac:dyDescent="0.25">
      <c r="A2450" t="s">
        <v>4497</v>
      </c>
      <c r="B2450" s="8">
        <v>45763</v>
      </c>
      <c r="C2450" t="s">
        <v>3333</v>
      </c>
      <c r="D2450" t="s">
        <v>392</v>
      </c>
      <c r="E2450" t="s">
        <v>198</v>
      </c>
      <c r="F2450">
        <v>19</v>
      </c>
      <c r="G2450" t="s">
        <v>14</v>
      </c>
      <c r="H2450" t="s">
        <v>15</v>
      </c>
      <c r="I2450" t="s">
        <v>49</v>
      </c>
      <c r="J2450" t="s">
        <v>56</v>
      </c>
      <c r="K2450" t="s">
        <v>43</v>
      </c>
      <c r="L2450">
        <v>2</v>
      </c>
      <c r="M2450" s="12">
        <v>31999</v>
      </c>
      <c r="N2450" s="12">
        <v>25599.200000000001</v>
      </c>
      <c r="O2450">
        <v>9</v>
      </c>
      <c r="P2450" s="12">
        <v>58238.18</v>
      </c>
      <c r="Q2450" s="12">
        <v>51198.400000000001</v>
      </c>
      <c r="R2450" s="12">
        <v>7039.7799999999988</v>
      </c>
      <c r="S2450" t="s">
        <v>1246</v>
      </c>
      <c r="T2450" t="s">
        <v>110</v>
      </c>
      <c r="U2450" t="s">
        <v>1211</v>
      </c>
    </row>
    <row r="2451" spans="1:21" x14ac:dyDescent="0.25">
      <c r="A2451" t="s">
        <v>4498</v>
      </c>
      <c r="B2451" s="8">
        <v>45803</v>
      </c>
      <c r="C2451" t="s">
        <v>2741</v>
      </c>
      <c r="D2451" t="s">
        <v>819</v>
      </c>
      <c r="E2451" t="s">
        <v>198</v>
      </c>
      <c r="F2451">
        <v>60</v>
      </c>
      <c r="G2451" t="s">
        <v>7</v>
      </c>
      <c r="H2451" t="s">
        <v>8</v>
      </c>
      <c r="I2451" t="s">
        <v>36</v>
      </c>
      <c r="J2451" t="s">
        <v>136</v>
      </c>
      <c r="K2451" t="s">
        <v>22</v>
      </c>
      <c r="L2451">
        <v>1</v>
      </c>
      <c r="M2451" s="12">
        <v>3590</v>
      </c>
      <c r="N2451" s="12">
        <v>2333.5</v>
      </c>
      <c r="O2451">
        <v>6</v>
      </c>
      <c r="P2451" s="12">
        <v>3374.6</v>
      </c>
      <c r="Q2451" s="12">
        <v>2333.5</v>
      </c>
      <c r="R2451" s="12">
        <v>1041.0999999999999</v>
      </c>
      <c r="S2451" t="s">
        <v>1246</v>
      </c>
      <c r="T2451" t="s">
        <v>110</v>
      </c>
      <c r="U2451" t="s">
        <v>1198</v>
      </c>
    </row>
    <row r="2452" spans="1:21" x14ac:dyDescent="0.25">
      <c r="A2452" t="s">
        <v>4499</v>
      </c>
      <c r="B2452" s="8">
        <v>45990</v>
      </c>
      <c r="C2452" t="s">
        <v>1524</v>
      </c>
      <c r="D2452" t="s">
        <v>398</v>
      </c>
      <c r="E2452" t="s">
        <v>198</v>
      </c>
      <c r="F2452">
        <v>61</v>
      </c>
      <c r="G2452" t="s">
        <v>7</v>
      </c>
      <c r="H2452" t="s">
        <v>8</v>
      </c>
      <c r="I2452" t="s">
        <v>49</v>
      </c>
      <c r="J2452" t="s">
        <v>56</v>
      </c>
      <c r="K2452" t="s">
        <v>43</v>
      </c>
      <c r="L2452">
        <v>3</v>
      </c>
      <c r="M2452" s="12">
        <v>31999</v>
      </c>
      <c r="N2452" s="12">
        <v>25599.200000000001</v>
      </c>
      <c r="O2452">
        <v>20</v>
      </c>
      <c r="P2452" s="12">
        <v>76797.600000000006</v>
      </c>
      <c r="Q2452" s="12">
        <v>76797.600000000006</v>
      </c>
      <c r="R2452" s="12">
        <v>0</v>
      </c>
      <c r="S2452" t="s">
        <v>113</v>
      </c>
      <c r="T2452" t="s">
        <v>107</v>
      </c>
      <c r="U2452" t="s">
        <v>1203</v>
      </c>
    </row>
    <row r="2453" spans="1:21" x14ac:dyDescent="0.25">
      <c r="A2453" t="s">
        <v>4500</v>
      </c>
      <c r="B2453" s="8">
        <v>45932</v>
      </c>
      <c r="C2453" t="s">
        <v>1387</v>
      </c>
      <c r="D2453" t="s">
        <v>655</v>
      </c>
      <c r="E2453" t="s">
        <v>218</v>
      </c>
      <c r="F2453">
        <v>54</v>
      </c>
      <c r="G2453" t="s">
        <v>14</v>
      </c>
      <c r="H2453" t="s">
        <v>15</v>
      </c>
      <c r="I2453" t="s">
        <v>30</v>
      </c>
      <c r="J2453" t="s">
        <v>41</v>
      </c>
      <c r="K2453" t="s">
        <v>22</v>
      </c>
      <c r="L2453">
        <v>5</v>
      </c>
      <c r="M2453" s="12">
        <v>13749</v>
      </c>
      <c r="N2453" s="12">
        <v>10999.2</v>
      </c>
      <c r="O2453">
        <v>3</v>
      </c>
      <c r="P2453" s="12">
        <v>66682.649999999994</v>
      </c>
      <c r="Q2453" s="12">
        <v>54996</v>
      </c>
      <c r="R2453" s="12">
        <v>11686.649999999994</v>
      </c>
      <c r="S2453" t="s">
        <v>1246</v>
      </c>
      <c r="T2453" t="s">
        <v>108</v>
      </c>
      <c r="U2453" t="s">
        <v>1199</v>
      </c>
    </row>
    <row r="2454" spans="1:21" x14ac:dyDescent="0.25">
      <c r="A2454" t="s">
        <v>4501</v>
      </c>
      <c r="B2454" s="8">
        <v>45988</v>
      </c>
      <c r="C2454" t="s">
        <v>1569</v>
      </c>
      <c r="D2454" t="s">
        <v>1012</v>
      </c>
      <c r="E2454" t="s">
        <v>218</v>
      </c>
      <c r="F2454">
        <v>23</v>
      </c>
      <c r="G2454" t="s">
        <v>290</v>
      </c>
      <c r="H2454" t="s">
        <v>3</v>
      </c>
      <c r="I2454" t="s">
        <v>28</v>
      </c>
      <c r="J2454" t="s">
        <v>35</v>
      </c>
      <c r="K2454" t="s">
        <v>22</v>
      </c>
      <c r="L2454">
        <v>3</v>
      </c>
      <c r="M2454" s="12">
        <v>16499</v>
      </c>
      <c r="N2454" s="12">
        <v>14519.12</v>
      </c>
      <c r="O2454">
        <v>11</v>
      </c>
      <c r="P2454" s="12">
        <v>44052.33</v>
      </c>
      <c r="Q2454" s="12">
        <v>43557.36</v>
      </c>
      <c r="R2454" s="12">
        <v>494.97000000000116</v>
      </c>
      <c r="S2454" t="s">
        <v>1249</v>
      </c>
      <c r="T2454" t="s">
        <v>107</v>
      </c>
      <c r="U2454" t="s">
        <v>1196</v>
      </c>
    </row>
    <row r="2455" spans="1:21" x14ac:dyDescent="0.25">
      <c r="A2455" t="s">
        <v>4503</v>
      </c>
      <c r="B2455" s="8">
        <v>45778</v>
      </c>
      <c r="C2455" t="s">
        <v>1322</v>
      </c>
      <c r="D2455" t="s">
        <v>737</v>
      </c>
      <c r="E2455" t="s">
        <v>198</v>
      </c>
      <c r="F2455">
        <v>56</v>
      </c>
      <c r="G2455" t="s">
        <v>2</v>
      </c>
      <c r="H2455" t="s">
        <v>3</v>
      </c>
      <c r="I2455" t="s">
        <v>32</v>
      </c>
      <c r="J2455" t="s">
        <v>29</v>
      </c>
      <c r="K2455" t="s">
        <v>22</v>
      </c>
      <c r="L2455">
        <v>5</v>
      </c>
      <c r="M2455" s="12">
        <v>9500</v>
      </c>
      <c r="N2455" s="12">
        <v>6650</v>
      </c>
      <c r="O2455">
        <v>8</v>
      </c>
      <c r="P2455" s="12">
        <v>43700</v>
      </c>
      <c r="Q2455" s="12">
        <v>33250</v>
      </c>
      <c r="R2455" s="12">
        <v>10450</v>
      </c>
      <c r="S2455" t="s">
        <v>1246</v>
      </c>
      <c r="T2455" t="s">
        <v>109</v>
      </c>
      <c r="U2455" t="s">
        <v>1199</v>
      </c>
    </row>
    <row r="2456" spans="1:21" x14ac:dyDescent="0.25">
      <c r="A2456" t="s">
        <v>4504</v>
      </c>
      <c r="B2456" s="8">
        <v>45865</v>
      </c>
      <c r="C2456" t="s">
        <v>2634</v>
      </c>
      <c r="D2456" t="s">
        <v>419</v>
      </c>
      <c r="E2456" t="s">
        <v>198</v>
      </c>
      <c r="F2456">
        <v>18</v>
      </c>
      <c r="G2456" t="s">
        <v>290</v>
      </c>
      <c r="H2456" t="s">
        <v>3</v>
      </c>
      <c r="I2456" t="s">
        <v>51</v>
      </c>
      <c r="J2456" t="s">
        <v>54</v>
      </c>
      <c r="K2456" t="s">
        <v>43</v>
      </c>
      <c r="L2456">
        <v>1</v>
      </c>
      <c r="M2456" s="12">
        <v>27499</v>
      </c>
      <c r="N2456" s="12">
        <v>21724.210000000003</v>
      </c>
      <c r="O2456">
        <v>5</v>
      </c>
      <c r="P2456" s="12">
        <v>26124.05</v>
      </c>
      <c r="Q2456" s="12">
        <v>21724.210000000003</v>
      </c>
      <c r="R2456" s="12">
        <v>4399.8399999999965</v>
      </c>
      <c r="S2456" t="s">
        <v>1246</v>
      </c>
      <c r="T2456" t="s">
        <v>108</v>
      </c>
      <c r="U2456" t="s">
        <v>1196</v>
      </c>
    </row>
    <row r="2457" spans="1:21" x14ac:dyDescent="0.25">
      <c r="A2457" t="s">
        <v>4505</v>
      </c>
      <c r="B2457" s="8">
        <v>45742</v>
      </c>
      <c r="C2457" t="s">
        <v>1656</v>
      </c>
      <c r="D2457" t="s">
        <v>906</v>
      </c>
      <c r="E2457" t="s">
        <v>218</v>
      </c>
      <c r="F2457">
        <v>65</v>
      </c>
      <c r="G2457" t="s">
        <v>2</v>
      </c>
      <c r="H2457" t="s">
        <v>3</v>
      </c>
      <c r="I2457" t="s">
        <v>28</v>
      </c>
      <c r="J2457" t="s">
        <v>35</v>
      </c>
      <c r="K2457" t="s">
        <v>22</v>
      </c>
      <c r="L2457">
        <v>5</v>
      </c>
      <c r="M2457" s="12">
        <v>16499</v>
      </c>
      <c r="N2457" s="12">
        <v>14519.12</v>
      </c>
      <c r="O2457">
        <v>4</v>
      </c>
      <c r="P2457" s="12">
        <v>79195.199999999997</v>
      </c>
      <c r="Q2457" s="12">
        <v>72595.600000000006</v>
      </c>
      <c r="R2457" s="12">
        <v>6599.5999999999913</v>
      </c>
      <c r="S2457" t="s">
        <v>1246</v>
      </c>
      <c r="T2457" t="s">
        <v>108</v>
      </c>
      <c r="U2457" t="s">
        <v>1199</v>
      </c>
    </row>
    <row r="2458" spans="1:21" x14ac:dyDescent="0.25">
      <c r="A2458" t="s">
        <v>4506</v>
      </c>
      <c r="B2458" s="8">
        <v>45658</v>
      </c>
      <c r="C2458" t="s">
        <v>3724</v>
      </c>
      <c r="D2458" t="s">
        <v>1119</v>
      </c>
      <c r="E2458" t="s">
        <v>198</v>
      </c>
      <c r="F2458">
        <v>22</v>
      </c>
      <c r="G2458" t="s">
        <v>2</v>
      </c>
      <c r="H2458" t="s">
        <v>3</v>
      </c>
      <c r="I2458" t="s">
        <v>63</v>
      </c>
      <c r="J2458" t="s">
        <v>77</v>
      </c>
      <c r="K2458" t="s">
        <v>64</v>
      </c>
      <c r="L2458">
        <v>2</v>
      </c>
      <c r="M2458" s="12">
        <v>650</v>
      </c>
      <c r="N2458" s="12">
        <v>468</v>
      </c>
      <c r="O2458">
        <v>10</v>
      </c>
      <c r="P2458" s="12">
        <v>1170</v>
      </c>
      <c r="Q2458" s="12">
        <v>936</v>
      </c>
      <c r="R2458" s="12">
        <v>234</v>
      </c>
      <c r="S2458" t="s">
        <v>1246</v>
      </c>
      <c r="T2458" t="s">
        <v>107</v>
      </c>
      <c r="U2458" t="s">
        <v>1199</v>
      </c>
    </row>
    <row r="2459" spans="1:21" x14ac:dyDescent="0.25">
      <c r="A2459" t="s">
        <v>4507</v>
      </c>
      <c r="B2459" s="8">
        <v>45671</v>
      </c>
      <c r="C2459" t="s">
        <v>2068</v>
      </c>
      <c r="D2459" t="s">
        <v>775</v>
      </c>
      <c r="E2459" t="s">
        <v>218</v>
      </c>
      <c r="F2459">
        <v>60</v>
      </c>
      <c r="G2459" t="s">
        <v>14</v>
      </c>
      <c r="H2459" t="s">
        <v>15</v>
      </c>
      <c r="I2459" t="s">
        <v>38</v>
      </c>
      <c r="J2459" t="s">
        <v>37</v>
      </c>
      <c r="K2459" t="s">
        <v>22</v>
      </c>
      <c r="L2459">
        <v>4</v>
      </c>
      <c r="M2459" s="12">
        <v>1650</v>
      </c>
      <c r="N2459" s="12">
        <v>990</v>
      </c>
      <c r="O2459">
        <v>9</v>
      </c>
      <c r="P2459" s="12">
        <v>6006</v>
      </c>
      <c r="Q2459" s="12">
        <v>3960</v>
      </c>
      <c r="R2459" s="12">
        <v>2046</v>
      </c>
      <c r="S2459" t="s">
        <v>1246</v>
      </c>
      <c r="T2459" t="s">
        <v>111</v>
      </c>
      <c r="U2459" t="s">
        <v>1205</v>
      </c>
    </row>
    <row r="2460" spans="1:21" x14ac:dyDescent="0.25">
      <c r="A2460" t="s">
        <v>4508</v>
      </c>
      <c r="B2460" s="8">
        <v>45807</v>
      </c>
      <c r="C2460" t="s">
        <v>2969</v>
      </c>
      <c r="D2460" t="s">
        <v>539</v>
      </c>
      <c r="E2460" t="s">
        <v>218</v>
      </c>
      <c r="F2460">
        <v>27</v>
      </c>
      <c r="G2460" t="s">
        <v>11</v>
      </c>
      <c r="H2460" t="s">
        <v>12</v>
      </c>
      <c r="I2460" t="s">
        <v>30</v>
      </c>
      <c r="J2460" t="s">
        <v>41</v>
      </c>
      <c r="K2460" t="s">
        <v>22</v>
      </c>
      <c r="L2460">
        <v>1</v>
      </c>
      <c r="M2460" s="12">
        <v>13749</v>
      </c>
      <c r="N2460" s="12">
        <v>10999.2</v>
      </c>
      <c r="O2460">
        <v>7</v>
      </c>
      <c r="P2460" s="12">
        <v>12786.57</v>
      </c>
      <c r="Q2460" s="12">
        <v>10999.2</v>
      </c>
      <c r="R2460" s="12">
        <v>1787.369999999999</v>
      </c>
      <c r="S2460" t="s">
        <v>1246</v>
      </c>
      <c r="T2460" t="s">
        <v>109</v>
      </c>
      <c r="U2460" t="s">
        <v>1196</v>
      </c>
    </row>
    <row r="2461" spans="1:21" x14ac:dyDescent="0.25">
      <c r="A2461" t="s">
        <v>4509</v>
      </c>
      <c r="B2461" s="8">
        <v>45889</v>
      </c>
      <c r="C2461" t="s">
        <v>4700</v>
      </c>
      <c r="D2461" t="s">
        <v>365</v>
      </c>
      <c r="E2461" t="s">
        <v>218</v>
      </c>
      <c r="F2461">
        <v>43</v>
      </c>
      <c r="G2461" t="s">
        <v>10</v>
      </c>
      <c r="H2461" t="s">
        <v>8</v>
      </c>
      <c r="I2461" t="s">
        <v>28</v>
      </c>
      <c r="J2461" t="s">
        <v>35</v>
      </c>
      <c r="K2461" t="s">
        <v>22</v>
      </c>
      <c r="L2461">
        <v>5</v>
      </c>
      <c r="M2461" s="12">
        <v>16499</v>
      </c>
      <c r="N2461" s="12">
        <v>14519.12</v>
      </c>
      <c r="O2461">
        <v>7</v>
      </c>
      <c r="P2461" s="12">
        <v>76720.349999999991</v>
      </c>
      <c r="Q2461" s="12">
        <v>72595.600000000006</v>
      </c>
      <c r="R2461" s="12">
        <v>4124.7499999999854</v>
      </c>
      <c r="S2461" t="s">
        <v>1246</v>
      </c>
      <c r="T2461" t="s">
        <v>110</v>
      </c>
      <c r="U2461" t="s">
        <v>1194</v>
      </c>
    </row>
    <row r="2462" spans="1:21" x14ac:dyDescent="0.25">
      <c r="A2462" t="s">
        <v>4510</v>
      </c>
      <c r="B2462" s="8">
        <v>45740</v>
      </c>
      <c r="C2462" t="s">
        <v>2219</v>
      </c>
      <c r="D2462" t="s">
        <v>1160</v>
      </c>
      <c r="E2462" t="s">
        <v>198</v>
      </c>
      <c r="F2462">
        <v>49</v>
      </c>
      <c r="G2462" t="s">
        <v>14</v>
      </c>
      <c r="H2462" t="s">
        <v>15</v>
      </c>
      <c r="I2462" t="s">
        <v>30</v>
      </c>
      <c r="J2462" t="s">
        <v>41</v>
      </c>
      <c r="K2462" t="s">
        <v>22</v>
      </c>
      <c r="L2462">
        <v>2</v>
      </c>
      <c r="M2462" s="12">
        <v>13749</v>
      </c>
      <c r="N2462" s="12">
        <v>10999.2</v>
      </c>
      <c r="O2462">
        <v>8</v>
      </c>
      <c r="P2462" s="12">
        <v>25298.16</v>
      </c>
      <c r="Q2462" s="12">
        <v>21998.400000000001</v>
      </c>
      <c r="R2462" s="12">
        <v>3299.7599999999984</v>
      </c>
      <c r="S2462" t="s">
        <v>113</v>
      </c>
      <c r="T2462" t="s">
        <v>107</v>
      </c>
      <c r="U2462" t="s">
        <v>1201</v>
      </c>
    </row>
    <row r="2463" spans="1:21" x14ac:dyDescent="0.25">
      <c r="A2463" t="s">
        <v>4511</v>
      </c>
      <c r="B2463" s="8">
        <v>45702</v>
      </c>
      <c r="C2463" t="s">
        <v>1485</v>
      </c>
      <c r="D2463" t="s">
        <v>435</v>
      </c>
      <c r="E2463" t="s">
        <v>198</v>
      </c>
      <c r="F2463">
        <v>55</v>
      </c>
      <c r="G2463" t="s">
        <v>10</v>
      </c>
      <c r="H2463" t="s">
        <v>8</v>
      </c>
      <c r="I2463" t="s">
        <v>57</v>
      </c>
      <c r="J2463" t="s">
        <v>67</v>
      </c>
      <c r="K2463" t="s">
        <v>64</v>
      </c>
      <c r="L2463">
        <v>2</v>
      </c>
      <c r="M2463" s="12">
        <v>150</v>
      </c>
      <c r="N2463" s="12">
        <v>97.5</v>
      </c>
      <c r="O2463">
        <v>0</v>
      </c>
      <c r="P2463" s="12">
        <v>300</v>
      </c>
      <c r="Q2463" s="12">
        <v>195</v>
      </c>
      <c r="R2463" s="12">
        <v>105</v>
      </c>
      <c r="S2463" t="s">
        <v>1249</v>
      </c>
      <c r="T2463" t="s">
        <v>109</v>
      </c>
      <c r="U2463" t="s">
        <v>1198</v>
      </c>
    </row>
    <row r="2464" spans="1:21" x14ac:dyDescent="0.25">
      <c r="A2464" t="s">
        <v>4512</v>
      </c>
      <c r="B2464" s="8">
        <v>45982</v>
      </c>
      <c r="C2464" t="s">
        <v>4676</v>
      </c>
      <c r="D2464" t="s">
        <v>609</v>
      </c>
      <c r="E2464" t="s">
        <v>198</v>
      </c>
      <c r="F2464">
        <v>33</v>
      </c>
      <c r="G2464" t="s">
        <v>5</v>
      </c>
      <c r="H2464" t="s">
        <v>3</v>
      </c>
      <c r="I2464" t="s">
        <v>55</v>
      </c>
      <c r="J2464" t="s">
        <v>65</v>
      </c>
      <c r="K2464" t="s">
        <v>64</v>
      </c>
      <c r="L2464">
        <v>5</v>
      </c>
      <c r="M2464" s="12">
        <v>80</v>
      </c>
      <c r="N2464" s="12">
        <v>56</v>
      </c>
      <c r="O2464">
        <v>7</v>
      </c>
      <c r="P2464" s="12">
        <v>372</v>
      </c>
      <c r="Q2464" s="12">
        <v>280</v>
      </c>
      <c r="R2464" s="12">
        <v>92</v>
      </c>
      <c r="S2464" t="s">
        <v>113</v>
      </c>
      <c r="T2464" t="s">
        <v>107</v>
      </c>
      <c r="U2464" t="s">
        <v>1194</v>
      </c>
    </row>
    <row r="2465" spans="1:21" x14ac:dyDescent="0.25">
      <c r="A2465" t="s">
        <v>4513</v>
      </c>
      <c r="B2465" s="8">
        <v>45874</v>
      </c>
      <c r="C2465" t="s">
        <v>3812</v>
      </c>
      <c r="D2465" t="s">
        <v>837</v>
      </c>
      <c r="E2465" t="s">
        <v>198</v>
      </c>
      <c r="F2465">
        <v>47</v>
      </c>
      <c r="G2465" t="s">
        <v>290</v>
      </c>
      <c r="H2465" t="s">
        <v>3</v>
      </c>
      <c r="I2465" t="s">
        <v>24</v>
      </c>
      <c r="J2465" t="s">
        <v>25</v>
      </c>
      <c r="K2465" t="s">
        <v>22</v>
      </c>
      <c r="L2465">
        <v>1</v>
      </c>
      <c r="M2465" s="12">
        <v>35800</v>
      </c>
      <c r="N2465" s="12">
        <v>28640</v>
      </c>
      <c r="O2465">
        <v>6</v>
      </c>
      <c r="P2465" s="12">
        <v>33652</v>
      </c>
      <c r="Q2465" s="12">
        <v>28640</v>
      </c>
      <c r="R2465" s="12">
        <v>5012</v>
      </c>
      <c r="S2465" t="s">
        <v>1246</v>
      </c>
      <c r="T2465" t="s">
        <v>108</v>
      </c>
      <c r="U2465" t="s">
        <v>1199</v>
      </c>
    </row>
    <row r="2466" spans="1:21" x14ac:dyDescent="0.25">
      <c r="A2466" t="s">
        <v>4514</v>
      </c>
      <c r="B2466" s="8">
        <v>45863</v>
      </c>
      <c r="C2466" t="s">
        <v>2441</v>
      </c>
      <c r="D2466" t="s">
        <v>735</v>
      </c>
      <c r="E2466" t="s">
        <v>198</v>
      </c>
      <c r="F2466">
        <v>36</v>
      </c>
      <c r="G2466" t="s">
        <v>14</v>
      </c>
      <c r="H2466" t="s">
        <v>15</v>
      </c>
      <c r="I2466" t="s">
        <v>59</v>
      </c>
      <c r="J2466" t="s">
        <v>73</v>
      </c>
      <c r="K2466" t="s">
        <v>64</v>
      </c>
      <c r="L2466">
        <v>5</v>
      </c>
      <c r="M2466" s="12">
        <v>120</v>
      </c>
      <c r="N2466" s="12">
        <v>81.599999999999994</v>
      </c>
      <c r="O2466">
        <v>4</v>
      </c>
      <c r="P2466" s="12">
        <v>576</v>
      </c>
      <c r="Q2466" s="12">
        <v>408</v>
      </c>
      <c r="R2466" s="12">
        <v>168</v>
      </c>
      <c r="S2466" t="s">
        <v>1246</v>
      </c>
      <c r="T2466" t="s">
        <v>108</v>
      </c>
      <c r="U2466" t="s">
        <v>1209</v>
      </c>
    </row>
    <row r="2467" spans="1:21" x14ac:dyDescent="0.25">
      <c r="A2467" t="s">
        <v>4515</v>
      </c>
      <c r="B2467" s="8">
        <v>45684</v>
      </c>
      <c r="C2467" t="s">
        <v>2735</v>
      </c>
      <c r="D2467" t="s">
        <v>793</v>
      </c>
      <c r="E2467" t="s">
        <v>198</v>
      </c>
      <c r="F2467">
        <v>35</v>
      </c>
      <c r="G2467" t="s">
        <v>9</v>
      </c>
      <c r="H2467" t="s">
        <v>8</v>
      </c>
      <c r="I2467" t="s">
        <v>47</v>
      </c>
      <c r="J2467" t="s">
        <v>52</v>
      </c>
      <c r="K2467" t="s">
        <v>43</v>
      </c>
      <c r="L2467">
        <v>1</v>
      </c>
      <c r="M2467" s="12">
        <v>42999</v>
      </c>
      <c r="N2467" s="12">
        <v>33539.22</v>
      </c>
      <c r="O2467">
        <v>4</v>
      </c>
      <c r="P2467" s="12">
        <v>41279.040000000001</v>
      </c>
      <c r="Q2467" s="12">
        <v>33539.22</v>
      </c>
      <c r="R2467" s="12">
        <v>7739.82</v>
      </c>
      <c r="S2467" t="s">
        <v>113</v>
      </c>
      <c r="T2467" t="s">
        <v>109</v>
      </c>
      <c r="U2467" t="s">
        <v>1205</v>
      </c>
    </row>
    <row r="2468" spans="1:21" x14ac:dyDescent="0.25">
      <c r="A2468" t="s">
        <v>4516</v>
      </c>
      <c r="B2468" s="8">
        <v>45866</v>
      </c>
      <c r="C2468" t="s">
        <v>5091</v>
      </c>
      <c r="D2468" t="s">
        <v>717</v>
      </c>
      <c r="E2468" t="s">
        <v>198</v>
      </c>
      <c r="F2468">
        <v>47</v>
      </c>
      <c r="G2468" t="s">
        <v>14</v>
      </c>
      <c r="H2468" t="s">
        <v>15</v>
      </c>
      <c r="I2468" t="s">
        <v>55</v>
      </c>
      <c r="J2468" t="s">
        <v>65</v>
      </c>
      <c r="K2468" t="s">
        <v>64</v>
      </c>
      <c r="L2468">
        <v>2</v>
      </c>
      <c r="M2468" s="12">
        <v>80</v>
      </c>
      <c r="N2468" s="12">
        <v>56</v>
      </c>
      <c r="O2468">
        <v>1</v>
      </c>
      <c r="P2468" s="12">
        <v>158.4</v>
      </c>
      <c r="Q2468" s="12">
        <v>112</v>
      </c>
      <c r="R2468" s="12">
        <v>46.400000000000006</v>
      </c>
      <c r="S2468" t="s">
        <v>1246</v>
      </c>
      <c r="T2468" t="s">
        <v>108</v>
      </c>
      <c r="U2468" t="s">
        <v>1205</v>
      </c>
    </row>
    <row r="2469" spans="1:21" x14ac:dyDescent="0.25">
      <c r="A2469" t="s">
        <v>4517</v>
      </c>
      <c r="B2469" s="8">
        <v>45793</v>
      </c>
      <c r="C2469" t="s">
        <v>3895</v>
      </c>
      <c r="D2469" t="s">
        <v>1106</v>
      </c>
      <c r="E2469" t="s">
        <v>198</v>
      </c>
      <c r="F2469">
        <v>41</v>
      </c>
      <c r="G2469" t="s">
        <v>290</v>
      </c>
      <c r="H2469" t="s">
        <v>3</v>
      </c>
      <c r="I2469" t="s">
        <v>26</v>
      </c>
      <c r="J2469" t="s">
        <v>27</v>
      </c>
      <c r="K2469" t="s">
        <v>22</v>
      </c>
      <c r="L2469">
        <v>4</v>
      </c>
      <c r="M2469" s="12">
        <v>27499</v>
      </c>
      <c r="N2469" s="12">
        <v>23374.149999999998</v>
      </c>
      <c r="O2469">
        <v>7</v>
      </c>
      <c r="P2469" s="12">
        <v>102296.28</v>
      </c>
      <c r="Q2469" s="12">
        <v>93496.599999999991</v>
      </c>
      <c r="R2469" s="12">
        <v>8799.6800000000076</v>
      </c>
      <c r="S2469" t="s">
        <v>1246</v>
      </c>
      <c r="T2469" t="s">
        <v>107</v>
      </c>
      <c r="U2469" t="s">
        <v>1201</v>
      </c>
    </row>
    <row r="2470" spans="1:21" x14ac:dyDescent="0.25">
      <c r="A2470" t="s">
        <v>4518</v>
      </c>
      <c r="B2470" s="8">
        <v>45933</v>
      </c>
      <c r="C2470" t="s">
        <v>3750</v>
      </c>
      <c r="D2470" t="s">
        <v>579</v>
      </c>
      <c r="E2470" t="s">
        <v>198</v>
      </c>
      <c r="F2470">
        <v>18</v>
      </c>
      <c r="G2470" t="s">
        <v>14</v>
      </c>
      <c r="H2470" t="s">
        <v>15</v>
      </c>
      <c r="I2470" t="s">
        <v>45</v>
      </c>
      <c r="J2470" t="s">
        <v>46</v>
      </c>
      <c r="K2470" t="s">
        <v>43</v>
      </c>
      <c r="L2470">
        <v>5</v>
      </c>
      <c r="M2470" s="12">
        <v>11999</v>
      </c>
      <c r="N2470" s="12">
        <v>8999.25</v>
      </c>
      <c r="O2470">
        <v>9</v>
      </c>
      <c r="P2470" s="12">
        <v>54595.450000000004</v>
      </c>
      <c r="Q2470" s="12">
        <v>44996.25</v>
      </c>
      <c r="R2470" s="12">
        <v>9599.2000000000044</v>
      </c>
      <c r="S2470" t="s">
        <v>113</v>
      </c>
      <c r="T2470" t="s">
        <v>108</v>
      </c>
      <c r="U2470" t="s">
        <v>1209</v>
      </c>
    </row>
    <row r="2471" spans="1:21" x14ac:dyDescent="0.25">
      <c r="A2471" t="s">
        <v>4519</v>
      </c>
      <c r="B2471" s="8">
        <v>45841</v>
      </c>
      <c r="C2471" t="s">
        <v>2240</v>
      </c>
      <c r="D2471" t="s">
        <v>1096</v>
      </c>
      <c r="E2471" t="s">
        <v>218</v>
      </c>
      <c r="F2471">
        <v>19</v>
      </c>
      <c r="G2471" t="s">
        <v>289</v>
      </c>
      <c r="H2471" t="s">
        <v>3</v>
      </c>
      <c r="I2471" t="s">
        <v>57</v>
      </c>
      <c r="J2471" t="s">
        <v>67</v>
      </c>
      <c r="K2471" t="s">
        <v>64</v>
      </c>
      <c r="L2471">
        <v>4</v>
      </c>
      <c r="M2471" s="12">
        <v>150</v>
      </c>
      <c r="N2471" s="12">
        <v>97.5</v>
      </c>
      <c r="O2471">
        <v>5</v>
      </c>
      <c r="P2471" s="12">
        <v>570</v>
      </c>
      <c r="Q2471" s="12">
        <v>390</v>
      </c>
      <c r="R2471" s="12">
        <v>180</v>
      </c>
      <c r="S2471" t="s">
        <v>113</v>
      </c>
      <c r="T2471" t="s">
        <v>111</v>
      </c>
      <c r="U2471" t="s">
        <v>1205</v>
      </c>
    </row>
    <row r="2472" spans="1:21" x14ac:dyDescent="0.25">
      <c r="A2472" t="s">
        <v>4520</v>
      </c>
      <c r="B2472" s="8">
        <v>46004</v>
      </c>
      <c r="C2472" t="s">
        <v>1287</v>
      </c>
      <c r="D2472" t="s">
        <v>394</v>
      </c>
      <c r="E2472" t="s">
        <v>218</v>
      </c>
      <c r="F2472">
        <v>59</v>
      </c>
      <c r="G2472" t="s">
        <v>10</v>
      </c>
      <c r="H2472" t="s">
        <v>8</v>
      </c>
      <c r="I2472" t="s">
        <v>45</v>
      </c>
      <c r="J2472" t="s">
        <v>46</v>
      </c>
      <c r="K2472" t="s">
        <v>43</v>
      </c>
      <c r="L2472">
        <v>5</v>
      </c>
      <c r="M2472" s="12">
        <v>11999</v>
      </c>
      <c r="N2472" s="12">
        <v>8999.25</v>
      </c>
      <c r="O2472">
        <v>19</v>
      </c>
      <c r="P2472" s="12">
        <v>48595.950000000004</v>
      </c>
      <c r="Q2472" s="12">
        <v>44996.25</v>
      </c>
      <c r="R2472" s="12">
        <v>3599.7000000000044</v>
      </c>
      <c r="S2472" t="s">
        <v>1249</v>
      </c>
      <c r="T2472" t="s">
        <v>107</v>
      </c>
      <c r="U2472" t="s">
        <v>1201</v>
      </c>
    </row>
    <row r="2473" spans="1:21" x14ac:dyDescent="0.25">
      <c r="A2473" t="s">
        <v>4521</v>
      </c>
      <c r="B2473" s="8">
        <v>45899</v>
      </c>
      <c r="C2473" t="s">
        <v>1906</v>
      </c>
      <c r="D2473" t="s">
        <v>629</v>
      </c>
      <c r="E2473" t="s">
        <v>218</v>
      </c>
      <c r="F2473">
        <v>53</v>
      </c>
      <c r="G2473" t="s">
        <v>290</v>
      </c>
      <c r="H2473" t="s">
        <v>3</v>
      </c>
      <c r="I2473" t="s">
        <v>34</v>
      </c>
      <c r="J2473" t="s">
        <v>137</v>
      </c>
      <c r="K2473" t="s">
        <v>22</v>
      </c>
      <c r="L2473">
        <v>1</v>
      </c>
      <c r="M2473" s="12">
        <v>6900</v>
      </c>
      <c r="N2473" s="12">
        <v>5727</v>
      </c>
      <c r="O2473">
        <v>7</v>
      </c>
      <c r="P2473" s="12">
        <v>6417</v>
      </c>
      <c r="Q2473" s="12">
        <v>5727</v>
      </c>
      <c r="R2473" s="12">
        <v>690</v>
      </c>
      <c r="S2473" t="s">
        <v>1246</v>
      </c>
      <c r="T2473" t="s">
        <v>107</v>
      </c>
      <c r="U2473" t="s">
        <v>1201</v>
      </c>
    </row>
    <row r="2474" spans="1:21" x14ac:dyDescent="0.25">
      <c r="A2474" t="s">
        <v>4522</v>
      </c>
      <c r="B2474" s="8">
        <v>45995</v>
      </c>
      <c r="C2474" t="s">
        <v>1690</v>
      </c>
      <c r="D2474" t="s">
        <v>1006</v>
      </c>
      <c r="E2474" t="s">
        <v>218</v>
      </c>
      <c r="F2474">
        <v>44</v>
      </c>
      <c r="G2474" t="s">
        <v>7</v>
      </c>
      <c r="H2474" t="s">
        <v>8</v>
      </c>
      <c r="I2474" t="s">
        <v>32</v>
      </c>
      <c r="J2474" t="s">
        <v>29</v>
      </c>
      <c r="K2474" t="s">
        <v>22</v>
      </c>
      <c r="L2474">
        <v>5</v>
      </c>
      <c r="M2474" s="12">
        <v>9500</v>
      </c>
      <c r="N2474" s="12">
        <v>6650</v>
      </c>
      <c r="O2474">
        <v>14</v>
      </c>
      <c r="P2474" s="12">
        <v>40850</v>
      </c>
      <c r="Q2474" s="12">
        <v>33250</v>
      </c>
      <c r="R2474" s="12">
        <v>7600</v>
      </c>
      <c r="S2474" t="s">
        <v>1246</v>
      </c>
      <c r="T2474" t="s">
        <v>108</v>
      </c>
      <c r="U2474" t="s">
        <v>1196</v>
      </c>
    </row>
    <row r="2475" spans="1:21" x14ac:dyDescent="0.25">
      <c r="A2475" t="s">
        <v>4523</v>
      </c>
      <c r="B2475" s="8">
        <v>45675</v>
      </c>
      <c r="C2475" t="s">
        <v>5106</v>
      </c>
      <c r="D2475" t="s">
        <v>809</v>
      </c>
      <c r="E2475" t="s">
        <v>218</v>
      </c>
      <c r="F2475">
        <v>44</v>
      </c>
      <c r="G2475" t="s">
        <v>17</v>
      </c>
      <c r="H2475" t="s">
        <v>15</v>
      </c>
      <c r="I2475" t="s">
        <v>63</v>
      </c>
      <c r="J2475" t="s">
        <v>77</v>
      </c>
      <c r="K2475" t="s">
        <v>64</v>
      </c>
      <c r="L2475">
        <v>5</v>
      </c>
      <c r="M2475" s="12">
        <v>650</v>
      </c>
      <c r="N2475" s="12">
        <v>468</v>
      </c>
      <c r="O2475">
        <v>8</v>
      </c>
      <c r="P2475" s="12">
        <v>2990</v>
      </c>
      <c r="Q2475" s="12">
        <v>2340</v>
      </c>
      <c r="R2475" s="12">
        <v>650</v>
      </c>
      <c r="S2475" t="s">
        <v>113</v>
      </c>
      <c r="T2475" t="s">
        <v>107</v>
      </c>
      <c r="U2475" t="s">
        <v>1203</v>
      </c>
    </row>
    <row r="2476" spans="1:21" x14ac:dyDescent="0.25">
      <c r="A2476" t="s">
        <v>4524</v>
      </c>
      <c r="B2476" s="8">
        <v>45704</v>
      </c>
      <c r="C2476" t="s">
        <v>2272</v>
      </c>
      <c r="D2476" t="s">
        <v>371</v>
      </c>
      <c r="E2476" t="s">
        <v>218</v>
      </c>
      <c r="F2476">
        <v>50</v>
      </c>
      <c r="G2476" t="s">
        <v>290</v>
      </c>
      <c r="H2476" t="s">
        <v>3</v>
      </c>
      <c r="I2476" t="s">
        <v>53</v>
      </c>
      <c r="J2476" t="s">
        <v>48</v>
      </c>
      <c r="K2476" t="s">
        <v>43</v>
      </c>
      <c r="L2476">
        <v>1</v>
      </c>
      <c r="M2476" s="12">
        <v>6499</v>
      </c>
      <c r="N2476" s="12">
        <v>4549.2999999999993</v>
      </c>
      <c r="O2476">
        <v>8</v>
      </c>
      <c r="P2476" s="12">
        <v>5979.08</v>
      </c>
      <c r="Q2476" s="12">
        <v>4549.2999999999993</v>
      </c>
      <c r="R2476" s="12">
        <v>1429.7800000000007</v>
      </c>
      <c r="S2476" t="s">
        <v>1249</v>
      </c>
      <c r="T2476" t="s">
        <v>108</v>
      </c>
      <c r="U2476" t="s">
        <v>1194</v>
      </c>
    </row>
    <row r="2477" spans="1:21" x14ac:dyDescent="0.25">
      <c r="A2477" t="s">
        <v>4525</v>
      </c>
      <c r="B2477" s="8">
        <v>45825</v>
      </c>
      <c r="C2477" t="s">
        <v>1259</v>
      </c>
      <c r="D2477" t="s">
        <v>1156</v>
      </c>
      <c r="E2477" t="s">
        <v>198</v>
      </c>
      <c r="F2477">
        <v>50</v>
      </c>
      <c r="G2477" t="s">
        <v>14</v>
      </c>
      <c r="H2477" t="s">
        <v>15</v>
      </c>
      <c r="I2477" t="s">
        <v>55</v>
      </c>
      <c r="J2477" t="s">
        <v>65</v>
      </c>
      <c r="K2477" t="s">
        <v>64</v>
      </c>
      <c r="L2477">
        <v>1</v>
      </c>
      <c r="M2477" s="12">
        <v>80</v>
      </c>
      <c r="N2477" s="12">
        <v>56</v>
      </c>
      <c r="O2477">
        <v>11</v>
      </c>
      <c r="P2477" s="12">
        <v>71.2</v>
      </c>
      <c r="Q2477" s="12">
        <v>56</v>
      </c>
      <c r="R2477" s="12">
        <v>15.200000000000003</v>
      </c>
      <c r="S2477" t="s">
        <v>1246</v>
      </c>
      <c r="T2477" t="s">
        <v>107</v>
      </c>
      <c r="U2477" t="s">
        <v>1199</v>
      </c>
    </row>
    <row r="2478" spans="1:21" x14ac:dyDescent="0.25">
      <c r="A2478" t="s">
        <v>4526</v>
      </c>
      <c r="B2478" s="8">
        <v>45982</v>
      </c>
      <c r="C2478" t="s">
        <v>3634</v>
      </c>
      <c r="D2478" t="s">
        <v>1052</v>
      </c>
      <c r="E2478" t="s">
        <v>198</v>
      </c>
      <c r="F2478">
        <v>64</v>
      </c>
      <c r="G2478" t="s">
        <v>7</v>
      </c>
      <c r="H2478" t="s">
        <v>8</v>
      </c>
      <c r="I2478" t="s">
        <v>36</v>
      </c>
      <c r="J2478" t="s">
        <v>136</v>
      </c>
      <c r="K2478" t="s">
        <v>22</v>
      </c>
      <c r="L2478">
        <v>3</v>
      </c>
      <c r="M2478" s="12">
        <v>3590</v>
      </c>
      <c r="N2478" s="12">
        <v>2333.5</v>
      </c>
      <c r="O2478">
        <v>18</v>
      </c>
      <c r="P2478" s="12">
        <v>8831.4000000000015</v>
      </c>
      <c r="Q2478" s="12">
        <v>7000.5</v>
      </c>
      <c r="R2478" s="12">
        <v>1830.9000000000015</v>
      </c>
      <c r="S2478" t="s">
        <v>1246</v>
      </c>
      <c r="T2478" t="s">
        <v>108</v>
      </c>
      <c r="U2478" t="s">
        <v>1196</v>
      </c>
    </row>
    <row r="2479" spans="1:21" x14ac:dyDescent="0.25">
      <c r="A2479" t="s">
        <v>4527</v>
      </c>
      <c r="B2479" s="8">
        <v>45873</v>
      </c>
      <c r="C2479" t="s">
        <v>1705</v>
      </c>
      <c r="D2479" t="s">
        <v>517</v>
      </c>
      <c r="E2479" t="s">
        <v>218</v>
      </c>
      <c r="F2479">
        <v>43</v>
      </c>
      <c r="G2479" t="s">
        <v>16</v>
      </c>
      <c r="H2479" t="s">
        <v>15</v>
      </c>
      <c r="I2479" t="s">
        <v>45</v>
      </c>
      <c r="J2479" t="s">
        <v>46</v>
      </c>
      <c r="K2479" t="s">
        <v>43</v>
      </c>
      <c r="L2479">
        <v>3</v>
      </c>
      <c r="M2479" s="12">
        <v>11999</v>
      </c>
      <c r="N2479" s="12">
        <v>8999.25</v>
      </c>
      <c r="O2479">
        <v>10</v>
      </c>
      <c r="P2479" s="12">
        <v>32397.3</v>
      </c>
      <c r="Q2479" s="12">
        <v>26997.75</v>
      </c>
      <c r="R2479" s="12">
        <v>5399.5499999999993</v>
      </c>
      <c r="S2479" t="s">
        <v>1246</v>
      </c>
      <c r="T2479" t="s">
        <v>109</v>
      </c>
      <c r="U2479" t="s">
        <v>1198</v>
      </c>
    </row>
    <row r="2480" spans="1:21" x14ac:dyDescent="0.25">
      <c r="A2480" t="s">
        <v>4528</v>
      </c>
      <c r="B2480" s="8">
        <v>45806</v>
      </c>
      <c r="C2480" t="s">
        <v>5091</v>
      </c>
      <c r="D2480" t="s">
        <v>717</v>
      </c>
      <c r="E2480" t="s">
        <v>198</v>
      </c>
      <c r="F2480">
        <v>47</v>
      </c>
      <c r="G2480" t="s">
        <v>14</v>
      </c>
      <c r="H2480" t="s">
        <v>15</v>
      </c>
      <c r="I2480" t="s">
        <v>38</v>
      </c>
      <c r="J2480" t="s">
        <v>37</v>
      </c>
      <c r="K2480" t="s">
        <v>22</v>
      </c>
      <c r="L2480">
        <v>5</v>
      </c>
      <c r="M2480" s="12">
        <v>1650</v>
      </c>
      <c r="N2480" s="12">
        <v>990</v>
      </c>
      <c r="O2480">
        <v>7</v>
      </c>
      <c r="P2480" s="12">
        <v>7672.4999999999991</v>
      </c>
      <c r="Q2480" s="12">
        <v>4950</v>
      </c>
      <c r="R2480" s="12">
        <v>2722.4999999999991</v>
      </c>
      <c r="S2480" t="s">
        <v>113</v>
      </c>
      <c r="T2480" t="s">
        <v>111</v>
      </c>
      <c r="U2480" t="s">
        <v>1209</v>
      </c>
    </row>
    <row r="2481" spans="1:21" x14ac:dyDescent="0.25">
      <c r="A2481" t="s">
        <v>4529</v>
      </c>
      <c r="B2481" s="8">
        <v>45760</v>
      </c>
      <c r="C2481" t="s">
        <v>1993</v>
      </c>
      <c r="D2481" t="s">
        <v>469</v>
      </c>
      <c r="E2481" t="s">
        <v>218</v>
      </c>
      <c r="F2481">
        <v>37</v>
      </c>
      <c r="G2481" t="s">
        <v>17</v>
      </c>
      <c r="H2481" t="s">
        <v>15</v>
      </c>
      <c r="I2481" t="s">
        <v>49</v>
      </c>
      <c r="J2481" t="s">
        <v>56</v>
      </c>
      <c r="K2481" t="s">
        <v>43</v>
      </c>
      <c r="L2481">
        <v>3</v>
      </c>
      <c r="M2481" s="12">
        <v>31999</v>
      </c>
      <c r="N2481" s="12">
        <v>25599.200000000001</v>
      </c>
      <c r="O2481">
        <v>10</v>
      </c>
      <c r="P2481" s="12">
        <v>86397.3</v>
      </c>
      <c r="Q2481" s="12">
        <v>76797.600000000006</v>
      </c>
      <c r="R2481" s="12">
        <v>9599.6999999999971</v>
      </c>
      <c r="S2481" t="s">
        <v>1249</v>
      </c>
      <c r="T2481" t="s">
        <v>108</v>
      </c>
      <c r="U2481" t="s">
        <v>1199</v>
      </c>
    </row>
    <row r="2482" spans="1:21" x14ac:dyDescent="0.25">
      <c r="A2482" t="s">
        <v>4530</v>
      </c>
      <c r="B2482" s="8">
        <v>45854</v>
      </c>
      <c r="C2482" t="s">
        <v>1318</v>
      </c>
      <c r="D2482" t="s">
        <v>653</v>
      </c>
      <c r="E2482" t="s">
        <v>218</v>
      </c>
      <c r="F2482">
        <v>41</v>
      </c>
      <c r="G2482" t="s">
        <v>10</v>
      </c>
      <c r="H2482" t="s">
        <v>8</v>
      </c>
      <c r="I2482" t="s">
        <v>28</v>
      </c>
      <c r="J2482" t="s">
        <v>35</v>
      </c>
      <c r="K2482" t="s">
        <v>22</v>
      </c>
      <c r="L2482">
        <v>4</v>
      </c>
      <c r="M2482" s="12">
        <v>16499</v>
      </c>
      <c r="N2482" s="12">
        <v>14519.12</v>
      </c>
      <c r="O2482">
        <v>5</v>
      </c>
      <c r="P2482" s="12">
        <v>62696.2</v>
      </c>
      <c r="Q2482" s="12">
        <v>58076.480000000003</v>
      </c>
      <c r="R2482" s="12">
        <v>4619.7199999999939</v>
      </c>
      <c r="S2482" t="s">
        <v>113</v>
      </c>
      <c r="T2482" t="s">
        <v>107</v>
      </c>
      <c r="U2482" t="s">
        <v>1211</v>
      </c>
    </row>
    <row r="2483" spans="1:21" x14ac:dyDescent="0.25">
      <c r="A2483" t="s">
        <v>4532</v>
      </c>
      <c r="B2483" s="8">
        <v>45730</v>
      </c>
      <c r="C2483" t="s">
        <v>3547</v>
      </c>
      <c r="D2483" t="s">
        <v>1071</v>
      </c>
      <c r="E2483" t="s">
        <v>198</v>
      </c>
      <c r="F2483">
        <v>32</v>
      </c>
      <c r="G2483" t="s">
        <v>14</v>
      </c>
      <c r="H2483" t="s">
        <v>15</v>
      </c>
      <c r="I2483" t="s">
        <v>24</v>
      </c>
      <c r="J2483" t="s">
        <v>25</v>
      </c>
      <c r="K2483" t="s">
        <v>22</v>
      </c>
      <c r="L2483">
        <v>3</v>
      </c>
      <c r="M2483" s="12">
        <v>35800</v>
      </c>
      <c r="N2483" s="12">
        <v>28640</v>
      </c>
      <c r="O2483">
        <v>5</v>
      </c>
      <c r="P2483" s="12">
        <v>102030</v>
      </c>
      <c r="Q2483" s="12">
        <v>85920</v>
      </c>
      <c r="R2483" s="12">
        <v>16110</v>
      </c>
      <c r="S2483" t="s">
        <v>1246</v>
      </c>
      <c r="T2483" t="s">
        <v>108</v>
      </c>
      <c r="U2483" t="s">
        <v>1203</v>
      </c>
    </row>
    <row r="2484" spans="1:21" x14ac:dyDescent="0.25">
      <c r="A2484" t="s">
        <v>4533</v>
      </c>
      <c r="B2484" s="8">
        <v>45946</v>
      </c>
      <c r="C2484" t="s">
        <v>5107</v>
      </c>
      <c r="D2484" t="s">
        <v>361</v>
      </c>
      <c r="E2484" t="s">
        <v>218</v>
      </c>
      <c r="F2484">
        <v>52</v>
      </c>
      <c r="G2484" t="s">
        <v>17</v>
      </c>
      <c r="H2484" t="s">
        <v>15</v>
      </c>
      <c r="I2484" t="s">
        <v>32</v>
      </c>
      <c r="J2484" t="s">
        <v>29</v>
      </c>
      <c r="K2484" t="s">
        <v>22</v>
      </c>
      <c r="L2484">
        <v>4</v>
      </c>
      <c r="M2484" s="12">
        <v>9500</v>
      </c>
      <c r="N2484" s="12">
        <v>6650</v>
      </c>
      <c r="O2484">
        <v>5</v>
      </c>
      <c r="P2484" s="12">
        <v>36100</v>
      </c>
      <c r="Q2484" s="12">
        <v>26600</v>
      </c>
      <c r="R2484" s="12">
        <v>9500</v>
      </c>
      <c r="S2484" t="s">
        <v>1246</v>
      </c>
      <c r="T2484" t="s">
        <v>107</v>
      </c>
      <c r="U2484" t="s">
        <v>1201</v>
      </c>
    </row>
    <row r="2485" spans="1:21" x14ac:dyDescent="0.25">
      <c r="A2485" t="s">
        <v>4534</v>
      </c>
      <c r="B2485" s="8">
        <v>45941</v>
      </c>
      <c r="C2485" t="s">
        <v>1429</v>
      </c>
      <c r="D2485" t="s">
        <v>552</v>
      </c>
      <c r="E2485" t="s">
        <v>218</v>
      </c>
      <c r="F2485">
        <v>41</v>
      </c>
      <c r="G2485" t="s">
        <v>2</v>
      </c>
      <c r="H2485" t="s">
        <v>3</v>
      </c>
      <c r="I2485" t="s">
        <v>32</v>
      </c>
      <c r="J2485" t="s">
        <v>29</v>
      </c>
      <c r="K2485" t="s">
        <v>22</v>
      </c>
      <c r="L2485">
        <v>2</v>
      </c>
      <c r="M2485" s="12">
        <v>9500</v>
      </c>
      <c r="N2485" s="12">
        <v>6650</v>
      </c>
      <c r="O2485">
        <v>4</v>
      </c>
      <c r="P2485" s="12">
        <v>18240</v>
      </c>
      <c r="Q2485" s="12">
        <v>13300</v>
      </c>
      <c r="R2485" s="12">
        <v>4940</v>
      </c>
      <c r="S2485" t="s">
        <v>1246</v>
      </c>
      <c r="T2485" t="s">
        <v>108</v>
      </c>
      <c r="U2485" t="s">
        <v>1201</v>
      </c>
    </row>
    <row r="2486" spans="1:21" x14ac:dyDescent="0.25">
      <c r="A2486" t="s">
        <v>4535</v>
      </c>
      <c r="B2486" s="8">
        <v>45840</v>
      </c>
      <c r="C2486" t="s">
        <v>2859</v>
      </c>
      <c r="D2486" t="s">
        <v>758</v>
      </c>
      <c r="E2486" t="s">
        <v>218</v>
      </c>
      <c r="F2486">
        <v>36</v>
      </c>
      <c r="G2486" t="s">
        <v>17</v>
      </c>
      <c r="H2486" t="s">
        <v>15</v>
      </c>
      <c r="I2486" t="s">
        <v>63</v>
      </c>
      <c r="J2486" t="s">
        <v>77</v>
      </c>
      <c r="K2486" t="s">
        <v>64</v>
      </c>
      <c r="L2486">
        <v>3</v>
      </c>
      <c r="M2486" s="12">
        <v>650</v>
      </c>
      <c r="N2486" s="12">
        <v>468</v>
      </c>
      <c r="O2486">
        <v>4</v>
      </c>
      <c r="P2486" s="12">
        <v>1872</v>
      </c>
      <c r="Q2486" s="12">
        <v>1404</v>
      </c>
      <c r="R2486" s="12">
        <v>468</v>
      </c>
      <c r="S2486" t="s">
        <v>1246</v>
      </c>
      <c r="T2486" t="s">
        <v>109</v>
      </c>
      <c r="U2486" t="s">
        <v>1196</v>
      </c>
    </row>
    <row r="2487" spans="1:21" x14ac:dyDescent="0.25">
      <c r="A2487" t="s">
        <v>4536</v>
      </c>
      <c r="B2487" s="8">
        <v>45719</v>
      </c>
      <c r="C2487" t="s">
        <v>1625</v>
      </c>
      <c r="D2487" t="s">
        <v>615</v>
      </c>
      <c r="E2487" t="s">
        <v>198</v>
      </c>
      <c r="F2487">
        <v>44</v>
      </c>
      <c r="G2487" t="s">
        <v>290</v>
      </c>
      <c r="H2487" t="s">
        <v>3</v>
      </c>
      <c r="I2487" t="s">
        <v>32</v>
      </c>
      <c r="J2487" t="s">
        <v>29</v>
      </c>
      <c r="K2487" t="s">
        <v>22</v>
      </c>
      <c r="L2487">
        <v>2</v>
      </c>
      <c r="M2487" s="12">
        <v>9500</v>
      </c>
      <c r="N2487" s="12">
        <v>6650</v>
      </c>
      <c r="O2487">
        <v>7</v>
      </c>
      <c r="P2487" s="12">
        <v>17670</v>
      </c>
      <c r="Q2487" s="12">
        <v>13300</v>
      </c>
      <c r="R2487" s="12">
        <v>4370</v>
      </c>
      <c r="S2487" t="s">
        <v>1246</v>
      </c>
      <c r="T2487" t="s">
        <v>107</v>
      </c>
      <c r="U2487" t="s">
        <v>1209</v>
      </c>
    </row>
    <row r="2488" spans="1:21" x14ac:dyDescent="0.25">
      <c r="A2488" t="s">
        <v>4537</v>
      </c>
      <c r="B2488" s="8">
        <v>45815</v>
      </c>
      <c r="C2488" t="s">
        <v>3075</v>
      </c>
      <c r="D2488" t="s">
        <v>633</v>
      </c>
      <c r="E2488" t="s">
        <v>218</v>
      </c>
      <c r="F2488">
        <v>26</v>
      </c>
      <c r="G2488" t="s">
        <v>4</v>
      </c>
      <c r="H2488" t="s">
        <v>3</v>
      </c>
      <c r="I2488" t="s">
        <v>26</v>
      </c>
      <c r="J2488" t="s">
        <v>27</v>
      </c>
      <c r="K2488" t="s">
        <v>22</v>
      </c>
      <c r="L2488">
        <v>3</v>
      </c>
      <c r="M2488" s="12">
        <v>27499</v>
      </c>
      <c r="N2488" s="12">
        <v>23374.149999999998</v>
      </c>
      <c r="O2488">
        <v>7</v>
      </c>
      <c r="P2488" s="12">
        <v>76722.209999999992</v>
      </c>
      <c r="Q2488" s="12">
        <v>70122.45</v>
      </c>
      <c r="R2488" s="12">
        <v>6599.7599999999948</v>
      </c>
      <c r="S2488" t="s">
        <v>113</v>
      </c>
      <c r="T2488" t="s">
        <v>109</v>
      </c>
      <c r="U2488" t="s">
        <v>1198</v>
      </c>
    </row>
    <row r="2489" spans="1:21" x14ac:dyDescent="0.25">
      <c r="A2489" t="s">
        <v>4538</v>
      </c>
      <c r="B2489" s="8">
        <v>45971</v>
      </c>
      <c r="C2489" t="s">
        <v>1971</v>
      </c>
      <c r="D2489" t="s">
        <v>393</v>
      </c>
      <c r="E2489" t="s">
        <v>198</v>
      </c>
      <c r="F2489">
        <v>46</v>
      </c>
      <c r="G2489" t="s">
        <v>14</v>
      </c>
      <c r="H2489" t="s">
        <v>15</v>
      </c>
      <c r="I2489" t="s">
        <v>55</v>
      </c>
      <c r="J2489" t="s">
        <v>65</v>
      </c>
      <c r="K2489" t="s">
        <v>64</v>
      </c>
      <c r="L2489">
        <v>2</v>
      </c>
      <c r="M2489" s="12">
        <v>80</v>
      </c>
      <c r="N2489" s="12">
        <v>56</v>
      </c>
      <c r="O2489">
        <v>8</v>
      </c>
      <c r="P2489" s="12">
        <v>147.20000000000002</v>
      </c>
      <c r="Q2489" s="12">
        <v>112</v>
      </c>
      <c r="R2489" s="12">
        <v>35.200000000000017</v>
      </c>
      <c r="S2489" t="s">
        <v>113</v>
      </c>
      <c r="T2489" t="s">
        <v>109</v>
      </c>
      <c r="U2489" t="s">
        <v>1203</v>
      </c>
    </row>
    <row r="2490" spans="1:21" x14ac:dyDescent="0.25">
      <c r="A2490" t="s">
        <v>4540</v>
      </c>
      <c r="B2490" s="8">
        <v>45672</v>
      </c>
      <c r="C2490" t="s">
        <v>3765</v>
      </c>
      <c r="D2490" t="s">
        <v>591</v>
      </c>
      <c r="E2490" t="s">
        <v>218</v>
      </c>
      <c r="F2490">
        <v>29</v>
      </c>
      <c r="G2490" t="s">
        <v>290</v>
      </c>
      <c r="H2490" t="s">
        <v>3</v>
      </c>
      <c r="I2490" t="s">
        <v>30</v>
      </c>
      <c r="J2490" t="s">
        <v>41</v>
      </c>
      <c r="K2490" t="s">
        <v>22</v>
      </c>
      <c r="L2490">
        <v>4</v>
      </c>
      <c r="M2490" s="12">
        <v>13749</v>
      </c>
      <c r="N2490" s="12">
        <v>10999.2</v>
      </c>
      <c r="O2490">
        <v>10</v>
      </c>
      <c r="P2490" s="12">
        <v>49496.4</v>
      </c>
      <c r="Q2490" s="12">
        <v>43996.800000000003</v>
      </c>
      <c r="R2490" s="12">
        <v>5499.5999999999985</v>
      </c>
      <c r="S2490" t="s">
        <v>1246</v>
      </c>
      <c r="T2490" t="s">
        <v>108</v>
      </c>
      <c r="U2490" t="s">
        <v>1203</v>
      </c>
    </row>
    <row r="2491" spans="1:21" x14ac:dyDescent="0.25">
      <c r="A2491" t="s">
        <v>4541</v>
      </c>
      <c r="B2491" s="8">
        <v>45732</v>
      </c>
      <c r="C2491" t="s">
        <v>1436</v>
      </c>
      <c r="D2491" t="s">
        <v>1148</v>
      </c>
      <c r="E2491" t="s">
        <v>218</v>
      </c>
      <c r="F2491">
        <v>43</v>
      </c>
      <c r="G2491" t="s">
        <v>289</v>
      </c>
      <c r="H2491" t="s">
        <v>3</v>
      </c>
      <c r="I2491" t="s">
        <v>38</v>
      </c>
      <c r="J2491" t="s">
        <v>37</v>
      </c>
      <c r="K2491" t="s">
        <v>22</v>
      </c>
      <c r="L2491">
        <v>5</v>
      </c>
      <c r="M2491" s="12">
        <v>1650</v>
      </c>
      <c r="N2491" s="12">
        <v>990</v>
      </c>
      <c r="O2491">
        <v>7</v>
      </c>
      <c r="P2491" s="12">
        <v>7672.4999999999991</v>
      </c>
      <c r="Q2491" s="12">
        <v>4950</v>
      </c>
      <c r="R2491" s="12">
        <v>2722.4999999999991</v>
      </c>
      <c r="S2491" t="s">
        <v>113</v>
      </c>
      <c r="T2491" t="s">
        <v>107</v>
      </c>
      <c r="U2491" t="s">
        <v>1205</v>
      </c>
    </row>
    <row r="2492" spans="1:21" x14ac:dyDescent="0.25">
      <c r="A2492" t="s">
        <v>4542</v>
      </c>
      <c r="B2492" s="8">
        <v>45938</v>
      </c>
      <c r="C2492" t="s">
        <v>3107</v>
      </c>
      <c r="D2492" t="s">
        <v>579</v>
      </c>
      <c r="E2492" t="s">
        <v>198</v>
      </c>
      <c r="F2492">
        <v>36</v>
      </c>
      <c r="G2492" t="s">
        <v>7</v>
      </c>
      <c r="H2492" t="s">
        <v>8</v>
      </c>
      <c r="I2492" t="s">
        <v>51</v>
      </c>
      <c r="J2492" t="s">
        <v>54</v>
      </c>
      <c r="K2492" t="s">
        <v>43</v>
      </c>
      <c r="L2492">
        <v>2</v>
      </c>
      <c r="M2492" s="12">
        <v>27499</v>
      </c>
      <c r="N2492" s="12">
        <v>21724.210000000003</v>
      </c>
      <c r="O2492">
        <v>10</v>
      </c>
      <c r="P2492" s="12">
        <v>49498.200000000004</v>
      </c>
      <c r="Q2492" s="12">
        <v>43448.420000000006</v>
      </c>
      <c r="R2492" s="12">
        <v>6049.7799999999988</v>
      </c>
      <c r="S2492" t="s">
        <v>113</v>
      </c>
      <c r="T2492" t="s">
        <v>109</v>
      </c>
      <c r="U2492" t="s">
        <v>1199</v>
      </c>
    </row>
    <row r="2493" spans="1:21" x14ac:dyDescent="0.25">
      <c r="A2493" t="s">
        <v>4543</v>
      </c>
      <c r="B2493" s="8">
        <v>45665</v>
      </c>
      <c r="C2493" t="s">
        <v>4091</v>
      </c>
      <c r="D2493" t="s">
        <v>759</v>
      </c>
      <c r="E2493" t="s">
        <v>198</v>
      </c>
      <c r="F2493">
        <v>45</v>
      </c>
      <c r="G2493" t="s">
        <v>289</v>
      </c>
      <c r="H2493" t="s">
        <v>3</v>
      </c>
      <c r="I2493" t="s">
        <v>49</v>
      </c>
      <c r="J2493" t="s">
        <v>56</v>
      </c>
      <c r="K2493" t="s">
        <v>43</v>
      </c>
      <c r="L2493">
        <v>1</v>
      </c>
      <c r="M2493" s="12">
        <v>31999</v>
      </c>
      <c r="N2493" s="12">
        <v>25599.200000000001</v>
      </c>
      <c r="O2493">
        <v>3</v>
      </c>
      <c r="P2493" s="12">
        <v>31039.03</v>
      </c>
      <c r="Q2493" s="12">
        <v>25599.200000000001</v>
      </c>
      <c r="R2493" s="12">
        <v>5439.8299999999981</v>
      </c>
      <c r="S2493" t="s">
        <v>113</v>
      </c>
      <c r="T2493" t="s">
        <v>107</v>
      </c>
      <c r="U2493" t="s">
        <v>1203</v>
      </c>
    </row>
    <row r="2494" spans="1:21" x14ac:dyDescent="0.25">
      <c r="A2494" t="s">
        <v>4544</v>
      </c>
      <c r="B2494" s="8">
        <v>46019</v>
      </c>
      <c r="C2494" t="s">
        <v>2371</v>
      </c>
      <c r="D2494" t="s">
        <v>681</v>
      </c>
      <c r="E2494" t="s">
        <v>218</v>
      </c>
      <c r="F2494">
        <v>24</v>
      </c>
      <c r="G2494" t="s">
        <v>11</v>
      </c>
      <c r="H2494" t="s">
        <v>12</v>
      </c>
      <c r="I2494" t="s">
        <v>24</v>
      </c>
      <c r="J2494" t="s">
        <v>25</v>
      </c>
      <c r="K2494" t="s">
        <v>22</v>
      </c>
      <c r="L2494">
        <v>4</v>
      </c>
      <c r="M2494" s="12">
        <v>35800</v>
      </c>
      <c r="N2494" s="12">
        <v>28640</v>
      </c>
      <c r="O2494">
        <v>12</v>
      </c>
      <c r="P2494" s="12">
        <v>126016</v>
      </c>
      <c r="Q2494" s="12">
        <v>114560</v>
      </c>
      <c r="R2494" s="12">
        <v>11456</v>
      </c>
      <c r="S2494" t="s">
        <v>113</v>
      </c>
      <c r="T2494" t="s">
        <v>108</v>
      </c>
      <c r="U2494" t="s">
        <v>1196</v>
      </c>
    </row>
    <row r="2495" spans="1:21" x14ac:dyDescent="0.25">
      <c r="A2495" t="s">
        <v>4545</v>
      </c>
      <c r="B2495" s="8">
        <v>45928</v>
      </c>
      <c r="C2495" t="s">
        <v>5087</v>
      </c>
      <c r="D2495" t="s">
        <v>913</v>
      </c>
      <c r="E2495" t="s">
        <v>218</v>
      </c>
      <c r="F2495">
        <v>46</v>
      </c>
      <c r="G2495" t="s">
        <v>4</v>
      </c>
      <c r="H2495" t="s">
        <v>3</v>
      </c>
      <c r="I2495" t="s">
        <v>32</v>
      </c>
      <c r="J2495" t="s">
        <v>29</v>
      </c>
      <c r="K2495" t="s">
        <v>22</v>
      </c>
      <c r="L2495">
        <v>2</v>
      </c>
      <c r="M2495" s="12">
        <v>9500</v>
      </c>
      <c r="N2495" s="12">
        <v>6650</v>
      </c>
      <c r="O2495">
        <v>3</v>
      </c>
      <c r="P2495" s="12">
        <v>18430</v>
      </c>
      <c r="Q2495" s="12">
        <v>13300</v>
      </c>
      <c r="R2495" s="12">
        <v>5130</v>
      </c>
      <c r="S2495" t="s">
        <v>1246</v>
      </c>
      <c r="T2495" t="s">
        <v>107</v>
      </c>
      <c r="U2495" t="s">
        <v>1205</v>
      </c>
    </row>
    <row r="2496" spans="1:21" x14ac:dyDescent="0.25">
      <c r="A2496" t="s">
        <v>4546</v>
      </c>
      <c r="B2496" s="8">
        <v>45768</v>
      </c>
      <c r="C2496" t="s">
        <v>2007</v>
      </c>
      <c r="D2496" t="s">
        <v>916</v>
      </c>
      <c r="E2496" t="s">
        <v>218</v>
      </c>
      <c r="F2496">
        <v>54</v>
      </c>
      <c r="G2496" t="s">
        <v>290</v>
      </c>
      <c r="H2496" t="s">
        <v>3</v>
      </c>
      <c r="I2496" t="s">
        <v>28</v>
      </c>
      <c r="J2496" t="s">
        <v>35</v>
      </c>
      <c r="K2496" t="s">
        <v>22</v>
      </c>
      <c r="L2496">
        <v>4</v>
      </c>
      <c r="M2496" s="12">
        <v>16499</v>
      </c>
      <c r="N2496" s="12">
        <v>14519.12</v>
      </c>
      <c r="O2496">
        <v>7</v>
      </c>
      <c r="P2496" s="12">
        <v>61376.28</v>
      </c>
      <c r="Q2496" s="12">
        <v>58076.480000000003</v>
      </c>
      <c r="R2496" s="12">
        <v>3299.7999999999956</v>
      </c>
      <c r="S2496" t="s">
        <v>1246</v>
      </c>
      <c r="T2496" t="s">
        <v>107</v>
      </c>
      <c r="U2496" t="s">
        <v>1211</v>
      </c>
    </row>
    <row r="2497" spans="1:21" x14ac:dyDescent="0.25">
      <c r="A2497" t="s">
        <v>4547</v>
      </c>
      <c r="B2497" s="8">
        <v>45776</v>
      </c>
      <c r="C2497" t="s">
        <v>3033</v>
      </c>
      <c r="D2497" t="s">
        <v>1036</v>
      </c>
      <c r="E2497" t="s">
        <v>218</v>
      </c>
      <c r="F2497">
        <v>60</v>
      </c>
      <c r="G2497" t="s">
        <v>2</v>
      </c>
      <c r="H2497" t="s">
        <v>3</v>
      </c>
      <c r="I2497" t="s">
        <v>49</v>
      </c>
      <c r="J2497" t="s">
        <v>56</v>
      </c>
      <c r="K2497" t="s">
        <v>43</v>
      </c>
      <c r="L2497">
        <v>2</v>
      </c>
      <c r="M2497" s="12">
        <v>31999</v>
      </c>
      <c r="N2497" s="12">
        <v>25599.200000000001</v>
      </c>
      <c r="O2497">
        <v>8</v>
      </c>
      <c r="P2497" s="12">
        <v>58878.16</v>
      </c>
      <c r="Q2497" s="12">
        <v>51198.400000000001</v>
      </c>
      <c r="R2497" s="12">
        <v>7679.760000000002</v>
      </c>
      <c r="S2497" t="s">
        <v>1246</v>
      </c>
      <c r="T2497" t="s">
        <v>107</v>
      </c>
      <c r="U2497" t="s">
        <v>1205</v>
      </c>
    </row>
    <row r="2498" spans="1:21" x14ac:dyDescent="0.25">
      <c r="A2498" t="s">
        <v>4548</v>
      </c>
      <c r="B2498" s="8">
        <v>45810</v>
      </c>
      <c r="C2498" t="s">
        <v>3033</v>
      </c>
      <c r="D2498" t="s">
        <v>1036</v>
      </c>
      <c r="E2498" t="s">
        <v>218</v>
      </c>
      <c r="F2498">
        <v>60</v>
      </c>
      <c r="G2498" t="s">
        <v>2</v>
      </c>
      <c r="H2498" t="s">
        <v>3</v>
      </c>
      <c r="I2498" t="s">
        <v>63</v>
      </c>
      <c r="J2498" t="s">
        <v>77</v>
      </c>
      <c r="K2498" t="s">
        <v>64</v>
      </c>
      <c r="L2498">
        <v>2</v>
      </c>
      <c r="M2498" s="12">
        <v>650</v>
      </c>
      <c r="N2498" s="12">
        <v>468</v>
      </c>
      <c r="O2498">
        <v>12</v>
      </c>
      <c r="P2498" s="12">
        <v>1144</v>
      </c>
      <c r="Q2498" s="12">
        <v>936</v>
      </c>
      <c r="R2498" s="12">
        <v>208</v>
      </c>
      <c r="S2498" t="s">
        <v>1249</v>
      </c>
      <c r="T2498" t="s">
        <v>108</v>
      </c>
      <c r="U2498" t="s">
        <v>1207</v>
      </c>
    </row>
    <row r="2499" spans="1:21" x14ac:dyDescent="0.25">
      <c r="A2499" t="s">
        <v>4549</v>
      </c>
      <c r="B2499" s="8">
        <v>45870</v>
      </c>
      <c r="C2499" t="s">
        <v>1644</v>
      </c>
      <c r="D2499" t="s">
        <v>1164</v>
      </c>
      <c r="E2499" t="s">
        <v>218</v>
      </c>
      <c r="F2499">
        <v>58</v>
      </c>
      <c r="G2499" t="s">
        <v>2</v>
      </c>
      <c r="H2499" t="s">
        <v>3</v>
      </c>
      <c r="I2499" t="s">
        <v>42</v>
      </c>
      <c r="J2499" t="s">
        <v>44</v>
      </c>
      <c r="K2499" t="s">
        <v>43</v>
      </c>
      <c r="L2499">
        <v>3</v>
      </c>
      <c r="M2499" s="12">
        <v>8999</v>
      </c>
      <c r="N2499" s="12">
        <v>6479.28</v>
      </c>
      <c r="O2499">
        <v>9</v>
      </c>
      <c r="P2499" s="12">
        <v>24567.27</v>
      </c>
      <c r="Q2499" s="12">
        <v>19437.84</v>
      </c>
      <c r="R2499" s="12">
        <v>5129.43</v>
      </c>
      <c r="S2499" t="s">
        <v>113</v>
      </c>
      <c r="T2499" t="s">
        <v>107</v>
      </c>
      <c r="U2499" t="s">
        <v>1205</v>
      </c>
    </row>
    <row r="2500" spans="1:21" x14ac:dyDescent="0.25">
      <c r="A2500" t="s">
        <v>4550</v>
      </c>
      <c r="B2500" s="8">
        <v>45660</v>
      </c>
      <c r="C2500" t="s">
        <v>2587</v>
      </c>
      <c r="D2500" t="s">
        <v>978</v>
      </c>
      <c r="E2500" t="s">
        <v>198</v>
      </c>
      <c r="F2500">
        <v>55</v>
      </c>
      <c r="G2500" t="s">
        <v>9</v>
      </c>
      <c r="H2500" t="s">
        <v>8</v>
      </c>
      <c r="I2500" t="s">
        <v>36</v>
      </c>
      <c r="J2500" t="s">
        <v>136</v>
      </c>
      <c r="K2500" t="s">
        <v>22</v>
      </c>
      <c r="L2500">
        <v>4</v>
      </c>
      <c r="M2500" s="12">
        <v>3590</v>
      </c>
      <c r="N2500" s="12">
        <v>2333.5</v>
      </c>
      <c r="O2500">
        <v>6</v>
      </c>
      <c r="P2500" s="12">
        <v>13498.4</v>
      </c>
      <c r="Q2500" s="12">
        <v>9334</v>
      </c>
      <c r="R2500" s="12">
        <v>4164.3999999999996</v>
      </c>
      <c r="S2500" t="s">
        <v>1246</v>
      </c>
      <c r="T2500" t="s">
        <v>107</v>
      </c>
      <c r="U2500" t="s">
        <v>1199</v>
      </c>
    </row>
    <row r="2501" spans="1:21" x14ac:dyDescent="0.25">
      <c r="A2501" t="s">
        <v>4551</v>
      </c>
      <c r="B2501" s="8">
        <v>45693</v>
      </c>
      <c r="C2501" t="s">
        <v>3612</v>
      </c>
      <c r="D2501" t="s">
        <v>515</v>
      </c>
      <c r="E2501" t="s">
        <v>218</v>
      </c>
      <c r="F2501">
        <v>41</v>
      </c>
      <c r="G2501" t="s">
        <v>289</v>
      </c>
      <c r="H2501" t="s">
        <v>3</v>
      </c>
      <c r="I2501" t="s">
        <v>47</v>
      </c>
      <c r="J2501" t="s">
        <v>52</v>
      </c>
      <c r="K2501" t="s">
        <v>43</v>
      </c>
      <c r="L2501">
        <v>3</v>
      </c>
      <c r="M2501" s="12">
        <v>42999</v>
      </c>
      <c r="N2501" s="12">
        <v>33539.22</v>
      </c>
      <c r="O2501">
        <v>6</v>
      </c>
      <c r="P2501" s="12">
        <v>121257.18</v>
      </c>
      <c r="Q2501" s="12">
        <v>100617.66</v>
      </c>
      <c r="R2501" s="12">
        <v>20639.51999999999</v>
      </c>
      <c r="S2501" t="s">
        <v>113</v>
      </c>
      <c r="T2501" t="s">
        <v>107</v>
      </c>
      <c r="U2501" t="s">
        <v>1199</v>
      </c>
    </row>
    <row r="2502" spans="1:21" x14ac:dyDescent="0.25">
      <c r="A2502" t="s">
        <v>4552</v>
      </c>
      <c r="B2502" s="8">
        <v>45815</v>
      </c>
      <c r="C2502" t="s">
        <v>2922</v>
      </c>
      <c r="D2502" t="s">
        <v>460</v>
      </c>
      <c r="E2502" t="s">
        <v>198</v>
      </c>
      <c r="F2502">
        <v>40</v>
      </c>
      <c r="G2502" t="s">
        <v>16</v>
      </c>
      <c r="H2502" t="s">
        <v>15</v>
      </c>
      <c r="I2502" t="s">
        <v>59</v>
      </c>
      <c r="J2502" t="s">
        <v>73</v>
      </c>
      <c r="K2502" t="s">
        <v>64</v>
      </c>
      <c r="L2502">
        <v>1</v>
      </c>
      <c r="M2502" s="12">
        <v>120</v>
      </c>
      <c r="N2502" s="12">
        <v>81.599999999999994</v>
      </c>
      <c r="O2502">
        <v>8</v>
      </c>
      <c r="P2502" s="12">
        <v>110.4</v>
      </c>
      <c r="Q2502" s="12">
        <v>81.599999999999994</v>
      </c>
      <c r="R2502" s="12">
        <v>28.800000000000011</v>
      </c>
      <c r="S2502" t="s">
        <v>1246</v>
      </c>
      <c r="T2502" t="s">
        <v>107</v>
      </c>
      <c r="U2502" t="s">
        <v>1203</v>
      </c>
    </row>
    <row r="2503" spans="1:21" x14ac:dyDescent="0.25">
      <c r="A2503" t="s">
        <v>4553</v>
      </c>
      <c r="B2503" s="8">
        <v>45741</v>
      </c>
      <c r="C2503" t="s">
        <v>2407</v>
      </c>
      <c r="D2503" t="s">
        <v>1146</v>
      </c>
      <c r="E2503" t="s">
        <v>218</v>
      </c>
      <c r="F2503">
        <v>18</v>
      </c>
      <c r="G2503" t="s">
        <v>10</v>
      </c>
      <c r="H2503" t="s">
        <v>8</v>
      </c>
      <c r="I2503" t="s">
        <v>21</v>
      </c>
      <c r="J2503" t="s">
        <v>23</v>
      </c>
      <c r="K2503" t="s">
        <v>22</v>
      </c>
      <c r="L2503">
        <v>1</v>
      </c>
      <c r="M2503" s="12">
        <v>54999</v>
      </c>
      <c r="N2503" s="12">
        <v>45099.18</v>
      </c>
      <c r="O2503">
        <v>5</v>
      </c>
      <c r="P2503" s="12">
        <v>52249.049999999996</v>
      </c>
      <c r="Q2503" s="12">
        <v>45099.18</v>
      </c>
      <c r="R2503" s="12">
        <v>7149.8699999999953</v>
      </c>
      <c r="S2503" t="s">
        <v>1249</v>
      </c>
      <c r="T2503" t="s">
        <v>107</v>
      </c>
      <c r="U2503" t="s">
        <v>1194</v>
      </c>
    </row>
    <row r="2504" spans="1:21" x14ac:dyDescent="0.25">
      <c r="A2504" t="s">
        <v>4554</v>
      </c>
      <c r="B2504" s="8">
        <v>45872</v>
      </c>
      <c r="C2504" t="s">
        <v>1859</v>
      </c>
      <c r="D2504" t="s">
        <v>1188</v>
      </c>
      <c r="E2504" t="s">
        <v>198</v>
      </c>
      <c r="F2504">
        <v>32</v>
      </c>
      <c r="G2504" t="s">
        <v>9</v>
      </c>
      <c r="H2504" t="s">
        <v>8</v>
      </c>
      <c r="I2504" t="s">
        <v>40</v>
      </c>
      <c r="J2504" t="s">
        <v>39</v>
      </c>
      <c r="K2504" t="s">
        <v>22</v>
      </c>
      <c r="L2504">
        <v>2</v>
      </c>
      <c r="M2504" s="12">
        <v>1100</v>
      </c>
      <c r="N2504" s="12">
        <v>715</v>
      </c>
      <c r="O2504">
        <v>5</v>
      </c>
      <c r="P2504" s="12">
        <v>2090</v>
      </c>
      <c r="Q2504" s="12">
        <v>1430</v>
      </c>
      <c r="R2504" s="12">
        <v>660</v>
      </c>
      <c r="S2504" t="s">
        <v>113</v>
      </c>
      <c r="T2504" t="s">
        <v>108</v>
      </c>
      <c r="U2504" t="s">
        <v>1211</v>
      </c>
    </row>
    <row r="2505" spans="1:21" x14ac:dyDescent="0.25">
      <c r="A2505" t="s">
        <v>4555</v>
      </c>
      <c r="B2505" s="8">
        <v>45809</v>
      </c>
      <c r="C2505" t="s">
        <v>2116</v>
      </c>
      <c r="D2505" t="s">
        <v>1025</v>
      </c>
      <c r="E2505" t="s">
        <v>218</v>
      </c>
      <c r="F2505">
        <v>27</v>
      </c>
      <c r="G2505" t="s">
        <v>4</v>
      </c>
      <c r="H2505" t="s">
        <v>3</v>
      </c>
      <c r="I2505" t="s">
        <v>32</v>
      </c>
      <c r="J2505" t="s">
        <v>29</v>
      </c>
      <c r="K2505" t="s">
        <v>22</v>
      </c>
      <c r="L2505">
        <v>2</v>
      </c>
      <c r="M2505" s="12">
        <v>9500</v>
      </c>
      <c r="N2505" s="12">
        <v>6650</v>
      </c>
      <c r="O2505">
        <v>8</v>
      </c>
      <c r="P2505" s="12">
        <v>17480</v>
      </c>
      <c r="Q2505" s="12">
        <v>13300</v>
      </c>
      <c r="R2505" s="12">
        <v>4180</v>
      </c>
      <c r="S2505" t="s">
        <v>1246</v>
      </c>
      <c r="T2505" t="s">
        <v>109</v>
      </c>
      <c r="U2505" t="s">
        <v>1199</v>
      </c>
    </row>
    <row r="2506" spans="1:21" x14ac:dyDescent="0.25">
      <c r="A2506" t="s">
        <v>4556</v>
      </c>
      <c r="B2506" s="8">
        <v>45658</v>
      </c>
      <c r="C2506" t="s">
        <v>1914</v>
      </c>
      <c r="D2506" t="s">
        <v>678</v>
      </c>
      <c r="E2506" t="s">
        <v>198</v>
      </c>
      <c r="F2506">
        <v>47</v>
      </c>
      <c r="G2506" t="s">
        <v>14</v>
      </c>
      <c r="H2506" t="s">
        <v>15</v>
      </c>
      <c r="I2506" t="s">
        <v>51</v>
      </c>
      <c r="J2506" t="s">
        <v>54</v>
      </c>
      <c r="K2506" t="s">
        <v>43</v>
      </c>
      <c r="L2506">
        <v>1</v>
      </c>
      <c r="M2506" s="12">
        <v>27499</v>
      </c>
      <c r="N2506" s="12">
        <v>21724.210000000003</v>
      </c>
      <c r="O2506">
        <v>5</v>
      </c>
      <c r="P2506" s="12">
        <v>26124.05</v>
      </c>
      <c r="Q2506" s="12">
        <v>21724.210000000003</v>
      </c>
      <c r="R2506" s="12">
        <v>4399.8399999999965</v>
      </c>
      <c r="S2506" t="s">
        <v>1246</v>
      </c>
      <c r="T2506" t="s">
        <v>107</v>
      </c>
      <c r="U2506" t="s">
        <v>1201</v>
      </c>
    </row>
    <row r="2507" spans="1:21" x14ac:dyDescent="0.25">
      <c r="A2507" t="s">
        <v>4557</v>
      </c>
      <c r="B2507" s="8">
        <v>45806</v>
      </c>
      <c r="C2507" t="s">
        <v>1567</v>
      </c>
      <c r="D2507" t="s">
        <v>724</v>
      </c>
      <c r="E2507" t="s">
        <v>198</v>
      </c>
      <c r="F2507">
        <v>64</v>
      </c>
      <c r="G2507" t="s">
        <v>7</v>
      </c>
      <c r="H2507" t="s">
        <v>8</v>
      </c>
      <c r="I2507" t="s">
        <v>49</v>
      </c>
      <c r="J2507" t="s">
        <v>56</v>
      </c>
      <c r="K2507" t="s">
        <v>43</v>
      </c>
      <c r="L2507">
        <v>1</v>
      </c>
      <c r="M2507" s="12">
        <v>31999</v>
      </c>
      <c r="N2507" s="12">
        <v>25599.200000000001</v>
      </c>
      <c r="O2507">
        <v>3</v>
      </c>
      <c r="P2507" s="12">
        <v>31039.03</v>
      </c>
      <c r="Q2507" s="12">
        <v>25599.200000000001</v>
      </c>
      <c r="R2507" s="12">
        <v>5439.8299999999981</v>
      </c>
      <c r="S2507" t="s">
        <v>1246</v>
      </c>
      <c r="T2507" t="s">
        <v>107</v>
      </c>
      <c r="U2507" t="s">
        <v>1201</v>
      </c>
    </row>
    <row r="2508" spans="1:21" x14ac:dyDescent="0.25">
      <c r="A2508" t="s">
        <v>4558</v>
      </c>
      <c r="B2508" s="8">
        <v>45836</v>
      </c>
      <c r="C2508" t="s">
        <v>2539</v>
      </c>
      <c r="D2508" t="s">
        <v>417</v>
      </c>
      <c r="E2508" t="s">
        <v>198</v>
      </c>
      <c r="F2508">
        <v>20</v>
      </c>
      <c r="G2508" t="s">
        <v>290</v>
      </c>
      <c r="H2508" t="s">
        <v>3</v>
      </c>
      <c r="I2508" t="s">
        <v>61</v>
      </c>
      <c r="J2508" t="s">
        <v>146</v>
      </c>
      <c r="K2508" t="s">
        <v>64</v>
      </c>
      <c r="L2508">
        <v>5</v>
      </c>
      <c r="M2508" s="12">
        <v>250</v>
      </c>
      <c r="N2508" s="12">
        <v>155</v>
      </c>
      <c r="O2508">
        <v>12</v>
      </c>
      <c r="P2508" s="12">
        <v>1100</v>
      </c>
      <c r="Q2508" s="12">
        <v>775</v>
      </c>
      <c r="R2508" s="12">
        <v>325</v>
      </c>
      <c r="S2508" t="s">
        <v>113</v>
      </c>
      <c r="T2508" t="s">
        <v>107</v>
      </c>
      <c r="U2508" t="s">
        <v>1211</v>
      </c>
    </row>
    <row r="2509" spans="1:21" x14ac:dyDescent="0.25">
      <c r="A2509" t="s">
        <v>4559</v>
      </c>
      <c r="B2509" s="8">
        <v>45712</v>
      </c>
      <c r="C2509" t="s">
        <v>3724</v>
      </c>
      <c r="D2509" t="s">
        <v>1119</v>
      </c>
      <c r="E2509" t="s">
        <v>198</v>
      </c>
      <c r="F2509">
        <v>22</v>
      </c>
      <c r="G2509" t="s">
        <v>2</v>
      </c>
      <c r="H2509" t="s">
        <v>3</v>
      </c>
      <c r="I2509" t="s">
        <v>36</v>
      </c>
      <c r="J2509" t="s">
        <v>136</v>
      </c>
      <c r="K2509" t="s">
        <v>22</v>
      </c>
      <c r="L2509">
        <v>5</v>
      </c>
      <c r="M2509" s="12">
        <v>3590</v>
      </c>
      <c r="N2509" s="12">
        <v>2333.5</v>
      </c>
      <c r="O2509">
        <v>7</v>
      </c>
      <c r="P2509" s="12">
        <v>16693.5</v>
      </c>
      <c r="Q2509" s="12">
        <v>11667.5</v>
      </c>
      <c r="R2509" s="12">
        <v>5026</v>
      </c>
      <c r="S2509" t="s">
        <v>1246</v>
      </c>
      <c r="T2509" t="s">
        <v>108</v>
      </c>
      <c r="U2509" t="s">
        <v>1207</v>
      </c>
    </row>
    <row r="2510" spans="1:21" x14ac:dyDescent="0.25">
      <c r="A2510" t="s">
        <v>4560</v>
      </c>
      <c r="B2510" s="8">
        <v>45946</v>
      </c>
      <c r="C2510" t="s">
        <v>3159</v>
      </c>
      <c r="D2510" t="s">
        <v>1065</v>
      </c>
      <c r="E2510" t="s">
        <v>198</v>
      </c>
      <c r="F2510">
        <v>50</v>
      </c>
      <c r="G2510" t="s">
        <v>7</v>
      </c>
      <c r="H2510" t="s">
        <v>8</v>
      </c>
      <c r="I2510" t="s">
        <v>55</v>
      </c>
      <c r="J2510" t="s">
        <v>65</v>
      </c>
      <c r="K2510" t="s">
        <v>64</v>
      </c>
      <c r="L2510">
        <v>3</v>
      </c>
      <c r="M2510" s="12">
        <v>80</v>
      </c>
      <c r="N2510" s="12">
        <v>56</v>
      </c>
      <c r="O2510">
        <v>4</v>
      </c>
      <c r="P2510" s="12">
        <v>230.39999999999998</v>
      </c>
      <c r="Q2510" s="12">
        <v>168</v>
      </c>
      <c r="R2510" s="12">
        <v>62.399999999999977</v>
      </c>
      <c r="S2510" t="s">
        <v>113</v>
      </c>
      <c r="T2510" t="s">
        <v>108</v>
      </c>
      <c r="U2510" t="s">
        <v>1199</v>
      </c>
    </row>
    <row r="2511" spans="1:21" x14ac:dyDescent="0.25">
      <c r="A2511" t="s">
        <v>4561</v>
      </c>
      <c r="B2511" s="8">
        <v>46013</v>
      </c>
      <c r="C2511" t="s">
        <v>3061</v>
      </c>
      <c r="D2511" t="s">
        <v>709</v>
      </c>
      <c r="E2511" t="s">
        <v>218</v>
      </c>
      <c r="F2511">
        <v>28</v>
      </c>
      <c r="G2511" t="s">
        <v>17</v>
      </c>
      <c r="H2511" t="s">
        <v>15</v>
      </c>
      <c r="I2511" t="s">
        <v>28</v>
      </c>
      <c r="J2511" t="s">
        <v>35</v>
      </c>
      <c r="K2511" t="s">
        <v>22</v>
      </c>
      <c r="L2511">
        <v>2</v>
      </c>
      <c r="M2511" s="12">
        <v>16499</v>
      </c>
      <c r="N2511" s="12">
        <v>14519.12</v>
      </c>
      <c r="O2511">
        <v>16</v>
      </c>
      <c r="P2511" s="12">
        <v>27718.32</v>
      </c>
      <c r="Q2511" s="12">
        <v>29038.240000000002</v>
      </c>
      <c r="R2511" s="12">
        <v>-1319.9200000000019</v>
      </c>
      <c r="S2511" t="s">
        <v>1246</v>
      </c>
      <c r="T2511" t="s">
        <v>107</v>
      </c>
      <c r="U2511" t="s">
        <v>1203</v>
      </c>
    </row>
    <row r="2512" spans="1:21" x14ac:dyDescent="0.25">
      <c r="A2512" t="s">
        <v>4563</v>
      </c>
      <c r="B2512" s="8">
        <v>45700</v>
      </c>
      <c r="C2512" t="s">
        <v>1772</v>
      </c>
      <c r="D2512" t="s">
        <v>695</v>
      </c>
      <c r="E2512" t="s">
        <v>198</v>
      </c>
      <c r="F2512">
        <v>21</v>
      </c>
      <c r="G2512" t="s">
        <v>14</v>
      </c>
      <c r="H2512" t="s">
        <v>15</v>
      </c>
      <c r="I2512" t="s">
        <v>55</v>
      </c>
      <c r="J2512" t="s">
        <v>65</v>
      </c>
      <c r="K2512" t="s">
        <v>64</v>
      </c>
      <c r="L2512">
        <v>2</v>
      </c>
      <c r="M2512" s="12">
        <v>80</v>
      </c>
      <c r="N2512" s="12">
        <v>56</v>
      </c>
      <c r="O2512">
        <v>1</v>
      </c>
      <c r="P2512" s="12">
        <v>158.4</v>
      </c>
      <c r="Q2512" s="12">
        <v>112</v>
      </c>
      <c r="R2512" s="12">
        <v>46.400000000000006</v>
      </c>
      <c r="S2512" t="s">
        <v>1246</v>
      </c>
      <c r="T2512" t="s">
        <v>110</v>
      </c>
      <c r="U2512" t="s">
        <v>1205</v>
      </c>
    </row>
    <row r="2513" spans="1:21" x14ac:dyDescent="0.25">
      <c r="A2513" t="s">
        <v>4564</v>
      </c>
      <c r="B2513" s="8">
        <v>46004</v>
      </c>
      <c r="C2513" t="s">
        <v>2669</v>
      </c>
      <c r="D2513" t="s">
        <v>461</v>
      </c>
      <c r="E2513" t="s">
        <v>218</v>
      </c>
      <c r="F2513">
        <v>24</v>
      </c>
      <c r="G2513" t="s">
        <v>11</v>
      </c>
      <c r="H2513" t="s">
        <v>12</v>
      </c>
      <c r="I2513" t="s">
        <v>26</v>
      </c>
      <c r="J2513" t="s">
        <v>27</v>
      </c>
      <c r="K2513" t="s">
        <v>22</v>
      </c>
      <c r="L2513">
        <v>5</v>
      </c>
      <c r="M2513" s="12">
        <v>27499</v>
      </c>
      <c r="N2513" s="12">
        <v>23374.149999999998</v>
      </c>
      <c r="O2513">
        <v>18</v>
      </c>
      <c r="P2513" s="12">
        <v>112745.90000000001</v>
      </c>
      <c r="Q2513" s="12">
        <v>116870.74999999999</v>
      </c>
      <c r="R2513" s="12">
        <v>-4124.8499999999767</v>
      </c>
      <c r="S2513" t="s">
        <v>1246</v>
      </c>
      <c r="T2513" t="s">
        <v>107</v>
      </c>
      <c r="U2513" t="s">
        <v>1194</v>
      </c>
    </row>
    <row r="2514" spans="1:21" x14ac:dyDescent="0.25">
      <c r="A2514" t="s">
        <v>4565</v>
      </c>
      <c r="B2514" s="8">
        <v>45819</v>
      </c>
      <c r="C2514" t="s">
        <v>2138</v>
      </c>
      <c r="D2514" t="s">
        <v>631</v>
      </c>
      <c r="E2514" t="s">
        <v>198</v>
      </c>
      <c r="F2514">
        <v>59</v>
      </c>
      <c r="G2514" t="s">
        <v>7</v>
      </c>
      <c r="H2514" t="s">
        <v>8</v>
      </c>
      <c r="I2514" t="s">
        <v>21</v>
      </c>
      <c r="J2514" t="s">
        <v>23</v>
      </c>
      <c r="K2514" t="s">
        <v>22</v>
      </c>
      <c r="L2514">
        <v>3</v>
      </c>
      <c r="M2514" s="12">
        <v>54999</v>
      </c>
      <c r="N2514" s="12">
        <v>45099.18</v>
      </c>
      <c r="O2514">
        <v>6</v>
      </c>
      <c r="P2514" s="12">
        <v>155097.18</v>
      </c>
      <c r="Q2514" s="12">
        <v>135297.54</v>
      </c>
      <c r="R2514" s="12">
        <v>19799.639999999985</v>
      </c>
      <c r="S2514" t="s">
        <v>1246</v>
      </c>
      <c r="T2514" t="s">
        <v>108</v>
      </c>
      <c r="U2514" t="s">
        <v>1207</v>
      </c>
    </row>
    <row r="2515" spans="1:21" x14ac:dyDescent="0.25">
      <c r="A2515" t="s">
        <v>4566</v>
      </c>
      <c r="B2515" s="8">
        <v>45764</v>
      </c>
      <c r="C2515" t="s">
        <v>2175</v>
      </c>
      <c r="D2515" t="s">
        <v>949</v>
      </c>
      <c r="E2515" t="s">
        <v>218</v>
      </c>
      <c r="F2515">
        <v>23</v>
      </c>
      <c r="G2515" t="s">
        <v>5</v>
      </c>
      <c r="H2515" t="s">
        <v>3</v>
      </c>
      <c r="I2515" t="s">
        <v>61</v>
      </c>
      <c r="J2515" t="s">
        <v>146</v>
      </c>
      <c r="K2515" t="s">
        <v>64</v>
      </c>
      <c r="L2515">
        <v>4</v>
      </c>
      <c r="M2515" s="12">
        <v>250</v>
      </c>
      <c r="N2515" s="12">
        <v>155</v>
      </c>
      <c r="O2515">
        <v>1</v>
      </c>
      <c r="P2515" s="12">
        <v>990</v>
      </c>
      <c r="Q2515" s="12">
        <v>620</v>
      </c>
      <c r="R2515" s="12">
        <v>370</v>
      </c>
      <c r="S2515" t="s">
        <v>1246</v>
      </c>
      <c r="T2515" t="s">
        <v>108</v>
      </c>
      <c r="U2515" t="s">
        <v>1209</v>
      </c>
    </row>
    <row r="2516" spans="1:21" x14ac:dyDescent="0.25">
      <c r="A2516" t="s">
        <v>4567</v>
      </c>
      <c r="B2516" s="8">
        <v>45664</v>
      </c>
      <c r="C2516" t="s">
        <v>3827</v>
      </c>
      <c r="D2516" t="s">
        <v>982</v>
      </c>
      <c r="E2516" t="s">
        <v>218</v>
      </c>
      <c r="F2516">
        <v>29</v>
      </c>
      <c r="G2516" t="s">
        <v>14</v>
      </c>
      <c r="H2516" t="s">
        <v>15</v>
      </c>
      <c r="I2516" t="s">
        <v>59</v>
      </c>
      <c r="J2516" t="s">
        <v>73</v>
      </c>
      <c r="K2516" t="s">
        <v>64</v>
      </c>
      <c r="L2516">
        <v>4</v>
      </c>
      <c r="M2516" s="12">
        <v>120</v>
      </c>
      <c r="N2516" s="12">
        <v>81.599999999999994</v>
      </c>
      <c r="O2516">
        <v>8</v>
      </c>
      <c r="P2516" s="12">
        <v>441.6</v>
      </c>
      <c r="Q2516" s="12">
        <v>326.39999999999998</v>
      </c>
      <c r="R2516" s="12">
        <v>115.20000000000005</v>
      </c>
      <c r="S2516" t="s">
        <v>1249</v>
      </c>
      <c r="T2516" t="s">
        <v>110</v>
      </c>
      <c r="U2516" t="s">
        <v>1209</v>
      </c>
    </row>
    <row r="2517" spans="1:21" x14ac:dyDescent="0.25">
      <c r="A2517" t="s">
        <v>4568</v>
      </c>
      <c r="B2517" s="8">
        <v>45874</v>
      </c>
      <c r="C2517" t="s">
        <v>3347</v>
      </c>
      <c r="D2517" t="s">
        <v>442</v>
      </c>
      <c r="E2517" t="s">
        <v>218</v>
      </c>
      <c r="F2517">
        <v>45</v>
      </c>
      <c r="G2517" t="s">
        <v>2</v>
      </c>
      <c r="H2517" t="s">
        <v>3</v>
      </c>
      <c r="I2517" t="s">
        <v>34</v>
      </c>
      <c r="J2517" t="s">
        <v>137</v>
      </c>
      <c r="K2517" t="s">
        <v>22</v>
      </c>
      <c r="L2517">
        <v>5</v>
      </c>
      <c r="M2517" s="12">
        <v>6900</v>
      </c>
      <c r="N2517" s="12">
        <v>5727</v>
      </c>
      <c r="O2517">
        <v>6</v>
      </c>
      <c r="P2517" s="12">
        <v>32429.999999999996</v>
      </c>
      <c r="Q2517" s="12">
        <v>28635</v>
      </c>
      <c r="R2517" s="12">
        <v>3794.9999999999964</v>
      </c>
      <c r="S2517" t="s">
        <v>1246</v>
      </c>
      <c r="T2517" t="s">
        <v>108</v>
      </c>
      <c r="U2517" t="s">
        <v>1198</v>
      </c>
    </row>
    <row r="2518" spans="1:21" x14ac:dyDescent="0.25">
      <c r="A2518" t="s">
        <v>4570</v>
      </c>
      <c r="B2518" s="8">
        <v>45791</v>
      </c>
      <c r="C2518" t="s">
        <v>2935</v>
      </c>
      <c r="D2518" t="s">
        <v>1026</v>
      </c>
      <c r="E2518" t="s">
        <v>198</v>
      </c>
      <c r="F2518">
        <v>48</v>
      </c>
      <c r="G2518" t="s">
        <v>4</v>
      </c>
      <c r="H2518" t="s">
        <v>3</v>
      </c>
      <c r="I2518" t="s">
        <v>53</v>
      </c>
      <c r="J2518" t="s">
        <v>48</v>
      </c>
      <c r="K2518" t="s">
        <v>43</v>
      </c>
      <c r="L2518">
        <v>3</v>
      </c>
      <c r="M2518" s="12">
        <v>6499</v>
      </c>
      <c r="N2518" s="12">
        <v>4549.2999999999993</v>
      </c>
      <c r="O2518">
        <v>4</v>
      </c>
      <c r="P2518" s="12">
        <v>18717.12</v>
      </c>
      <c r="Q2518" s="12">
        <v>13647.899999999998</v>
      </c>
      <c r="R2518" s="12">
        <v>5069.2200000000012</v>
      </c>
      <c r="S2518" t="s">
        <v>1246</v>
      </c>
      <c r="T2518" t="s">
        <v>107</v>
      </c>
      <c r="U2518" t="s">
        <v>1199</v>
      </c>
    </row>
    <row r="2519" spans="1:21" x14ac:dyDescent="0.25">
      <c r="A2519" t="s">
        <v>4571</v>
      </c>
      <c r="B2519" s="8">
        <v>45671</v>
      </c>
      <c r="C2519" t="s">
        <v>2133</v>
      </c>
      <c r="D2519" t="s">
        <v>537</v>
      </c>
      <c r="E2519" t="s">
        <v>198</v>
      </c>
      <c r="F2519">
        <v>19</v>
      </c>
      <c r="G2519" t="s">
        <v>289</v>
      </c>
      <c r="H2519" t="s">
        <v>3</v>
      </c>
      <c r="I2519" t="s">
        <v>26</v>
      </c>
      <c r="J2519" t="s">
        <v>27</v>
      </c>
      <c r="K2519" t="s">
        <v>22</v>
      </c>
      <c r="L2519">
        <v>5</v>
      </c>
      <c r="M2519" s="12">
        <v>27499</v>
      </c>
      <c r="N2519" s="12">
        <v>23374.149999999998</v>
      </c>
      <c r="O2519">
        <v>10</v>
      </c>
      <c r="P2519" s="12">
        <v>123745.5</v>
      </c>
      <c r="Q2519" s="12">
        <v>116870.74999999999</v>
      </c>
      <c r="R2519" s="12">
        <v>6874.7500000000146</v>
      </c>
      <c r="S2519" t="s">
        <v>113</v>
      </c>
      <c r="T2519" t="s">
        <v>109</v>
      </c>
      <c r="U2519" t="s">
        <v>1196</v>
      </c>
    </row>
    <row r="2520" spans="1:21" x14ac:dyDescent="0.25">
      <c r="A2520" t="s">
        <v>4572</v>
      </c>
      <c r="B2520" s="8">
        <v>45954</v>
      </c>
      <c r="C2520" t="s">
        <v>2110</v>
      </c>
      <c r="D2520" t="s">
        <v>534</v>
      </c>
      <c r="E2520" t="s">
        <v>198</v>
      </c>
      <c r="F2520">
        <v>61</v>
      </c>
      <c r="G2520" t="s">
        <v>2</v>
      </c>
      <c r="H2520" t="s">
        <v>3</v>
      </c>
      <c r="I2520" t="s">
        <v>26</v>
      </c>
      <c r="J2520" t="s">
        <v>27</v>
      </c>
      <c r="K2520" t="s">
        <v>22</v>
      </c>
      <c r="L2520">
        <v>2</v>
      </c>
      <c r="M2520" s="12">
        <v>27499</v>
      </c>
      <c r="N2520" s="12">
        <v>23374.149999999998</v>
      </c>
      <c r="O2520">
        <v>4</v>
      </c>
      <c r="P2520" s="12">
        <v>52798.079999999994</v>
      </c>
      <c r="Q2520" s="12">
        <v>46748.299999999996</v>
      </c>
      <c r="R2520" s="12">
        <v>6049.7799999999988</v>
      </c>
      <c r="S2520" t="s">
        <v>1246</v>
      </c>
      <c r="T2520" t="s">
        <v>110</v>
      </c>
      <c r="U2520" t="s">
        <v>1199</v>
      </c>
    </row>
    <row r="2521" spans="1:21" x14ac:dyDescent="0.25">
      <c r="A2521" t="s">
        <v>4573</v>
      </c>
      <c r="B2521" s="8">
        <v>45998</v>
      </c>
      <c r="C2521" t="s">
        <v>1783</v>
      </c>
      <c r="D2521" t="s">
        <v>441</v>
      </c>
      <c r="E2521" t="s">
        <v>198</v>
      </c>
      <c r="F2521">
        <v>22</v>
      </c>
      <c r="G2521" t="s">
        <v>5</v>
      </c>
      <c r="H2521" t="s">
        <v>3</v>
      </c>
      <c r="I2521" t="s">
        <v>61</v>
      </c>
      <c r="J2521" t="s">
        <v>146</v>
      </c>
      <c r="K2521" t="s">
        <v>64</v>
      </c>
      <c r="L2521">
        <v>4</v>
      </c>
      <c r="M2521" s="12">
        <v>250</v>
      </c>
      <c r="N2521" s="12">
        <v>155</v>
      </c>
      <c r="O2521">
        <v>7</v>
      </c>
      <c r="P2521" s="12">
        <v>929.99999999999989</v>
      </c>
      <c r="Q2521" s="12">
        <v>620</v>
      </c>
      <c r="R2521" s="12">
        <v>309.99999999999989</v>
      </c>
      <c r="S2521" t="s">
        <v>113</v>
      </c>
      <c r="T2521" t="s">
        <v>108</v>
      </c>
      <c r="U2521" t="s">
        <v>1198</v>
      </c>
    </row>
    <row r="2522" spans="1:21" x14ac:dyDescent="0.25">
      <c r="A2522" t="s">
        <v>4574</v>
      </c>
      <c r="B2522" s="8">
        <v>46007</v>
      </c>
      <c r="C2522" t="s">
        <v>1852</v>
      </c>
      <c r="D2522" t="s">
        <v>439</v>
      </c>
      <c r="E2522" t="s">
        <v>198</v>
      </c>
      <c r="F2522">
        <v>57</v>
      </c>
      <c r="G2522" t="s">
        <v>10</v>
      </c>
      <c r="H2522" t="s">
        <v>8</v>
      </c>
      <c r="I2522" t="s">
        <v>45</v>
      </c>
      <c r="J2522" t="s">
        <v>46</v>
      </c>
      <c r="K2522" t="s">
        <v>43</v>
      </c>
      <c r="L2522">
        <v>4</v>
      </c>
      <c r="M2522" s="12">
        <v>11999</v>
      </c>
      <c r="N2522" s="12">
        <v>8999.25</v>
      </c>
      <c r="O2522">
        <v>12</v>
      </c>
      <c r="P2522" s="12">
        <v>42236.480000000003</v>
      </c>
      <c r="Q2522" s="12">
        <v>35997</v>
      </c>
      <c r="R2522" s="12">
        <v>6239.4800000000032</v>
      </c>
      <c r="S2522" t="s">
        <v>1246</v>
      </c>
      <c r="T2522" t="s">
        <v>107</v>
      </c>
      <c r="U2522" t="s">
        <v>1201</v>
      </c>
    </row>
    <row r="2523" spans="1:21" x14ac:dyDescent="0.25">
      <c r="A2523" t="s">
        <v>4575</v>
      </c>
      <c r="B2523" s="8">
        <v>45759</v>
      </c>
      <c r="C2523" t="s">
        <v>2579</v>
      </c>
      <c r="D2523" t="s">
        <v>418</v>
      </c>
      <c r="E2523" t="s">
        <v>218</v>
      </c>
      <c r="F2523">
        <v>33</v>
      </c>
      <c r="G2523" t="s">
        <v>9</v>
      </c>
      <c r="H2523" t="s">
        <v>8</v>
      </c>
      <c r="I2523" t="s">
        <v>55</v>
      </c>
      <c r="J2523" t="s">
        <v>65</v>
      </c>
      <c r="K2523" t="s">
        <v>64</v>
      </c>
      <c r="L2523">
        <v>5</v>
      </c>
      <c r="M2523" s="12">
        <v>80</v>
      </c>
      <c r="N2523" s="12">
        <v>56</v>
      </c>
      <c r="O2523">
        <v>5</v>
      </c>
      <c r="P2523" s="12">
        <v>380</v>
      </c>
      <c r="Q2523" s="12">
        <v>280</v>
      </c>
      <c r="R2523" s="12">
        <v>100</v>
      </c>
      <c r="S2523" t="s">
        <v>1246</v>
      </c>
      <c r="T2523" t="s">
        <v>110</v>
      </c>
      <c r="U2523" t="s">
        <v>1194</v>
      </c>
    </row>
    <row r="2524" spans="1:21" x14ac:dyDescent="0.25">
      <c r="A2524" t="s">
        <v>4576</v>
      </c>
      <c r="B2524" s="8">
        <v>45757</v>
      </c>
      <c r="C2524" t="s">
        <v>1832</v>
      </c>
      <c r="D2524" t="s">
        <v>686</v>
      </c>
      <c r="E2524" t="s">
        <v>198</v>
      </c>
      <c r="F2524">
        <v>34</v>
      </c>
      <c r="G2524" t="s">
        <v>9</v>
      </c>
      <c r="H2524" t="s">
        <v>8</v>
      </c>
      <c r="I2524" t="s">
        <v>53</v>
      </c>
      <c r="J2524" t="s">
        <v>48</v>
      </c>
      <c r="K2524" t="s">
        <v>43</v>
      </c>
      <c r="L2524">
        <v>5</v>
      </c>
      <c r="M2524" s="12">
        <v>6499</v>
      </c>
      <c r="N2524" s="12">
        <v>4549.2999999999993</v>
      </c>
      <c r="O2524">
        <v>5</v>
      </c>
      <c r="P2524" s="12">
        <v>30870.25</v>
      </c>
      <c r="Q2524" s="12">
        <v>22746.499999999996</v>
      </c>
      <c r="R2524" s="12">
        <v>8123.7500000000036</v>
      </c>
      <c r="S2524" t="s">
        <v>1246</v>
      </c>
      <c r="T2524" t="s">
        <v>108</v>
      </c>
      <c r="U2524" t="s">
        <v>1209</v>
      </c>
    </row>
    <row r="2525" spans="1:21" x14ac:dyDescent="0.25">
      <c r="A2525" t="s">
        <v>4577</v>
      </c>
      <c r="B2525" s="8">
        <v>45878</v>
      </c>
      <c r="C2525" t="s">
        <v>2524</v>
      </c>
      <c r="D2525" t="s">
        <v>543</v>
      </c>
      <c r="E2525" t="s">
        <v>198</v>
      </c>
      <c r="F2525">
        <v>51</v>
      </c>
      <c r="G2525" t="s">
        <v>7</v>
      </c>
      <c r="H2525" t="s">
        <v>8</v>
      </c>
      <c r="I2525" t="s">
        <v>53</v>
      </c>
      <c r="J2525" t="s">
        <v>48</v>
      </c>
      <c r="K2525" t="s">
        <v>43</v>
      </c>
      <c r="L2525">
        <v>3</v>
      </c>
      <c r="M2525" s="12">
        <v>6499</v>
      </c>
      <c r="N2525" s="12">
        <v>4549.2999999999993</v>
      </c>
      <c r="O2525">
        <v>9</v>
      </c>
      <c r="P2525" s="12">
        <v>17742.27</v>
      </c>
      <c r="Q2525" s="12">
        <v>13647.899999999998</v>
      </c>
      <c r="R2525" s="12">
        <v>4094.3700000000026</v>
      </c>
      <c r="S2525" t="s">
        <v>113</v>
      </c>
      <c r="T2525" t="s">
        <v>110</v>
      </c>
      <c r="U2525" t="s">
        <v>1199</v>
      </c>
    </row>
    <row r="2526" spans="1:21" x14ac:dyDescent="0.25">
      <c r="A2526" t="s">
        <v>4578</v>
      </c>
      <c r="B2526" s="8">
        <v>45852</v>
      </c>
      <c r="C2526" t="s">
        <v>3750</v>
      </c>
      <c r="D2526" t="s">
        <v>579</v>
      </c>
      <c r="E2526" t="s">
        <v>198</v>
      </c>
      <c r="F2526">
        <v>18</v>
      </c>
      <c r="G2526" t="s">
        <v>14</v>
      </c>
      <c r="H2526" t="s">
        <v>15</v>
      </c>
      <c r="I2526" t="s">
        <v>32</v>
      </c>
      <c r="J2526" t="s">
        <v>29</v>
      </c>
      <c r="K2526" t="s">
        <v>22</v>
      </c>
      <c r="L2526">
        <v>1</v>
      </c>
      <c r="M2526" s="12">
        <v>9500</v>
      </c>
      <c r="N2526" s="12">
        <v>6650</v>
      </c>
      <c r="O2526">
        <v>8</v>
      </c>
      <c r="P2526" s="12">
        <v>8740</v>
      </c>
      <c r="Q2526" s="12">
        <v>6650</v>
      </c>
      <c r="R2526" s="12">
        <v>2090</v>
      </c>
      <c r="S2526" t="s">
        <v>113</v>
      </c>
      <c r="T2526" t="s">
        <v>107</v>
      </c>
      <c r="U2526" t="s">
        <v>1196</v>
      </c>
    </row>
    <row r="2527" spans="1:21" x14ac:dyDescent="0.25">
      <c r="A2527" t="s">
        <v>4579</v>
      </c>
      <c r="B2527" s="8">
        <v>45947</v>
      </c>
      <c r="C2527" t="s">
        <v>2721</v>
      </c>
      <c r="D2527" t="s">
        <v>984</v>
      </c>
      <c r="E2527" t="s">
        <v>198</v>
      </c>
      <c r="F2527">
        <v>64</v>
      </c>
      <c r="G2527" t="s">
        <v>5</v>
      </c>
      <c r="H2527" t="s">
        <v>3</v>
      </c>
      <c r="I2527" t="s">
        <v>24</v>
      </c>
      <c r="J2527" t="s">
        <v>25</v>
      </c>
      <c r="K2527" t="s">
        <v>22</v>
      </c>
      <c r="L2527">
        <v>1</v>
      </c>
      <c r="M2527" s="12">
        <v>35800</v>
      </c>
      <c r="N2527" s="12">
        <v>28640</v>
      </c>
      <c r="O2527">
        <v>5</v>
      </c>
      <c r="P2527" s="12">
        <v>34010</v>
      </c>
      <c r="Q2527" s="12">
        <v>28640</v>
      </c>
      <c r="R2527" s="12">
        <v>5370</v>
      </c>
      <c r="S2527" t="s">
        <v>1246</v>
      </c>
      <c r="T2527" t="s">
        <v>107</v>
      </c>
      <c r="U2527" t="s">
        <v>1194</v>
      </c>
    </row>
    <row r="2528" spans="1:21" x14ac:dyDescent="0.25">
      <c r="A2528" t="s">
        <v>4580</v>
      </c>
      <c r="B2528" s="8">
        <v>45935</v>
      </c>
      <c r="C2528" t="s">
        <v>4028</v>
      </c>
      <c r="D2528" t="s">
        <v>1082</v>
      </c>
      <c r="E2528" t="s">
        <v>218</v>
      </c>
      <c r="F2528">
        <v>22</v>
      </c>
      <c r="G2528" t="s">
        <v>11</v>
      </c>
      <c r="H2528" t="s">
        <v>12</v>
      </c>
      <c r="I2528" t="s">
        <v>59</v>
      </c>
      <c r="J2528" t="s">
        <v>73</v>
      </c>
      <c r="K2528" t="s">
        <v>64</v>
      </c>
      <c r="L2528">
        <v>2</v>
      </c>
      <c r="M2528" s="12">
        <v>120</v>
      </c>
      <c r="N2528" s="12">
        <v>81.599999999999994</v>
      </c>
      <c r="O2528">
        <v>3</v>
      </c>
      <c r="P2528" s="12">
        <v>232.79999999999998</v>
      </c>
      <c r="Q2528" s="12">
        <v>163.19999999999999</v>
      </c>
      <c r="R2528" s="12">
        <v>69.599999999999994</v>
      </c>
      <c r="S2528" t="s">
        <v>1246</v>
      </c>
      <c r="T2528" t="s">
        <v>109</v>
      </c>
      <c r="U2528" t="s">
        <v>1201</v>
      </c>
    </row>
    <row r="2529" spans="1:21" x14ac:dyDescent="0.25">
      <c r="A2529" t="s">
        <v>4581</v>
      </c>
      <c r="B2529" s="8">
        <v>45846</v>
      </c>
      <c r="C2529" t="s">
        <v>1776</v>
      </c>
      <c r="D2529" t="s">
        <v>550</v>
      </c>
      <c r="E2529" t="s">
        <v>198</v>
      </c>
      <c r="F2529">
        <v>40</v>
      </c>
      <c r="G2529" t="s">
        <v>7</v>
      </c>
      <c r="H2529" t="s">
        <v>8</v>
      </c>
      <c r="I2529" t="s">
        <v>55</v>
      </c>
      <c r="J2529" t="s">
        <v>65</v>
      </c>
      <c r="K2529" t="s">
        <v>64</v>
      </c>
      <c r="L2529">
        <v>2</v>
      </c>
      <c r="M2529" s="12">
        <v>80</v>
      </c>
      <c r="N2529" s="12">
        <v>56</v>
      </c>
      <c r="O2529">
        <v>3</v>
      </c>
      <c r="P2529" s="12">
        <v>155.19999999999999</v>
      </c>
      <c r="Q2529" s="12">
        <v>112</v>
      </c>
      <c r="R2529" s="12">
        <v>43.199999999999989</v>
      </c>
      <c r="S2529" t="s">
        <v>1246</v>
      </c>
      <c r="T2529" t="s">
        <v>107</v>
      </c>
      <c r="U2529" t="s">
        <v>1196</v>
      </c>
    </row>
    <row r="2530" spans="1:21" x14ac:dyDescent="0.25">
      <c r="A2530" t="s">
        <v>4582</v>
      </c>
      <c r="B2530" s="8">
        <v>45960</v>
      </c>
      <c r="C2530" t="s">
        <v>1314</v>
      </c>
      <c r="D2530" t="s">
        <v>773</v>
      </c>
      <c r="E2530" t="s">
        <v>198</v>
      </c>
      <c r="F2530">
        <v>34</v>
      </c>
      <c r="G2530" t="s">
        <v>7</v>
      </c>
      <c r="H2530" t="s">
        <v>8</v>
      </c>
      <c r="I2530" t="s">
        <v>28</v>
      </c>
      <c r="J2530" t="s">
        <v>35</v>
      </c>
      <c r="K2530" t="s">
        <v>22</v>
      </c>
      <c r="L2530">
        <v>3</v>
      </c>
      <c r="M2530" s="12">
        <v>16499</v>
      </c>
      <c r="N2530" s="12">
        <v>14519.12</v>
      </c>
      <c r="O2530">
        <v>7</v>
      </c>
      <c r="P2530" s="12">
        <v>46032.21</v>
      </c>
      <c r="Q2530" s="12">
        <v>43557.36</v>
      </c>
      <c r="R2530" s="12">
        <v>2474.8499999999985</v>
      </c>
      <c r="S2530" t="s">
        <v>1246</v>
      </c>
      <c r="T2530" t="s">
        <v>110</v>
      </c>
      <c r="U2530" t="s">
        <v>1209</v>
      </c>
    </row>
    <row r="2531" spans="1:21" x14ac:dyDescent="0.25">
      <c r="A2531" t="s">
        <v>4583</v>
      </c>
      <c r="B2531" s="8">
        <v>45745</v>
      </c>
      <c r="C2531" t="s">
        <v>1460</v>
      </c>
      <c r="D2531" t="s">
        <v>1039</v>
      </c>
      <c r="E2531" t="s">
        <v>218</v>
      </c>
      <c r="F2531">
        <v>48</v>
      </c>
      <c r="G2531" t="s">
        <v>5</v>
      </c>
      <c r="H2531" t="s">
        <v>3</v>
      </c>
      <c r="I2531" t="s">
        <v>32</v>
      </c>
      <c r="J2531" t="s">
        <v>29</v>
      </c>
      <c r="K2531" t="s">
        <v>22</v>
      </c>
      <c r="L2531">
        <v>3</v>
      </c>
      <c r="M2531" s="12">
        <v>9500</v>
      </c>
      <c r="N2531" s="12">
        <v>6650</v>
      </c>
      <c r="O2531">
        <v>4</v>
      </c>
      <c r="P2531" s="12">
        <v>27360</v>
      </c>
      <c r="Q2531" s="12">
        <v>19950</v>
      </c>
      <c r="R2531" s="12">
        <v>7410</v>
      </c>
      <c r="S2531" t="s">
        <v>113</v>
      </c>
      <c r="T2531" t="s">
        <v>107</v>
      </c>
      <c r="U2531" t="s">
        <v>1203</v>
      </c>
    </row>
    <row r="2532" spans="1:21" x14ac:dyDescent="0.25">
      <c r="A2532" t="s">
        <v>4584</v>
      </c>
      <c r="B2532" s="8">
        <v>45951</v>
      </c>
      <c r="C2532" t="s">
        <v>1544</v>
      </c>
      <c r="D2532" t="s">
        <v>801</v>
      </c>
      <c r="E2532" t="s">
        <v>218</v>
      </c>
      <c r="F2532">
        <v>60</v>
      </c>
      <c r="G2532" t="s">
        <v>11</v>
      </c>
      <c r="H2532" t="s">
        <v>12</v>
      </c>
      <c r="I2532" t="s">
        <v>59</v>
      </c>
      <c r="J2532" t="s">
        <v>73</v>
      </c>
      <c r="K2532" t="s">
        <v>64</v>
      </c>
      <c r="L2532">
        <v>3</v>
      </c>
      <c r="M2532" s="12">
        <v>120</v>
      </c>
      <c r="N2532" s="12">
        <v>81.599999999999994</v>
      </c>
      <c r="O2532">
        <v>3</v>
      </c>
      <c r="P2532" s="12">
        <v>349.2</v>
      </c>
      <c r="Q2532" s="12">
        <v>244.79999999999998</v>
      </c>
      <c r="R2532" s="12">
        <v>104.4</v>
      </c>
      <c r="S2532" t="s">
        <v>1246</v>
      </c>
      <c r="T2532" t="s">
        <v>108</v>
      </c>
      <c r="U2532" t="s">
        <v>1207</v>
      </c>
    </row>
    <row r="2533" spans="1:21" x14ac:dyDescent="0.25">
      <c r="A2533" t="s">
        <v>4585</v>
      </c>
      <c r="B2533" s="8">
        <v>45926</v>
      </c>
      <c r="C2533" t="s">
        <v>2048</v>
      </c>
      <c r="D2533" t="s">
        <v>435</v>
      </c>
      <c r="E2533" t="s">
        <v>198</v>
      </c>
      <c r="F2533">
        <v>65</v>
      </c>
      <c r="G2533" t="s">
        <v>4</v>
      </c>
      <c r="H2533" t="s">
        <v>3</v>
      </c>
      <c r="I2533" t="s">
        <v>30</v>
      </c>
      <c r="J2533" t="s">
        <v>41</v>
      </c>
      <c r="K2533" t="s">
        <v>22</v>
      </c>
      <c r="L2533">
        <v>5</v>
      </c>
      <c r="M2533" s="12">
        <v>13749</v>
      </c>
      <c r="N2533" s="12">
        <v>10999.2</v>
      </c>
      <c r="O2533">
        <v>3</v>
      </c>
      <c r="P2533" s="12">
        <v>66682.649999999994</v>
      </c>
      <c r="Q2533" s="12">
        <v>54996</v>
      </c>
      <c r="R2533" s="12">
        <v>11686.649999999994</v>
      </c>
      <c r="S2533" t="s">
        <v>1246</v>
      </c>
      <c r="T2533" t="s">
        <v>107</v>
      </c>
      <c r="U2533" t="s">
        <v>1199</v>
      </c>
    </row>
    <row r="2534" spans="1:21" x14ac:dyDescent="0.25">
      <c r="A2534" t="s">
        <v>4586</v>
      </c>
      <c r="B2534" s="8">
        <v>45864</v>
      </c>
      <c r="C2534" t="s">
        <v>2245</v>
      </c>
      <c r="D2534" t="s">
        <v>732</v>
      </c>
      <c r="E2534" t="s">
        <v>198</v>
      </c>
      <c r="F2534">
        <v>24</v>
      </c>
      <c r="G2534" t="s">
        <v>290</v>
      </c>
      <c r="H2534" t="s">
        <v>3</v>
      </c>
      <c r="I2534" t="s">
        <v>40</v>
      </c>
      <c r="J2534" t="s">
        <v>39</v>
      </c>
      <c r="K2534" t="s">
        <v>22</v>
      </c>
      <c r="L2534">
        <v>3</v>
      </c>
      <c r="M2534" s="12">
        <v>1100</v>
      </c>
      <c r="N2534" s="12">
        <v>715</v>
      </c>
      <c r="O2534">
        <v>3</v>
      </c>
      <c r="P2534" s="12">
        <v>3201</v>
      </c>
      <c r="Q2534" s="12">
        <v>2145</v>
      </c>
      <c r="R2534" s="12">
        <v>1056</v>
      </c>
      <c r="S2534" t="s">
        <v>1246</v>
      </c>
      <c r="T2534" t="s">
        <v>107</v>
      </c>
      <c r="U2534" t="s">
        <v>1201</v>
      </c>
    </row>
    <row r="2535" spans="1:21" x14ac:dyDescent="0.25">
      <c r="A2535" t="s">
        <v>4587</v>
      </c>
      <c r="B2535" s="8">
        <v>45882</v>
      </c>
      <c r="C2535" t="s">
        <v>2129</v>
      </c>
      <c r="D2535" t="s">
        <v>368</v>
      </c>
      <c r="E2535" t="s">
        <v>198</v>
      </c>
      <c r="F2535">
        <v>40</v>
      </c>
      <c r="G2535" t="s">
        <v>16</v>
      </c>
      <c r="H2535" t="s">
        <v>15</v>
      </c>
      <c r="I2535" t="s">
        <v>32</v>
      </c>
      <c r="J2535" t="s">
        <v>29</v>
      </c>
      <c r="K2535" t="s">
        <v>22</v>
      </c>
      <c r="L2535">
        <v>2</v>
      </c>
      <c r="M2535" s="12">
        <v>9500</v>
      </c>
      <c r="N2535" s="12">
        <v>6650</v>
      </c>
      <c r="O2535">
        <v>5</v>
      </c>
      <c r="P2535" s="12">
        <v>18050</v>
      </c>
      <c r="Q2535" s="12">
        <v>13300</v>
      </c>
      <c r="R2535" s="12">
        <v>4750</v>
      </c>
      <c r="S2535" t="s">
        <v>1246</v>
      </c>
      <c r="T2535" t="s">
        <v>109</v>
      </c>
      <c r="U2535" t="s">
        <v>1209</v>
      </c>
    </row>
    <row r="2536" spans="1:21" x14ac:dyDescent="0.25">
      <c r="A2536" t="s">
        <v>4588</v>
      </c>
      <c r="B2536" s="8">
        <v>45695</v>
      </c>
      <c r="C2536" t="s">
        <v>1897</v>
      </c>
      <c r="D2536" t="s">
        <v>409</v>
      </c>
      <c r="E2536" t="s">
        <v>198</v>
      </c>
      <c r="F2536">
        <v>62</v>
      </c>
      <c r="G2536" t="s">
        <v>10</v>
      </c>
      <c r="H2536" t="s">
        <v>8</v>
      </c>
      <c r="I2536" t="s">
        <v>59</v>
      </c>
      <c r="J2536" t="s">
        <v>73</v>
      </c>
      <c r="K2536" t="s">
        <v>64</v>
      </c>
      <c r="L2536">
        <v>3</v>
      </c>
      <c r="M2536" s="12">
        <v>120</v>
      </c>
      <c r="N2536" s="12">
        <v>81.599999999999994</v>
      </c>
      <c r="O2536">
        <v>0</v>
      </c>
      <c r="P2536" s="12">
        <v>360</v>
      </c>
      <c r="Q2536" s="12">
        <v>244.79999999999998</v>
      </c>
      <c r="R2536" s="12">
        <v>115.20000000000002</v>
      </c>
      <c r="S2536" t="s">
        <v>113</v>
      </c>
      <c r="T2536" t="s">
        <v>109</v>
      </c>
      <c r="U2536" t="s">
        <v>1205</v>
      </c>
    </row>
    <row r="2537" spans="1:21" x14ac:dyDescent="0.25">
      <c r="A2537" t="s">
        <v>4589</v>
      </c>
      <c r="B2537" s="8">
        <v>45958</v>
      </c>
      <c r="C2537" t="s">
        <v>2219</v>
      </c>
      <c r="D2537" t="s">
        <v>1160</v>
      </c>
      <c r="E2537" t="s">
        <v>198</v>
      </c>
      <c r="F2537">
        <v>49</v>
      </c>
      <c r="G2537" t="s">
        <v>14</v>
      </c>
      <c r="H2537" t="s">
        <v>15</v>
      </c>
      <c r="I2537" t="s">
        <v>32</v>
      </c>
      <c r="J2537" t="s">
        <v>29</v>
      </c>
      <c r="K2537" t="s">
        <v>22</v>
      </c>
      <c r="L2537">
        <v>3</v>
      </c>
      <c r="M2537" s="12">
        <v>9500</v>
      </c>
      <c r="N2537" s="12">
        <v>6650</v>
      </c>
      <c r="O2537">
        <v>6</v>
      </c>
      <c r="P2537" s="12">
        <v>26790</v>
      </c>
      <c r="Q2537" s="12">
        <v>19950</v>
      </c>
      <c r="R2537" s="12">
        <v>6840</v>
      </c>
      <c r="S2537" t="s">
        <v>1246</v>
      </c>
      <c r="T2537" t="s">
        <v>107</v>
      </c>
      <c r="U2537" t="s">
        <v>1201</v>
      </c>
    </row>
    <row r="2538" spans="1:21" x14ac:dyDescent="0.25">
      <c r="A2538" t="s">
        <v>4590</v>
      </c>
      <c r="B2538" s="8">
        <v>45866</v>
      </c>
      <c r="C2538" t="s">
        <v>2520</v>
      </c>
      <c r="D2538" t="s">
        <v>1178</v>
      </c>
      <c r="E2538" t="s">
        <v>198</v>
      </c>
      <c r="F2538">
        <v>49</v>
      </c>
      <c r="G2538" t="s">
        <v>289</v>
      </c>
      <c r="H2538" t="s">
        <v>3</v>
      </c>
      <c r="I2538" t="s">
        <v>57</v>
      </c>
      <c r="J2538" t="s">
        <v>67</v>
      </c>
      <c r="K2538" t="s">
        <v>64</v>
      </c>
      <c r="L2538">
        <v>4</v>
      </c>
      <c r="M2538" s="12">
        <v>150</v>
      </c>
      <c r="N2538" s="12">
        <v>97.5</v>
      </c>
      <c r="O2538">
        <v>2</v>
      </c>
      <c r="P2538" s="12">
        <v>588</v>
      </c>
      <c r="Q2538" s="12">
        <v>390</v>
      </c>
      <c r="R2538" s="12">
        <v>198</v>
      </c>
      <c r="S2538" t="s">
        <v>113</v>
      </c>
      <c r="T2538" t="s">
        <v>108</v>
      </c>
      <c r="U2538" t="s">
        <v>1209</v>
      </c>
    </row>
    <row r="2539" spans="1:21" x14ac:dyDescent="0.25">
      <c r="A2539" t="s">
        <v>4591</v>
      </c>
      <c r="B2539" s="8">
        <v>46009</v>
      </c>
      <c r="C2539" t="s">
        <v>1392</v>
      </c>
      <c r="D2539" t="s">
        <v>754</v>
      </c>
      <c r="E2539" t="s">
        <v>218</v>
      </c>
      <c r="F2539">
        <v>46</v>
      </c>
      <c r="G2539" t="s">
        <v>16</v>
      </c>
      <c r="H2539" t="s">
        <v>15</v>
      </c>
      <c r="I2539" t="s">
        <v>49</v>
      </c>
      <c r="J2539" t="s">
        <v>56</v>
      </c>
      <c r="K2539" t="s">
        <v>43</v>
      </c>
      <c r="L2539">
        <v>5</v>
      </c>
      <c r="M2539" s="12">
        <v>31999</v>
      </c>
      <c r="N2539" s="12">
        <v>25599.200000000001</v>
      </c>
      <c r="O2539">
        <v>15</v>
      </c>
      <c r="P2539" s="12">
        <v>135995.75</v>
      </c>
      <c r="Q2539" s="12">
        <v>127996</v>
      </c>
      <c r="R2539" s="12">
        <v>7999.75</v>
      </c>
      <c r="S2539" t="s">
        <v>1246</v>
      </c>
      <c r="T2539" t="s">
        <v>107</v>
      </c>
      <c r="U2539" t="s">
        <v>1194</v>
      </c>
    </row>
    <row r="2540" spans="1:21" x14ac:dyDescent="0.25">
      <c r="A2540" t="s">
        <v>4592</v>
      </c>
      <c r="B2540" s="8">
        <v>45754</v>
      </c>
      <c r="C2540" t="s">
        <v>1868</v>
      </c>
      <c r="D2540" t="s">
        <v>1123</v>
      </c>
      <c r="E2540" t="s">
        <v>218</v>
      </c>
      <c r="F2540">
        <v>26</v>
      </c>
      <c r="G2540" t="s">
        <v>9</v>
      </c>
      <c r="H2540" t="s">
        <v>8</v>
      </c>
      <c r="I2540" t="s">
        <v>30</v>
      </c>
      <c r="J2540" t="s">
        <v>41</v>
      </c>
      <c r="K2540" t="s">
        <v>22</v>
      </c>
      <c r="L2540">
        <v>4</v>
      </c>
      <c r="M2540" s="12">
        <v>13749</v>
      </c>
      <c r="N2540" s="12">
        <v>10999.2</v>
      </c>
      <c r="O2540">
        <v>5</v>
      </c>
      <c r="P2540" s="12">
        <v>52246.2</v>
      </c>
      <c r="Q2540" s="12">
        <v>43996.800000000003</v>
      </c>
      <c r="R2540" s="12">
        <v>8249.3999999999942</v>
      </c>
      <c r="S2540" t="s">
        <v>1249</v>
      </c>
      <c r="T2540" t="s">
        <v>111</v>
      </c>
      <c r="U2540" t="s">
        <v>1201</v>
      </c>
    </row>
    <row r="2541" spans="1:21" x14ac:dyDescent="0.25">
      <c r="A2541" t="s">
        <v>4593</v>
      </c>
      <c r="B2541" s="8">
        <v>45933</v>
      </c>
      <c r="C2541" t="s">
        <v>2362</v>
      </c>
      <c r="D2541" t="s">
        <v>548</v>
      </c>
      <c r="E2541" t="s">
        <v>218</v>
      </c>
      <c r="F2541">
        <v>38</v>
      </c>
      <c r="G2541" t="s">
        <v>290</v>
      </c>
      <c r="H2541" t="s">
        <v>3</v>
      </c>
      <c r="I2541" t="s">
        <v>63</v>
      </c>
      <c r="J2541" t="s">
        <v>77</v>
      </c>
      <c r="K2541" t="s">
        <v>64</v>
      </c>
      <c r="L2541">
        <v>4</v>
      </c>
      <c r="M2541" s="12">
        <v>650</v>
      </c>
      <c r="N2541" s="12">
        <v>468</v>
      </c>
      <c r="O2541">
        <v>4</v>
      </c>
      <c r="P2541" s="12">
        <v>2496</v>
      </c>
      <c r="Q2541" s="12">
        <v>1872</v>
      </c>
      <c r="R2541" s="12">
        <v>624</v>
      </c>
      <c r="S2541" t="s">
        <v>1246</v>
      </c>
      <c r="T2541" t="s">
        <v>108</v>
      </c>
      <c r="U2541" t="s">
        <v>1203</v>
      </c>
    </row>
    <row r="2542" spans="1:21" x14ac:dyDescent="0.25">
      <c r="A2542" t="s">
        <v>4594</v>
      </c>
      <c r="B2542" s="8">
        <v>45903</v>
      </c>
      <c r="C2542" t="s">
        <v>1932</v>
      </c>
      <c r="D2542" t="s">
        <v>794</v>
      </c>
      <c r="E2542" t="s">
        <v>218</v>
      </c>
      <c r="F2542">
        <v>64</v>
      </c>
      <c r="G2542" t="s">
        <v>14</v>
      </c>
      <c r="H2542" t="s">
        <v>15</v>
      </c>
      <c r="I2542" t="s">
        <v>63</v>
      </c>
      <c r="J2542" t="s">
        <v>77</v>
      </c>
      <c r="K2542" t="s">
        <v>64</v>
      </c>
      <c r="L2542">
        <v>1</v>
      </c>
      <c r="M2542" s="12">
        <v>650</v>
      </c>
      <c r="N2542" s="12">
        <v>468</v>
      </c>
      <c r="O2542">
        <v>5</v>
      </c>
      <c r="P2542" s="12">
        <v>617.5</v>
      </c>
      <c r="Q2542" s="12">
        <v>468</v>
      </c>
      <c r="R2542" s="12">
        <v>149.5</v>
      </c>
      <c r="S2542" t="s">
        <v>113</v>
      </c>
      <c r="T2542" t="s">
        <v>109</v>
      </c>
      <c r="U2542" t="s">
        <v>1205</v>
      </c>
    </row>
    <row r="2543" spans="1:21" x14ac:dyDescent="0.25">
      <c r="A2543" t="s">
        <v>4595</v>
      </c>
      <c r="B2543" s="8">
        <v>45800</v>
      </c>
      <c r="C2543" t="s">
        <v>1841</v>
      </c>
      <c r="D2543" t="s">
        <v>1140</v>
      </c>
      <c r="E2543" t="s">
        <v>218</v>
      </c>
      <c r="F2543">
        <v>21</v>
      </c>
      <c r="G2543" t="s">
        <v>290</v>
      </c>
      <c r="H2543" t="s">
        <v>3</v>
      </c>
      <c r="I2543" t="s">
        <v>28</v>
      </c>
      <c r="J2543" t="s">
        <v>35</v>
      </c>
      <c r="K2543" t="s">
        <v>22</v>
      </c>
      <c r="L2543">
        <v>1</v>
      </c>
      <c r="M2543" s="12">
        <v>16499</v>
      </c>
      <c r="N2543" s="12">
        <v>14519.12</v>
      </c>
      <c r="O2543">
        <v>9</v>
      </c>
      <c r="P2543" s="12">
        <v>15014.09</v>
      </c>
      <c r="Q2543" s="12">
        <v>14519.12</v>
      </c>
      <c r="R2543" s="12">
        <v>494.96999999999935</v>
      </c>
      <c r="S2543" t="s">
        <v>1246</v>
      </c>
      <c r="T2543" t="s">
        <v>109</v>
      </c>
      <c r="U2543" t="s">
        <v>1211</v>
      </c>
    </row>
    <row r="2544" spans="1:21" x14ac:dyDescent="0.25">
      <c r="A2544" t="s">
        <v>4596</v>
      </c>
      <c r="B2544" s="8">
        <v>45905</v>
      </c>
      <c r="C2544" t="s">
        <v>2392</v>
      </c>
      <c r="D2544" t="s">
        <v>667</v>
      </c>
      <c r="E2544" t="s">
        <v>218</v>
      </c>
      <c r="F2544">
        <v>25</v>
      </c>
      <c r="G2544" t="s">
        <v>10</v>
      </c>
      <c r="H2544" t="s">
        <v>8</v>
      </c>
      <c r="I2544" t="s">
        <v>53</v>
      </c>
      <c r="J2544" t="s">
        <v>48</v>
      </c>
      <c r="K2544" t="s">
        <v>43</v>
      </c>
      <c r="L2544">
        <v>4</v>
      </c>
      <c r="M2544" s="12">
        <v>6499</v>
      </c>
      <c r="N2544" s="12">
        <v>4549.2999999999993</v>
      </c>
      <c r="O2544">
        <v>8</v>
      </c>
      <c r="P2544" s="12">
        <v>23916.32</v>
      </c>
      <c r="Q2544" s="12">
        <v>18197.199999999997</v>
      </c>
      <c r="R2544" s="12">
        <v>5719.1200000000026</v>
      </c>
      <c r="S2544" t="s">
        <v>1246</v>
      </c>
      <c r="T2544" t="s">
        <v>108</v>
      </c>
      <c r="U2544" t="s">
        <v>1201</v>
      </c>
    </row>
    <row r="2545" spans="1:21" x14ac:dyDescent="0.25">
      <c r="A2545" t="s">
        <v>4597</v>
      </c>
      <c r="B2545" s="8">
        <v>46001</v>
      </c>
      <c r="C2545" t="s">
        <v>5082</v>
      </c>
      <c r="D2545" t="s">
        <v>628</v>
      </c>
      <c r="E2545" t="s">
        <v>198</v>
      </c>
      <c r="F2545">
        <v>42</v>
      </c>
      <c r="G2545" t="s">
        <v>16</v>
      </c>
      <c r="H2545" t="s">
        <v>15</v>
      </c>
      <c r="I2545" t="s">
        <v>61</v>
      </c>
      <c r="J2545" t="s">
        <v>146</v>
      </c>
      <c r="K2545" t="s">
        <v>64</v>
      </c>
      <c r="L2545">
        <v>1</v>
      </c>
      <c r="M2545" s="12">
        <v>250</v>
      </c>
      <c r="N2545" s="12">
        <v>155</v>
      </c>
      <c r="O2545">
        <v>4</v>
      </c>
      <c r="P2545" s="12">
        <v>240</v>
      </c>
      <c r="Q2545" s="12">
        <v>155</v>
      </c>
      <c r="R2545" s="12">
        <v>85</v>
      </c>
      <c r="S2545" t="s">
        <v>113</v>
      </c>
      <c r="T2545" t="s">
        <v>107</v>
      </c>
      <c r="U2545" t="s">
        <v>1199</v>
      </c>
    </row>
    <row r="2546" spans="1:21" x14ac:dyDescent="0.25">
      <c r="A2546" t="s">
        <v>4598</v>
      </c>
      <c r="B2546" s="8">
        <v>45922</v>
      </c>
      <c r="C2546" t="s">
        <v>1825</v>
      </c>
      <c r="D2546" t="s">
        <v>829</v>
      </c>
      <c r="E2546" t="s">
        <v>218</v>
      </c>
      <c r="F2546">
        <v>23</v>
      </c>
      <c r="G2546" t="s">
        <v>2</v>
      </c>
      <c r="H2546" t="s">
        <v>3</v>
      </c>
      <c r="I2546" t="s">
        <v>38</v>
      </c>
      <c r="J2546" t="s">
        <v>37</v>
      </c>
      <c r="K2546" t="s">
        <v>22</v>
      </c>
      <c r="L2546">
        <v>3</v>
      </c>
      <c r="M2546" s="12">
        <v>1650</v>
      </c>
      <c r="N2546" s="12">
        <v>990</v>
      </c>
      <c r="O2546">
        <v>6</v>
      </c>
      <c r="P2546" s="12">
        <v>4653</v>
      </c>
      <c r="Q2546" s="12">
        <v>2970</v>
      </c>
      <c r="R2546" s="12">
        <v>1683</v>
      </c>
      <c r="S2546" t="s">
        <v>1249</v>
      </c>
      <c r="T2546" t="s">
        <v>110</v>
      </c>
      <c r="U2546" t="s">
        <v>1209</v>
      </c>
    </row>
    <row r="2547" spans="1:21" x14ac:dyDescent="0.25">
      <c r="A2547" t="s">
        <v>4599</v>
      </c>
      <c r="B2547" s="8">
        <v>45943</v>
      </c>
      <c r="C2547" t="s">
        <v>2842</v>
      </c>
      <c r="D2547" t="s">
        <v>397</v>
      </c>
      <c r="E2547" t="s">
        <v>198</v>
      </c>
      <c r="F2547">
        <v>31</v>
      </c>
      <c r="G2547" t="s">
        <v>10</v>
      </c>
      <c r="H2547" t="s">
        <v>8</v>
      </c>
      <c r="I2547" t="s">
        <v>63</v>
      </c>
      <c r="J2547" t="s">
        <v>77</v>
      </c>
      <c r="K2547" t="s">
        <v>64</v>
      </c>
      <c r="L2547">
        <v>5</v>
      </c>
      <c r="M2547" s="12">
        <v>650</v>
      </c>
      <c r="N2547" s="12">
        <v>468</v>
      </c>
      <c r="O2547">
        <v>3</v>
      </c>
      <c r="P2547" s="12">
        <v>3152.5</v>
      </c>
      <c r="Q2547" s="12">
        <v>2340</v>
      </c>
      <c r="R2547" s="12">
        <v>812.5</v>
      </c>
      <c r="S2547" t="s">
        <v>113</v>
      </c>
      <c r="T2547" t="s">
        <v>110</v>
      </c>
      <c r="U2547" t="s">
        <v>1201</v>
      </c>
    </row>
    <row r="2548" spans="1:21" x14ac:dyDescent="0.25">
      <c r="A2548" t="s">
        <v>4600</v>
      </c>
      <c r="B2548" s="8">
        <v>45734</v>
      </c>
      <c r="C2548" t="s">
        <v>3201</v>
      </c>
      <c r="D2548" t="s">
        <v>769</v>
      </c>
      <c r="E2548" t="s">
        <v>218</v>
      </c>
      <c r="F2548">
        <v>49</v>
      </c>
      <c r="G2548" t="s">
        <v>10</v>
      </c>
      <c r="H2548" t="s">
        <v>8</v>
      </c>
      <c r="I2548" t="s">
        <v>59</v>
      </c>
      <c r="J2548" t="s">
        <v>73</v>
      </c>
      <c r="K2548" t="s">
        <v>64</v>
      </c>
      <c r="L2548">
        <v>4</v>
      </c>
      <c r="M2548" s="12">
        <v>120</v>
      </c>
      <c r="N2548" s="12">
        <v>81.599999999999994</v>
      </c>
      <c r="O2548">
        <v>5</v>
      </c>
      <c r="P2548" s="12">
        <v>456</v>
      </c>
      <c r="Q2548" s="12">
        <v>326.39999999999998</v>
      </c>
      <c r="R2548" s="12">
        <v>129.60000000000002</v>
      </c>
      <c r="S2548" t="s">
        <v>1246</v>
      </c>
      <c r="T2548" t="s">
        <v>107</v>
      </c>
      <c r="U2548" t="s">
        <v>1199</v>
      </c>
    </row>
    <row r="2549" spans="1:21" x14ac:dyDescent="0.25">
      <c r="A2549" t="s">
        <v>4602</v>
      </c>
      <c r="B2549" s="8">
        <v>45842</v>
      </c>
      <c r="C2549" t="s">
        <v>2545</v>
      </c>
      <c r="D2549" t="s">
        <v>1075</v>
      </c>
      <c r="E2549" t="s">
        <v>218</v>
      </c>
      <c r="F2549">
        <v>56</v>
      </c>
      <c r="G2549" t="s">
        <v>289</v>
      </c>
      <c r="H2549" t="s">
        <v>3</v>
      </c>
      <c r="I2549" t="s">
        <v>26</v>
      </c>
      <c r="J2549" t="s">
        <v>27</v>
      </c>
      <c r="K2549" t="s">
        <v>22</v>
      </c>
      <c r="L2549">
        <v>5</v>
      </c>
      <c r="M2549" s="12">
        <v>27499</v>
      </c>
      <c r="N2549" s="12">
        <v>23374.149999999998</v>
      </c>
      <c r="O2549">
        <v>3</v>
      </c>
      <c r="P2549" s="12">
        <v>133370.15</v>
      </c>
      <c r="Q2549" s="12">
        <v>116870.74999999999</v>
      </c>
      <c r="R2549" s="12">
        <v>16499.400000000009</v>
      </c>
      <c r="S2549" t="s">
        <v>1246</v>
      </c>
      <c r="T2549" t="s">
        <v>111</v>
      </c>
      <c r="U2549" t="s">
        <v>1199</v>
      </c>
    </row>
    <row r="2550" spans="1:21" x14ac:dyDescent="0.25">
      <c r="A2550" t="s">
        <v>4603</v>
      </c>
      <c r="B2550" s="8">
        <v>45799</v>
      </c>
      <c r="C2550" t="s">
        <v>3796</v>
      </c>
      <c r="D2550" t="s">
        <v>710</v>
      </c>
      <c r="E2550" t="s">
        <v>218</v>
      </c>
      <c r="F2550">
        <v>41</v>
      </c>
      <c r="G2550" t="s">
        <v>17</v>
      </c>
      <c r="H2550" t="s">
        <v>15</v>
      </c>
      <c r="I2550" t="s">
        <v>36</v>
      </c>
      <c r="J2550" t="s">
        <v>136</v>
      </c>
      <c r="K2550" t="s">
        <v>22</v>
      </c>
      <c r="L2550">
        <v>1</v>
      </c>
      <c r="M2550" s="12">
        <v>3590</v>
      </c>
      <c r="N2550" s="12">
        <v>2333.5</v>
      </c>
      <c r="O2550">
        <v>6</v>
      </c>
      <c r="P2550" s="12">
        <v>3374.6</v>
      </c>
      <c r="Q2550" s="12">
        <v>2333.5</v>
      </c>
      <c r="R2550" s="12">
        <v>1041.0999999999999</v>
      </c>
      <c r="S2550" t="s">
        <v>113</v>
      </c>
      <c r="T2550" t="s">
        <v>108</v>
      </c>
      <c r="U2550" t="s">
        <v>1196</v>
      </c>
    </row>
    <row r="2551" spans="1:21" x14ac:dyDescent="0.25">
      <c r="A2551" t="s">
        <v>4604</v>
      </c>
      <c r="B2551" s="8">
        <v>46010</v>
      </c>
      <c r="C2551" t="s">
        <v>2212</v>
      </c>
      <c r="D2551" t="s">
        <v>391</v>
      </c>
      <c r="E2551" t="s">
        <v>198</v>
      </c>
      <c r="F2551">
        <v>55</v>
      </c>
      <c r="G2551" t="s">
        <v>17</v>
      </c>
      <c r="H2551" t="s">
        <v>15</v>
      </c>
      <c r="I2551" t="s">
        <v>42</v>
      </c>
      <c r="J2551" t="s">
        <v>44</v>
      </c>
      <c r="K2551" t="s">
        <v>43</v>
      </c>
      <c r="L2551">
        <v>5</v>
      </c>
      <c r="M2551" s="12">
        <v>8999</v>
      </c>
      <c r="N2551" s="12">
        <v>6479.28</v>
      </c>
      <c r="O2551">
        <v>14</v>
      </c>
      <c r="P2551" s="12">
        <v>38695.699999999997</v>
      </c>
      <c r="Q2551" s="12">
        <v>32396.399999999998</v>
      </c>
      <c r="R2551" s="12">
        <v>6299.2999999999993</v>
      </c>
      <c r="S2551" t="s">
        <v>1246</v>
      </c>
      <c r="T2551" t="s">
        <v>109</v>
      </c>
      <c r="U2551" t="s">
        <v>1199</v>
      </c>
    </row>
    <row r="2552" spans="1:21" x14ac:dyDescent="0.25">
      <c r="A2552" t="s">
        <v>4605</v>
      </c>
      <c r="B2552" s="8">
        <v>45803</v>
      </c>
      <c r="C2552" t="s">
        <v>2567</v>
      </c>
      <c r="D2552" t="s">
        <v>380</v>
      </c>
      <c r="E2552" t="s">
        <v>218</v>
      </c>
      <c r="F2552">
        <v>29</v>
      </c>
      <c r="G2552" t="s">
        <v>9</v>
      </c>
      <c r="H2552" t="s">
        <v>8</v>
      </c>
      <c r="I2552" t="s">
        <v>45</v>
      </c>
      <c r="J2552" t="s">
        <v>46</v>
      </c>
      <c r="K2552" t="s">
        <v>43</v>
      </c>
      <c r="L2552">
        <v>5</v>
      </c>
      <c r="M2552" s="12">
        <v>11999</v>
      </c>
      <c r="N2552" s="12">
        <v>8999.25</v>
      </c>
      <c r="O2552">
        <v>2</v>
      </c>
      <c r="P2552" s="12">
        <v>58795.1</v>
      </c>
      <c r="Q2552" s="12">
        <v>44996.25</v>
      </c>
      <c r="R2552" s="12">
        <v>13798.849999999999</v>
      </c>
      <c r="S2552" t="s">
        <v>113</v>
      </c>
      <c r="T2552" t="s">
        <v>109</v>
      </c>
      <c r="U2552" t="s">
        <v>1199</v>
      </c>
    </row>
    <row r="2553" spans="1:21" x14ac:dyDescent="0.25">
      <c r="A2553" t="s">
        <v>4607</v>
      </c>
      <c r="B2553" s="8">
        <v>45762</v>
      </c>
      <c r="C2553" t="s">
        <v>2415</v>
      </c>
      <c r="D2553" t="s">
        <v>427</v>
      </c>
      <c r="E2553" t="s">
        <v>218</v>
      </c>
      <c r="F2553">
        <v>26</v>
      </c>
      <c r="G2553" t="s">
        <v>17</v>
      </c>
      <c r="H2553" t="s">
        <v>15</v>
      </c>
      <c r="I2553" t="s">
        <v>34</v>
      </c>
      <c r="J2553" t="s">
        <v>137</v>
      </c>
      <c r="K2553" t="s">
        <v>22</v>
      </c>
      <c r="L2553">
        <v>3</v>
      </c>
      <c r="M2553" s="12">
        <v>6900</v>
      </c>
      <c r="N2553" s="12">
        <v>5727</v>
      </c>
      <c r="O2553">
        <v>4</v>
      </c>
      <c r="P2553" s="12">
        <v>19872</v>
      </c>
      <c r="Q2553" s="12">
        <v>17181</v>
      </c>
      <c r="R2553" s="12">
        <v>2691</v>
      </c>
      <c r="S2553" t="s">
        <v>1246</v>
      </c>
      <c r="T2553" t="s">
        <v>108</v>
      </c>
      <c r="U2553" t="s">
        <v>1201</v>
      </c>
    </row>
    <row r="2554" spans="1:21" x14ac:dyDescent="0.25">
      <c r="A2554" t="s">
        <v>4608</v>
      </c>
      <c r="B2554" s="8">
        <v>45794</v>
      </c>
      <c r="C2554" t="s">
        <v>5102</v>
      </c>
      <c r="D2554" t="s">
        <v>976</v>
      </c>
      <c r="E2554" t="s">
        <v>198</v>
      </c>
      <c r="F2554">
        <v>43</v>
      </c>
      <c r="G2554" t="s">
        <v>17</v>
      </c>
      <c r="H2554" t="s">
        <v>15</v>
      </c>
      <c r="I2554" t="s">
        <v>26</v>
      </c>
      <c r="J2554" t="s">
        <v>27</v>
      </c>
      <c r="K2554" t="s">
        <v>22</v>
      </c>
      <c r="L2554">
        <v>4</v>
      </c>
      <c r="M2554" s="12">
        <v>27499</v>
      </c>
      <c r="N2554" s="12">
        <v>23374.149999999998</v>
      </c>
      <c r="O2554">
        <v>5</v>
      </c>
      <c r="P2554" s="12">
        <v>104496.2</v>
      </c>
      <c r="Q2554" s="12">
        <v>93496.599999999991</v>
      </c>
      <c r="R2554" s="12">
        <v>10999.600000000006</v>
      </c>
      <c r="S2554" t="s">
        <v>113</v>
      </c>
      <c r="T2554" t="s">
        <v>107</v>
      </c>
      <c r="U2554" t="s">
        <v>1209</v>
      </c>
    </row>
    <row r="2555" spans="1:21" x14ac:dyDescent="0.25">
      <c r="A2555" t="s">
        <v>4609</v>
      </c>
      <c r="B2555" s="8">
        <v>45965</v>
      </c>
      <c r="C2555" t="s">
        <v>3035</v>
      </c>
      <c r="D2555" t="s">
        <v>553</v>
      </c>
      <c r="E2555" t="s">
        <v>198</v>
      </c>
      <c r="F2555">
        <v>34</v>
      </c>
      <c r="G2555" t="s">
        <v>9</v>
      </c>
      <c r="H2555" t="s">
        <v>8</v>
      </c>
      <c r="I2555" t="s">
        <v>57</v>
      </c>
      <c r="J2555" t="s">
        <v>67</v>
      </c>
      <c r="K2555" t="s">
        <v>64</v>
      </c>
      <c r="L2555">
        <v>2</v>
      </c>
      <c r="M2555" s="12">
        <v>150</v>
      </c>
      <c r="N2555" s="12">
        <v>97.5</v>
      </c>
      <c r="O2555">
        <v>4</v>
      </c>
      <c r="P2555" s="12">
        <v>288</v>
      </c>
      <c r="Q2555" s="12">
        <v>195</v>
      </c>
      <c r="R2555" s="12">
        <v>93</v>
      </c>
      <c r="S2555" t="s">
        <v>113</v>
      </c>
      <c r="T2555" t="s">
        <v>109</v>
      </c>
      <c r="U2555" t="s">
        <v>1198</v>
      </c>
    </row>
    <row r="2556" spans="1:21" x14ac:dyDescent="0.25">
      <c r="A2556" t="s">
        <v>4610</v>
      </c>
      <c r="B2556" s="8">
        <v>45714</v>
      </c>
      <c r="C2556" t="s">
        <v>1694</v>
      </c>
      <c r="D2556" t="s">
        <v>1069</v>
      </c>
      <c r="E2556" t="s">
        <v>218</v>
      </c>
      <c r="F2556">
        <v>40</v>
      </c>
      <c r="G2556" t="s">
        <v>5</v>
      </c>
      <c r="H2556" t="s">
        <v>3</v>
      </c>
      <c r="I2556" t="s">
        <v>30</v>
      </c>
      <c r="J2556" t="s">
        <v>41</v>
      </c>
      <c r="K2556" t="s">
        <v>22</v>
      </c>
      <c r="L2556">
        <v>1</v>
      </c>
      <c r="M2556" s="12">
        <v>13749</v>
      </c>
      <c r="N2556" s="12">
        <v>10999.2</v>
      </c>
      <c r="O2556">
        <v>6</v>
      </c>
      <c r="P2556" s="12">
        <v>12924.06</v>
      </c>
      <c r="Q2556" s="12">
        <v>10999.2</v>
      </c>
      <c r="R2556" s="12">
        <v>1924.8599999999988</v>
      </c>
      <c r="S2556" t="s">
        <v>113</v>
      </c>
      <c r="T2556" t="s">
        <v>107</v>
      </c>
      <c r="U2556" t="s">
        <v>1196</v>
      </c>
    </row>
    <row r="2557" spans="1:21" x14ac:dyDescent="0.25">
      <c r="A2557" t="s">
        <v>4611</v>
      </c>
      <c r="B2557" s="8">
        <v>45678</v>
      </c>
      <c r="C2557" t="s">
        <v>1669</v>
      </c>
      <c r="D2557" t="s">
        <v>1047</v>
      </c>
      <c r="E2557" t="s">
        <v>198</v>
      </c>
      <c r="F2557">
        <v>62</v>
      </c>
      <c r="G2557" t="s">
        <v>290</v>
      </c>
      <c r="H2557" t="s">
        <v>3</v>
      </c>
      <c r="I2557" t="s">
        <v>40</v>
      </c>
      <c r="J2557" t="s">
        <v>39</v>
      </c>
      <c r="K2557" t="s">
        <v>22</v>
      </c>
      <c r="L2557">
        <v>5</v>
      </c>
      <c r="M2557" s="12">
        <v>1100</v>
      </c>
      <c r="N2557" s="12">
        <v>715</v>
      </c>
      <c r="O2557">
        <v>6</v>
      </c>
      <c r="P2557" s="12">
        <v>5170</v>
      </c>
      <c r="Q2557" s="12">
        <v>3575</v>
      </c>
      <c r="R2557" s="12">
        <v>1595</v>
      </c>
      <c r="S2557" t="s">
        <v>1249</v>
      </c>
      <c r="T2557" t="s">
        <v>110</v>
      </c>
      <c r="U2557" t="s">
        <v>1196</v>
      </c>
    </row>
    <row r="2558" spans="1:21" x14ac:dyDescent="0.25">
      <c r="A2558" t="s">
        <v>4612</v>
      </c>
      <c r="B2558" s="8">
        <v>46010</v>
      </c>
      <c r="C2558" t="s">
        <v>2419</v>
      </c>
      <c r="D2558" t="s">
        <v>491</v>
      </c>
      <c r="E2558" t="s">
        <v>198</v>
      </c>
      <c r="F2558">
        <v>60</v>
      </c>
      <c r="G2558" t="s">
        <v>289</v>
      </c>
      <c r="H2558" t="s">
        <v>3</v>
      </c>
      <c r="I2558" t="s">
        <v>63</v>
      </c>
      <c r="J2558" t="s">
        <v>77</v>
      </c>
      <c r="K2558" t="s">
        <v>64</v>
      </c>
      <c r="L2558">
        <v>2</v>
      </c>
      <c r="M2558" s="12">
        <v>650</v>
      </c>
      <c r="N2558" s="12">
        <v>468</v>
      </c>
      <c r="O2558">
        <v>8</v>
      </c>
      <c r="P2558" s="12">
        <v>1196</v>
      </c>
      <c r="Q2558" s="12">
        <v>936</v>
      </c>
      <c r="R2558" s="12">
        <v>260</v>
      </c>
      <c r="S2558" t="s">
        <v>1246</v>
      </c>
      <c r="T2558" t="s">
        <v>108</v>
      </c>
      <c r="U2558" t="s">
        <v>1211</v>
      </c>
    </row>
    <row r="2559" spans="1:21" x14ac:dyDescent="0.25">
      <c r="A2559" t="s">
        <v>4613</v>
      </c>
      <c r="B2559" s="8">
        <v>45787</v>
      </c>
      <c r="C2559" t="s">
        <v>5108</v>
      </c>
      <c r="D2559" t="s">
        <v>576</v>
      </c>
      <c r="E2559" t="s">
        <v>218</v>
      </c>
      <c r="F2559">
        <v>38</v>
      </c>
      <c r="G2559" t="s">
        <v>290</v>
      </c>
      <c r="H2559" t="s">
        <v>3</v>
      </c>
      <c r="I2559" t="s">
        <v>32</v>
      </c>
      <c r="J2559" t="s">
        <v>29</v>
      </c>
      <c r="K2559" t="s">
        <v>22</v>
      </c>
      <c r="L2559">
        <v>1</v>
      </c>
      <c r="M2559" s="12">
        <v>9500</v>
      </c>
      <c r="N2559" s="12">
        <v>6650</v>
      </c>
      <c r="O2559">
        <v>8</v>
      </c>
      <c r="P2559" s="12">
        <v>8740</v>
      </c>
      <c r="Q2559" s="12">
        <v>6650</v>
      </c>
      <c r="R2559" s="12">
        <v>2090</v>
      </c>
      <c r="S2559" t="s">
        <v>113</v>
      </c>
      <c r="T2559" t="s">
        <v>107</v>
      </c>
      <c r="U2559" t="s">
        <v>1211</v>
      </c>
    </row>
    <row r="2560" spans="1:21" x14ac:dyDescent="0.25">
      <c r="A2560" t="s">
        <v>4615</v>
      </c>
      <c r="B2560" s="8">
        <v>45688</v>
      </c>
      <c r="C2560" t="s">
        <v>2501</v>
      </c>
      <c r="D2560" t="s">
        <v>1027</v>
      </c>
      <c r="E2560" t="s">
        <v>198</v>
      </c>
      <c r="F2560">
        <v>60</v>
      </c>
      <c r="G2560" t="s">
        <v>16</v>
      </c>
      <c r="H2560" t="s">
        <v>15</v>
      </c>
      <c r="I2560" t="s">
        <v>28</v>
      </c>
      <c r="J2560" t="s">
        <v>35</v>
      </c>
      <c r="K2560" t="s">
        <v>22</v>
      </c>
      <c r="L2560">
        <v>2</v>
      </c>
      <c r="M2560" s="12">
        <v>16499</v>
      </c>
      <c r="N2560" s="12">
        <v>14519.12</v>
      </c>
      <c r="O2560">
        <v>10</v>
      </c>
      <c r="P2560" s="12">
        <v>29698.2</v>
      </c>
      <c r="Q2560" s="12">
        <v>29038.240000000002</v>
      </c>
      <c r="R2560" s="12">
        <v>659.95999999999913</v>
      </c>
      <c r="S2560" t="s">
        <v>1246</v>
      </c>
      <c r="T2560" t="s">
        <v>107</v>
      </c>
      <c r="U2560" t="s">
        <v>1203</v>
      </c>
    </row>
    <row r="2561" spans="1:21" x14ac:dyDescent="0.25">
      <c r="A2561" t="s">
        <v>4616</v>
      </c>
      <c r="B2561" s="8">
        <v>45862</v>
      </c>
      <c r="C2561" t="s">
        <v>1839</v>
      </c>
      <c r="D2561" t="s">
        <v>630</v>
      </c>
      <c r="E2561" t="s">
        <v>218</v>
      </c>
      <c r="F2561">
        <v>30</v>
      </c>
      <c r="G2561" t="s">
        <v>11</v>
      </c>
      <c r="H2561" t="s">
        <v>12</v>
      </c>
      <c r="I2561" t="s">
        <v>47</v>
      </c>
      <c r="J2561" t="s">
        <v>52</v>
      </c>
      <c r="K2561" t="s">
        <v>43</v>
      </c>
      <c r="L2561">
        <v>3</v>
      </c>
      <c r="M2561" s="12">
        <v>42999</v>
      </c>
      <c r="N2561" s="12">
        <v>33539.22</v>
      </c>
      <c r="O2561">
        <v>9</v>
      </c>
      <c r="P2561" s="12">
        <v>117387.27</v>
      </c>
      <c r="Q2561" s="12">
        <v>100617.66</v>
      </c>
      <c r="R2561" s="12">
        <v>16769.61</v>
      </c>
      <c r="S2561" t="s">
        <v>1246</v>
      </c>
      <c r="T2561" t="s">
        <v>109</v>
      </c>
      <c r="U2561" t="s">
        <v>1201</v>
      </c>
    </row>
    <row r="2562" spans="1:21" x14ac:dyDescent="0.25">
      <c r="A2562" t="s">
        <v>4618</v>
      </c>
      <c r="B2562" s="8">
        <v>45677</v>
      </c>
      <c r="C2562" t="s">
        <v>3634</v>
      </c>
      <c r="D2562" t="s">
        <v>1052</v>
      </c>
      <c r="E2562" t="s">
        <v>198</v>
      </c>
      <c r="F2562">
        <v>64</v>
      </c>
      <c r="G2562" t="s">
        <v>7</v>
      </c>
      <c r="H2562" t="s">
        <v>8</v>
      </c>
      <c r="I2562" t="s">
        <v>51</v>
      </c>
      <c r="J2562" t="s">
        <v>54</v>
      </c>
      <c r="K2562" t="s">
        <v>43</v>
      </c>
      <c r="L2562">
        <v>1</v>
      </c>
      <c r="M2562" s="12">
        <v>27499</v>
      </c>
      <c r="N2562" s="12">
        <v>21724.210000000003</v>
      </c>
      <c r="O2562">
        <v>3</v>
      </c>
      <c r="P2562" s="12">
        <v>26674.03</v>
      </c>
      <c r="Q2562" s="12">
        <v>21724.210000000003</v>
      </c>
      <c r="R2562" s="12">
        <v>4949.8199999999961</v>
      </c>
      <c r="S2562" t="s">
        <v>113</v>
      </c>
      <c r="T2562" t="s">
        <v>107</v>
      </c>
      <c r="U2562" t="s">
        <v>1211</v>
      </c>
    </row>
    <row r="2563" spans="1:21" x14ac:dyDescent="0.25">
      <c r="A2563" t="s">
        <v>4619</v>
      </c>
      <c r="B2563" s="8">
        <v>45854</v>
      </c>
      <c r="C2563" t="s">
        <v>1619</v>
      </c>
      <c r="D2563" t="s">
        <v>403</v>
      </c>
      <c r="E2563" t="s">
        <v>218</v>
      </c>
      <c r="F2563">
        <v>41</v>
      </c>
      <c r="G2563" t="s">
        <v>17</v>
      </c>
      <c r="H2563" t="s">
        <v>15</v>
      </c>
      <c r="I2563" t="s">
        <v>59</v>
      </c>
      <c r="J2563" t="s">
        <v>73</v>
      </c>
      <c r="K2563" t="s">
        <v>64</v>
      </c>
      <c r="L2563">
        <v>4</v>
      </c>
      <c r="M2563" s="12">
        <v>120</v>
      </c>
      <c r="N2563" s="12">
        <v>81.599999999999994</v>
      </c>
      <c r="O2563">
        <v>2</v>
      </c>
      <c r="P2563" s="12">
        <v>470.4</v>
      </c>
      <c r="Q2563" s="12">
        <v>326.39999999999998</v>
      </c>
      <c r="R2563" s="12">
        <v>144</v>
      </c>
      <c r="S2563" t="s">
        <v>1246</v>
      </c>
      <c r="T2563" t="s">
        <v>108</v>
      </c>
      <c r="U2563" t="s">
        <v>1207</v>
      </c>
    </row>
    <row r="2564" spans="1:21" x14ac:dyDescent="0.25">
      <c r="A2564" t="s">
        <v>4620</v>
      </c>
      <c r="B2564" s="8">
        <v>45741</v>
      </c>
      <c r="C2564" t="s">
        <v>2842</v>
      </c>
      <c r="D2564" t="s">
        <v>397</v>
      </c>
      <c r="E2564" t="s">
        <v>198</v>
      </c>
      <c r="F2564">
        <v>31</v>
      </c>
      <c r="G2564" t="s">
        <v>10</v>
      </c>
      <c r="H2564" t="s">
        <v>8</v>
      </c>
      <c r="I2564" t="s">
        <v>63</v>
      </c>
      <c r="J2564" t="s">
        <v>77</v>
      </c>
      <c r="K2564" t="s">
        <v>64</v>
      </c>
      <c r="L2564">
        <v>4</v>
      </c>
      <c r="M2564" s="12">
        <v>650</v>
      </c>
      <c r="N2564" s="12">
        <v>468</v>
      </c>
      <c r="O2564">
        <v>1</v>
      </c>
      <c r="P2564" s="12">
        <v>2574</v>
      </c>
      <c r="Q2564" s="12">
        <v>1872</v>
      </c>
      <c r="R2564" s="12">
        <v>702</v>
      </c>
      <c r="S2564" t="s">
        <v>113</v>
      </c>
      <c r="T2564" t="s">
        <v>107</v>
      </c>
      <c r="U2564" t="s">
        <v>1194</v>
      </c>
    </row>
    <row r="2565" spans="1:21" x14ac:dyDescent="0.25">
      <c r="A2565" t="s">
        <v>4621</v>
      </c>
      <c r="B2565" s="8">
        <v>45730</v>
      </c>
      <c r="C2565" t="s">
        <v>2291</v>
      </c>
      <c r="D2565" t="s">
        <v>457</v>
      </c>
      <c r="E2565" t="s">
        <v>198</v>
      </c>
      <c r="F2565">
        <v>61</v>
      </c>
      <c r="G2565" t="s">
        <v>9</v>
      </c>
      <c r="H2565" t="s">
        <v>8</v>
      </c>
      <c r="I2565" t="s">
        <v>47</v>
      </c>
      <c r="J2565" t="s">
        <v>52</v>
      </c>
      <c r="K2565" t="s">
        <v>43</v>
      </c>
      <c r="L2565">
        <v>3</v>
      </c>
      <c r="M2565" s="12">
        <v>42999</v>
      </c>
      <c r="N2565" s="12">
        <v>33539.22</v>
      </c>
      <c r="O2565">
        <v>6</v>
      </c>
      <c r="P2565" s="12">
        <v>121257.18</v>
      </c>
      <c r="Q2565" s="12">
        <v>100617.66</v>
      </c>
      <c r="R2565" s="12">
        <v>20639.51999999999</v>
      </c>
      <c r="S2565" t="s">
        <v>1246</v>
      </c>
      <c r="T2565" t="s">
        <v>107</v>
      </c>
      <c r="U2565" t="s">
        <v>1194</v>
      </c>
    </row>
    <row r="2566" spans="1:21" x14ac:dyDescent="0.25">
      <c r="A2566" t="s">
        <v>4622</v>
      </c>
      <c r="B2566" s="8">
        <v>45804</v>
      </c>
      <c r="C2566" t="s">
        <v>1285</v>
      </c>
      <c r="D2566" t="s">
        <v>694</v>
      </c>
      <c r="E2566" t="s">
        <v>218</v>
      </c>
      <c r="F2566">
        <v>28</v>
      </c>
      <c r="G2566" t="s">
        <v>7</v>
      </c>
      <c r="H2566" t="s">
        <v>8</v>
      </c>
      <c r="I2566" t="s">
        <v>28</v>
      </c>
      <c r="J2566" t="s">
        <v>35</v>
      </c>
      <c r="K2566" t="s">
        <v>22</v>
      </c>
      <c r="L2566">
        <v>1</v>
      </c>
      <c r="M2566" s="12">
        <v>16499</v>
      </c>
      <c r="N2566" s="12">
        <v>14519.12</v>
      </c>
      <c r="O2566">
        <v>10</v>
      </c>
      <c r="P2566" s="12">
        <v>14849.1</v>
      </c>
      <c r="Q2566" s="12">
        <v>14519.12</v>
      </c>
      <c r="R2566" s="12">
        <v>329.97999999999956</v>
      </c>
      <c r="S2566" t="s">
        <v>113</v>
      </c>
      <c r="T2566" t="s">
        <v>110</v>
      </c>
      <c r="U2566" t="s">
        <v>1198</v>
      </c>
    </row>
    <row r="2567" spans="1:21" x14ac:dyDescent="0.25">
      <c r="A2567" t="s">
        <v>4623</v>
      </c>
      <c r="B2567" s="8">
        <v>45685</v>
      </c>
      <c r="C2567" t="s">
        <v>2133</v>
      </c>
      <c r="D2567" t="s">
        <v>537</v>
      </c>
      <c r="E2567" t="s">
        <v>198</v>
      </c>
      <c r="F2567">
        <v>19</v>
      </c>
      <c r="G2567" t="s">
        <v>289</v>
      </c>
      <c r="H2567" t="s">
        <v>3</v>
      </c>
      <c r="I2567" t="s">
        <v>47</v>
      </c>
      <c r="J2567" t="s">
        <v>52</v>
      </c>
      <c r="K2567" t="s">
        <v>43</v>
      </c>
      <c r="L2567">
        <v>3</v>
      </c>
      <c r="M2567" s="12">
        <v>42999</v>
      </c>
      <c r="N2567" s="12">
        <v>33539.22</v>
      </c>
      <c r="O2567">
        <v>5</v>
      </c>
      <c r="P2567" s="12">
        <v>122547.15</v>
      </c>
      <c r="Q2567" s="12">
        <v>100617.66</v>
      </c>
      <c r="R2567" s="12">
        <v>21929.489999999991</v>
      </c>
      <c r="S2567" t="s">
        <v>113</v>
      </c>
      <c r="T2567" t="s">
        <v>108</v>
      </c>
      <c r="U2567" t="s">
        <v>1211</v>
      </c>
    </row>
    <row r="2568" spans="1:21" x14ac:dyDescent="0.25">
      <c r="A2568" t="s">
        <v>4624</v>
      </c>
      <c r="B2568" s="8">
        <v>45920</v>
      </c>
      <c r="C2568" t="s">
        <v>3180</v>
      </c>
      <c r="D2568" t="s">
        <v>792</v>
      </c>
      <c r="E2568" t="s">
        <v>198</v>
      </c>
      <c r="F2568">
        <v>28</v>
      </c>
      <c r="G2568" t="s">
        <v>11</v>
      </c>
      <c r="H2568" t="s">
        <v>12</v>
      </c>
      <c r="I2568" t="s">
        <v>47</v>
      </c>
      <c r="J2568" t="s">
        <v>52</v>
      </c>
      <c r="K2568" t="s">
        <v>43</v>
      </c>
      <c r="L2568">
        <v>2</v>
      </c>
      <c r="M2568" s="12">
        <v>42999</v>
      </c>
      <c r="N2568" s="12">
        <v>33539.22</v>
      </c>
      <c r="O2568">
        <v>8</v>
      </c>
      <c r="P2568" s="12">
        <v>79118.16</v>
      </c>
      <c r="Q2568" s="12">
        <v>67078.44</v>
      </c>
      <c r="R2568" s="12">
        <v>12039.720000000001</v>
      </c>
      <c r="S2568" t="s">
        <v>1246</v>
      </c>
      <c r="T2568" t="s">
        <v>110</v>
      </c>
      <c r="U2568" t="s">
        <v>1201</v>
      </c>
    </row>
    <row r="2569" spans="1:21" x14ac:dyDescent="0.25">
      <c r="A2569" t="s">
        <v>4625</v>
      </c>
      <c r="B2569" s="8">
        <v>45816</v>
      </c>
      <c r="C2569" t="s">
        <v>3541</v>
      </c>
      <c r="D2569" t="s">
        <v>486</v>
      </c>
      <c r="E2569" t="s">
        <v>198</v>
      </c>
      <c r="F2569">
        <v>58</v>
      </c>
      <c r="G2569" t="s">
        <v>2</v>
      </c>
      <c r="H2569" t="s">
        <v>3</v>
      </c>
      <c r="I2569" t="s">
        <v>28</v>
      </c>
      <c r="J2569" t="s">
        <v>35</v>
      </c>
      <c r="K2569" t="s">
        <v>22</v>
      </c>
      <c r="L2569">
        <v>5</v>
      </c>
      <c r="M2569" s="12">
        <v>16499</v>
      </c>
      <c r="N2569" s="12">
        <v>14519.12</v>
      </c>
      <c r="O2569">
        <v>8</v>
      </c>
      <c r="P2569" s="12">
        <v>75895.400000000009</v>
      </c>
      <c r="Q2569" s="12">
        <v>72595.600000000006</v>
      </c>
      <c r="R2569" s="12">
        <v>3299.8000000000029</v>
      </c>
      <c r="S2569" t="s">
        <v>113</v>
      </c>
      <c r="T2569" t="s">
        <v>109</v>
      </c>
      <c r="U2569" t="s">
        <v>1201</v>
      </c>
    </row>
    <row r="2570" spans="1:21" x14ac:dyDescent="0.25">
      <c r="A2570" t="s">
        <v>4626</v>
      </c>
      <c r="B2570" s="8">
        <v>45808</v>
      </c>
      <c r="C2570" t="s">
        <v>1331</v>
      </c>
      <c r="D2570" t="s">
        <v>931</v>
      </c>
      <c r="E2570" t="s">
        <v>218</v>
      </c>
      <c r="F2570">
        <v>23</v>
      </c>
      <c r="G2570" t="s">
        <v>17</v>
      </c>
      <c r="H2570" t="s">
        <v>15</v>
      </c>
      <c r="I2570" t="s">
        <v>61</v>
      </c>
      <c r="J2570" t="s">
        <v>146</v>
      </c>
      <c r="K2570" t="s">
        <v>64</v>
      </c>
      <c r="L2570">
        <v>1</v>
      </c>
      <c r="M2570" s="12">
        <v>250</v>
      </c>
      <c r="N2570" s="12">
        <v>155</v>
      </c>
      <c r="O2570">
        <v>9</v>
      </c>
      <c r="P2570" s="12">
        <v>227.5</v>
      </c>
      <c r="Q2570" s="12">
        <v>155</v>
      </c>
      <c r="R2570" s="12">
        <v>72.5</v>
      </c>
      <c r="S2570" t="s">
        <v>1246</v>
      </c>
      <c r="T2570" t="s">
        <v>109</v>
      </c>
      <c r="U2570" t="s">
        <v>1198</v>
      </c>
    </row>
    <row r="2571" spans="1:21" x14ac:dyDescent="0.25">
      <c r="A2571" t="s">
        <v>4627</v>
      </c>
      <c r="B2571" s="8">
        <v>45779</v>
      </c>
      <c r="C2571" t="s">
        <v>2472</v>
      </c>
      <c r="D2571" t="s">
        <v>1128</v>
      </c>
      <c r="E2571" t="s">
        <v>218</v>
      </c>
      <c r="F2571">
        <v>34</v>
      </c>
      <c r="G2571" t="s">
        <v>17</v>
      </c>
      <c r="H2571" t="s">
        <v>15</v>
      </c>
      <c r="I2571" t="s">
        <v>57</v>
      </c>
      <c r="J2571" t="s">
        <v>67</v>
      </c>
      <c r="K2571" t="s">
        <v>64</v>
      </c>
      <c r="L2571">
        <v>4</v>
      </c>
      <c r="M2571" s="12">
        <v>150</v>
      </c>
      <c r="N2571" s="12">
        <v>97.5</v>
      </c>
      <c r="O2571">
        <v>14</v>
      </c>
      <c r="P2571" s="12">
        <v>516</v>
      </c>
      <c r="Q2571" s="12">
        <v>390</v>
      </c>
      <c r="R2571" s="12">
        <v>126</v>
      </c>
      <c r="S2571" t="s">
        <v>1246</v>
      </c>
      <c r="T2571" t="s">
        <v>111</v>
      </c>
      <c r="U2571" t="s">
        <v>1198</v>
      </c>
    </row>
    <row r="2572" spans="1:21" x14ac:dyDescent="0.25">
      <c r="A2572" t="s">
        <v>4628</v>
      </c>
      <c r="B2572" s="8">
        <v>45979</v>
      </c>
      <c r="C2572" t="s">
        <v>3065</v>
      </c>
      <c r="D2572" t="s">
        <v>447</v>
      </c>
      <c r="E2572" t="s">
        <v>198</v>
      </c>
      <c r="F2572">
        <v>53</v>
      </c>
      <c r="G2572" t="s">
        <v>16</v>
      </c>
      <c r="H2572" t="s">
        <v>15</v>
      </c>
      <c r="I2572" t="s">
        <v>63</v>
      </c>
      <c r="J2572" t="s">
        <v>77</v>
      </c>
      <c r="K2572" t="s">
        <v>64</v>
      </c>
      <c r="L2572">
        <v>3</v>
      </c>
      <c r="M2572" s="12">
        <v>650</v>
      </c>
      <c r="N2572" s="12">
        <v>468</v>
      </c>
      <c r="O2572">
        <v>6</v>
      </c>
      <c r="P2572" s="12">
        <v>1833</v>
      </c>
      <c r="Q2572" s="12">
        <v>1404</v>
      </c>
      <c r="R2572" s="12">
        <v>429</v>
      </c>
      <c r="S2572" t="s">
        <v>113</v>
      </c>
      <c r="T2572" t="s">
        <v>107</v>
      </c>
      <c r="U2572" t="s">
        <v>1199</v>
      </c>
    </row>
    <row r="2573" spans="1:21" x14ac:dyDescent="0.25">
      <c r="A2573" t="s">
        <v>4629</v>
      </c>
      <c r="B2573" s="8">
        <v>45783</v>
      </c>
      <c r="C2573" t="s">
        <v>5097</v>
      </c>
      <c r="D2573" t="s">
        <v>1109</v>
      </c>
      <c r="E2573" t="s">
        <v>218</v>
      </c>
      <c r="F2573">
        <v>44</v>
      </c>
      <c r="G2573" t="s">
        <v>16</v>
      </c>
      <c r="H2573" t="s">
        <v>15</v>
      </c>
      <c r="I2573" t="s">
        <v>36</v>
      </c>
      <c r="J2573" t="s">
        <v>136</v>
      </c>
      <c r="K2573" t="s">
        <v>22</v>
      </c>
      <c r="L2573">
        <v>5</v>
      </c>
      <c r="M2573" s="12">
        <v>3590</v>
      </c>
      <c r="N2573" s="12">
        <v>2333.5</v>
      </c>
      <c r="O2573">
        <v>5</v>
      </c>
      <c r="P2573" s="12">
        <v>17052.5</v>
      </c>
      <c r="Q2573" s="12">
        <v>11667.5</v>
      </c>
      <c r="R2573" s="12">
        <v>5385</v>
      </c>
      <c r="S2573" t="s">
        <v>1246</v>
      </c>
      <c r="T2573" t="s">
        <v>107</v>
      </c>
      <c r="U2573" t="s">
        <v>1201</v>
      </c>
    </row>
    <row r="2574" spans="1:21" x14ac:dyDescent="0.25">
      <c r="A2574" t="s">
        <v>4631</v>
      </c>
      <c r="B2574" s="8">
        <v>45736</v>
      </c>
      <c r="C2574" t="s">
        <v>1813</v>
      </c>
      <c r="D2574" t="s">
        <v>418</v>
      </c>
      <c r="E2574" t="s">
        <v>218</v>
      </c>
      <c r="F2574">
        <v>55</v>
      </c>
      <c r="G2574" t="s">
        <v>290</v>
      </c>
      <c r="H2574" t="s">
        <v>3</v>
      </c>
      <c r="I2574" t="s">
        <v>30</v>
      </c>
      <c r="J2574" t="s">
        <v>41</v>
      </c>
      <c r="K2574" t="s">
        <v>22</v>
      </c>
      <c r="L2574">
        <v>4</v>
      </c>
      <c r="M2574" s="12">
        <v>13749</v>
      </c>
      <c r="N2574" s="12">
        <v>10999.2</v>
      </c>
      <c r="O2574">
        <v>5</v>
      </c>
      <c r="P2574" s="12">
        <v>52246.2</v>
      </c>
      <c r="Q2574" s="12">
        <v>43996.800000000003</v>
      </c>
      <c r="R2574" s="12">
        <v>8249.3999999999942</v>
      </c>
      <c r="S2574" t="s">
        <v>1246</v>
      </c>
      <c r="T2574" t="s">
        <v>107</v>
      </c>
      <c r="U2574" t="s">
        <v>1198</v>
      </c>
    </row>
    <row r="2575" spans="1:21" x14ac:dyDescent="0.25">
      <c r="A2575" t="s">
        <v>4632</v>
      </c>
      <c r="B2575" s="8">
        <v>45789</v>
      </c>
      <c r="C2575" t="s">
        <v>5102</v>
      </c>
      <c r="D2575" t="s">
        <v>976</v>
      </c>
      <c r="E2575" t="s">
        <v>198</v>
      </c>
      <c r="F2575">
        <v>43</v>
      </c>
      <c r="G2575" t="s">
        <v>17</v>
      </c>
      <c r="H2575" t="s">
        <v>15</v>
      </c>
      <c r="I2575" t="s">
        <v>36</v>
      </c>
      <c r="J2575" t="s">
        <v>136</v>
      </c>
      <c r="K2575" t="s">
        <v>22</v>
      </c>
      <c r="L2575">
        <v>5</v>
      </c>
      <c r="M2575" s="12">
        <v>3590</v>
      </c>
      <c r="N2575" s="12">
        <v>2333.5</v>
      </c>
      <c r="O2575">
        <v>7</v>
      </c>
      <c r="P2575" s="12">
        <v>16693.5</v>
      </c>
      <c r="Q2575" s="12">
        <v>11667.5</v>
      </c>
      <c r="R2575" s="12">
        <v>5026</v>
      </c>
      <c r="S2575" t="s">
        <v>1246</v>
      </c>
      <c r="T2575" t="s">
        <v>109</v>
      </c>
      <c r="U2575" t="s">
        <v>1211</v>
      </c>
    </row>
    <row r="2576" spans="1:21" x14ac:dyDescent="0.25">
      <c r="A2576" t="s">
        <v>4633</v>
      </c>
      <c r="B2576" s="8">
        <v>45776</v>
      </c>
      <c r="C2576" t="s">
        <v>3580</v>
      </c>
      <c r="D2576" t="s">
        <v>859</v>
      </c>
      <c r="E2576" t="s">
        <v>218</v>
      </c>
      <c r="F2576">
        <v>61</v>
      </c>
      <c r="G2576" t="s">
        <v>11</v>
      </c>
      <c r="H2576" t="s">
        <v>12</v>
      </c>
      <c r="I2576" t="s">
        <v>59</v>
      </c>
      <c r="J2576" t="s">
        <v>73</v>
      </c>
      <c r="K2576" t="s">
        <v>64</v>
      </c>
      <c r="L2576">
        <v>2</v>
      </c>
      <c r="M2576" s="12">
        <v>120</v>
      </c>
      <c r="N2576" s="12">
        <v>81.599999999999994</v>
      </c>
      <c r="O2576">
        <v>0</v>
      </c>
      <c r="P2576" s="12">
        <v>240</v>
      </c>
      <c r="Q2576" s="12">
        <v>163.19999999999999</v>
      </c>
      <c r="R2576" s="12">
        <v>76.800000000000011</v>
      </c>
      <c r="S2576" t="s">
        <v>1246</v>
      </c>
      <c r="T2576" t="s">
        <v>107</v>
      </c>
      <c r="U2576" t="s">
        <v>1203</v>
      </c>
    </row>
    <row r="2577" spans="1:21" x14ac:dyDescent="0.25">
      <c r="A2577" t="s">
        <v>4634</v>
      </c>
      <c r="B2577" s="8">
        <v>45688</v>
      </c>
      <c r="C2577" t="s">
        <v>4028</v>
      </c>
      <c r="D2577" t="s">
        <v>1082</v>
      </c>
      <c r="E2577" t="s">
        <v>218</v>
      </c>
      <c r="F2577">
        <v>22</v>
      </c>
      <c r="G2577" t="s">
        <v>11</v>
      </c>
      <c r="H2577" t="s">
        <v>12</v>
      </c>
      <c r="I2577" t="s">
        <v>63</v>
      </c>
      <c r="J2577" t="s">
        <v>77</v>
      </c>
      <c r="K2577" t="s">
        <v>64</v>
      </c>
      <c r="L2577">
        <v>3</v>
      </c>
      <c r="M2577" s="12">
        <v>650</v>
      </c>
      <c r="N2577" s="12">
        <v>468</v>
      </c>
      <c r="O2577">
        <v>11</v>
      </c>
      <c r="P2577" s="12">
        <v>1735.5</v>
      </c>
      <c r="Q2577" s="12">
        <v>1404</v>
      </c>
      <c r="R2577" s="12">
        <v>331.5</v>
      </c>
      <c r="S2577" t="s">
        <v>1246</v>
      </c>
      <c r="T2577" t="s">
        <v>109</v>
      </c>
      <c r="U2577" t="s">
        <v>1199</v>
      </c>
    </row>
    <row r="2578" spans="1:21" x14ac:dyDescent="0.25">
      <c r="A2578" t="s">
        <v>4636</v>
      </c>
      <c r="B2578" s="8">
        <v>45929</v>
      </c>
      <c r="C2578" t="s">
        <v>1694</v>
      </c>
      <c r="D2578" t="s">
        <v>1069</v>
      </c>
      <c r="E2578" t="s">
        <v>218</v>
      </c>
      <c r="F2578">
        <v>40</v>
      </c>
      <c r="G2578" t="s">
        <v>5</v>
      </c>
      <c r="H2578" t="s">
        <v>3</v>
      </c>
      <c r="I2578" t="s">
        <v>21</v>
      </c>
      <c r="J2578" t="s">
        <v>23</v>
      </c>
      <c r="K2578" t="s">
        <v>22</v>
      </c>
      <c r="L2578">
        <v>1</v>
      </c>
      <c r="M2578" s="12">
        <v>54999</v>
      </c>
      <c r="N2578" s="12">
        <v>45099.18</v>
      </c>
      <c r="O2578">
        <v>3</v>
      </c>
      <c r="P2578" s="12">
        <v>53349.03</v>
      </c>
      <c r="Q2578" s="12">
        <v>45099.18</v>
      </c>
      <c r="R2578" s="12">
        <v>8249.8499999999985</v>
      </c>
      <c r="S2578" t="s">
        <v>1246</v>
      </c>
      <c r="T2578" t="s">
        <v>107</v>
      </c>
      <c r="U2578" t="s">
        <v>1199</v>
      </c>
    </row>
    <row r="2579" spans="1:21" x14ac:dyDescent="0.25">
      <c r="A2579" t="s">
        <v>4637</v>
      </c>
      <c r="B2579" s="8">
        <v>45797</v>
      </c>
      <c r="C2579" t="s">
        <v>5100</v>
      </c>
      <c r="D2579" t="s">
        <v>914</v>
      </c>
      <c r="E2579" t="s">
        <v>218</v>
      </c>
      <c r="F2579">
        <v>30</v>
      </c>
      <c r="G2579" t="s">
        <v>289</v>
      </c>
      <c r="H2579" t="s">
        <v>3</v>
      </c>
      <c r="I2579" t="s">
        <v>32</v>
      </c>
      <c r="J2579" t="s">
        <v>29</v>
      </c>
      <c r="K2579" t="s">
        <v>22</v>
      </c>
      <c r="L2579">
        <v>4</v>
      </c>
      <c r="M2579" s="12">
        <v>9500</v>
      </c>
      <c r="N2579" s="12">
        <v>6650</v>
      </c>
      <c r="O2579">
        <v>5</v>
      </c>
      <c r="P2579" s="12">
        <v>36100</v>
      </c>
      <c r="Q2579" s="12">
        <v>26600</v>
      </c>
      <c r="R2579" s="12">
        <v>9500</v>
      </c>
      <c r="S2579" t="s">
        <v>1246</v>
      </c>
      <c r="T2579" t="s">
        <v>108</v>
      </c>
      <c r="U2579" t="s">
        <v>1196</v>
      </c>
    </row>
    <row r="2580" spans="1:21" x14ac:dyDescent="0.25">
      <c r="A2580" t="s">
        <v>4638</v>
      </c>
      <c r="B2580" s="8">
        <v>45986</v>
      </c>
      <c r="C2580" t="s">
        <v>2398</v>
      </c>
      <c r="D2580" t="s">
        <v>400</v>
      </c>
      <c r="E2580" t="s">
        <v>198</v>
      </c>
      <c r="F2580">
        <v>49</v>
      </c>
      <c r="G2580" t="s">
        <v>11</v>
      </c>
      <c r="H2580" t="s">
        <v>12</v>
      </c>
      <c r="I2580" t="s">
        <v>36</v>
      </c>
      <c r="J2580" t="s">
        <v>136</v>
      </c>
      <c r="K2580" t="s">
        <v>22</v>
      </c>
      <c r="L2580">
        <v>1</v>
      </c>
      <c r="M2580" s="12">
        <v>3590</v>
      </c>
      <c r="N2580" s="12">
        <v>2333.5</v>
      </c>
      <c r="O2580">
        <v>12</v>
      </c>
      <c r="P2580" s="12">
        <v>3159.2</v>
      </c>
      <c r="Q2580" s="12">
        <v>2333.5</v>
      </c>
      <c r="R2580" s="12">
        <v>825.69999999999982</v>
      </c>
      <c r="S2580" t="s">
        <v>113</v>
      </c>
      <c r="T2580" t="s">
        <v>107</v>
      </c>
      <c r="U2580" t="s">
        <v>1199</v>
      </c>
    </row>
    <row r="2581" spans="1:21" x14ac:dyDescent="0.25">
      <c r="A2581" t="s">
        <v>4639</v>
      </c>
      <c r="B2581" s="8">
        <v>45962</v>
      </c>
      <c r="C2581" t="s">
        <v>1736</v>
      </c>
      <c r="D2581" t="s">
        <v>524</v>
      </c>
      <c r="E2581" t="s">
        <v>198</v>
      </c>
      <c r="F2581">
        <v>42</v>
      </c>
      <c r="G2581" t="s">
        <v>5</v>
      </c>
      <c r="H2581" t="s">
        <v>3</v>
      </c>
      <c r="I2581" t="s">
        <v>42</v>
      </c>
      <c r="J2581" t="s">
        <v>44</v>
      </c>
      <c r="K2581" t="s">
        <v>43</v>
      </c>
      <c r="L2581">
        <v>2</v>
      </c>
      <c r="M2581" s="12">
        <v>8999</v>
      </c>
      <c r="N2581" s="12">
        <v>6479.28</v>
      </c>
      <c r="O2581">
        <v>12</v>
      </c>
      <c r="P2581" s="12">
        <v>15838.24</v>
      </c>
      <c r="Q2581" s="12">
        <v>12958.56</v>
      </c>
      <c r="R2581" s="12">
        <v>2879.6800000000003</v>
      </c>
      <c r="S2581" t="s">
        <v>113</v>
      </c>
      <c r="T2581" t="s">
        <v>109</v>
      </c>
      <c r="U2581" t="s">
        <v>1203</v>
      </c>
    </row>
    <row r="2582" spans="1:21" x14ac:dyDescent="0.25">
      <c r="A2582" t="s">
        <v>4640</v>
      </c>
      <c r="B2582" s="8">
        <v>45671</v>
      </c>
      <c r="C2582" t="s">
        <v>2554</v>
      </c>
      <c r="D2582" t="s">
        <v>947</v>
      </c>
      <c r="E2582" t="s">
        <v>198</v>
      </c>
      <c r="F2582">
        <v>39</v>
      </c>
      <c r="G2582" t="s">
        <v>9</v>
      </c>
      <c r="H2582" t="s">
        <v>8</v>
      </c>
      <c r="I2582" t="s">
        <v>40</v>
      </c>
      <c r="J2582" t="s">
        <v>39</v>
      </c>
      <c r="K2582" t="s">
        <v>22</v>
      </c>
      <c r="L2582">
        <v>3</v>
      </c>
      <c r="M2582" s="12">
        <v>1100</v>
      </c>
      <c r="N2582" s="12">
        <v>715</v>
      </c>
      <c r="O2582">
        <v>10</v>
      </c>
      <c r="P2582" s="12">
        <v>2970</v>
      </c>
      <c r="Q2582" s="12">
        <v>2145</v>
      </c>
      <c r="R2582" s="12">
        <v>825</v>
      </c>
      <c r="S2582" t="s">
        <v>1246</v>
      </c>
      <c r="T2582" t="s">
        <v>107</v>
      </c>
      <c r="U2582" t="s">
        <v>1205</v>
      </c>
    </row>
    <row r="2583" spans="1:21" x14ac:dyDescent="0.25">
      <c r="A2583" t="s">
        <v>4641</v>
      </c>
      <c r="B2583" s="8">
        <v>45914</v>
      </c>
      <c r="C2583" t="s">
        <v>5079</v>
      </c>
      <c r="D2583" t="s">
        <v>1136</v>
      </c>
      <c r="E2583" t="s">
        <v>218</v>
      </c>
      <c r="F2583">
        <v>38</v>
      </c>
      <c r="G2583" t="s">
        <v>17</v>
      </c>
      <c r="H2583" t="s">
        <v>15</v>
      </c>
      <c r="I2583" t="s">
        <v>34</v>
      </c>
      <c r="J2583" t="s">
        <v>137</v>
      </c>
      <c r="K2583" t="s">
        <v>22</v>
      </c>
      <c r="L2583">
        <v>3</v>
      </c>
      <c r="M2583" s="12">
        <v>6900</v>
      </c>
      <c r="N2583" s="12">
        <v>5727</v>
      </c>
      <c r="O2583">
        <v>5</v>
      </c>
      <c r="P2583" s="12">
        <v>19665</v>
      </c>
      <c r="Q2583" s="12">
        <v>17181</v>
      </c>
      <c r="R2583" s="12">
        <v>2484</v>
      </c>
      <c r="S2583" t="s">
        <v>113</v>
      </c>
      <c r="T2583" t="s">
        <v>109</v>
      </c>
      <c r="U2583" t="s">
        <v>1199</v>
      </c>
    </row>
    <row r="2584" spans="1:21" x14ac:dyDescent="0.25">
      <c r="A2584" t="s">
        <v>4642</v>
      </c>
      <c r="B2584" s="8">
        <v>45785</v>
      </c>
      <c r="C2584" t="s">
        <v>5096</v>
      </c>
      <c r="D2584" t="s">
        <v>701</v>
      </c>
      <c r="E2584" t="s">
        <v>198</v>
      </c>
      <c r="F2584">
        <v>20</v>
      </c>
      <c r="G2584" t="s">
        <v>14</v>
      </c>
      <c r="H2584" t="s">
        <v>15</v>
      </c>
      <c r="I2584" t="s">
        <v>63</v>
      </c>
      <c r="J2584" t="s">
        <v>77</v>
      </c>
      <c r="K2584" t="s">
        <v>64</v>
      </c>
      <c r="L2584">
        <v>3</v>
      </c>
      <c r="M2584" s="12">
        <v>650</v>
      </c>
      <c r="N2584" s="12">
        <v>468</v>
      </c>
      <c r="O2584">
        <v>10</v>
      </c>
      <c r="P2584" s="12">
        <v>1755</v>
      </c>
      <c r="Q2584" s="12">
        <v>1404</v>
      </c>
      <c r="R2584" s="12">
        <v>351</v>
      </c>
      <c r="S2584" t="s">
        <v>113</v>
      </c>
      <c r="T2584" t="s">
        <v>109</v>
      </c>
      <c r="U2584" t="s">
        <v>1201</v>
      </c>
    </row>
    <row r="2585" spans="1:21" x14ac:dyDescent="0.25">
      <c r="A2585" t="s">
        <v>4643</v>
      </c>
      <c r="B2585" s="8">
        <v>45699</v>
      </c>
      <c r="C2585" t="s">
        <v>3033</v>
      </c>
      <c r="D2585" t="s">
        <v>1036</v>
      </c>
      <c r="E2585" t="s">
        <v>218</v>
      </c>
      <c r="F2585">
        <v>60</v>
      </c>
      <c r="G2585" t="s">
        <v>2</v>
      </c>
      <c r="H2585" t="s">
        <v>3</v>
      </c>
      <c r="I2585" t="s">
        <v>63</v>
      </c>
      <c r="J2585" t="s">
        <v>77</v>
      </c>
      <c r="K2585" t="s">
        <v>64</v>
      </c>
      <c r="L2585">
        <v>1</v>
      </c>
      <c r="M2585" s="12">
        <v>650</v>
      </c>
      <c r="N2585" s="12">
        <v>468</v>
      </c>
      <c r="O2585">
        <v>4</v>
      </c>
      <c r="P2585" s="12">
        <v>624</v>
      </c>
      <c r="Q2585" s="12">
        <v>468</v>
      </c>
      <c r="R2585" s="12">
        <v>156</v>
      </c>
      <c r="S2585" t="s">
        <v>113</v>
      </c>
      <c r="T2585" t="s">
        <v>107</v>
      </c>
      <c r="U2585" t="s">
        <v>1209</v>
      </c>
    </row>
    <row r="2586" spans="1:21" x14ac:dyDescent="0.25">
      <c r="A2586" t="s">
        <v>4644</v>
      </c>
      <c r="B2586" s="8">
        <v>45666</v>
      </c>
      <c r="C2586" t="s">
        <v>2250</v>
      </c>
      <c r="D2586" t="s">
        <v>983</v>
      </c>
      <c r="E2586" t="s">
        <v>198</v>
      </c>
      <c r="F2586">
        <v>25</v>
      </c>
      <c r="G2586" t="s">
        <v>289</v>
      </c>
      <c r="H2586" t="s">
        <v>3</v>
      </c>
      <c r="I2586" t="s">
        <v>28</v>
      </c>
      <c r="J2586" t="s">
        <v>35</v>
      </c>
      <c r="K2586" t="s">
        <v>22</v>
      </c>
      <c r="L2586">
        <v>2</v>
      </c>
      <c r="M2586" s="12">
        <v>16499</v>
      </c>
      <c r="N2586" s="12">
        <v>14519.12</v>
      </c>
      <c r="O2586">
        <v>8</v>
      </c>
      <c r="P2586" s="12">
        <v>30358.16</v>
      </c>
      <c r="Q2586" s="12">
        <v>29038.240000000002</v>
      </c>
      <c r="R2586" s="12">
        <v>1319.9199999999983</v>
      </c>
      <c r="S2586" t="s">
        <v>113</v>
      </c>
      <c r="T2586" t="s">
        <v>107</v>
      </c>
      <c r="U2586" t="s">
        <v>1196</v>
      </c>
    </row>
    <row r="2587" spans="1:21" x14ac:dyDescent="0.25">
      <c r="A2587" t="s">
        <v>4645</v>
      </c>
      <c r="B2587" s="8">
        <v>45868</v>
      </c>
      <c r="C2587" t="s">
        <v>5001</v>
      </c>
      <c r="D2587" t="s">
        <v>772</v>
      </c>
      <c r="E2587" t="s">
        <v>198</v>
      </c>
      <c r="F2587">
        <v>34</v>
      </c>
      <c r="G2587" t="s">
        <v>2</v>
      </c>
      <c r="H2587" t="s">
        <v>3</v>
      </c>
      <c r="I2587" t="s">
        <v>32</v>
      </c>
      <c r="J2587" t="s">
        <v>29</v>
      </c>
      <c r="K2587" t="s">
        <v>22</v>
      </c>
      <c r="L2587">
        <v>2</v>
      </c>
      <c r="M2587" s="12">
        <v>9500</v>
      </c>
      <c r="N2587" s="12">
        <v>6650</v>
      </c>
      <c r="O2587">
        <v>6</v>
      </c>
      <c r="P2587" s="12">
        <v>17860</v>
      </c>
      <c r="Q2587" s="12">
        <v>13300</v>
      </c>
      <c r="R2587" s="12">
        <v>4560</v>
      </c>
      <c r="S2587" t="s">
        <v>1249</v>
      </c>
      <c r="T2587" t="s">
        <v>108</v>
      </c>
      <c r="U2587" t="s">
        <v>1201</v>
      </c>
    </row>
    <row r="2588" spans="1:21" x14ac:dyDescent="0.25">
      <c r="A2588" t="s">
        <v>4646</v>
      </c>
      <c r="B2588" s="8">
        <v>45874</v>
      </c>
      <c r="C2588" t="s">
        <v>3750</v>
      </c>
      <c r="D2588" t="s">
        <v>579</v>
      </c>
      <c r="E2588" t="s">
        <v>198</v>
      </c>
      <c r="F2588">
        <v>18</v>
      </c>
      <c r="G2588" t="s">
        <v>14</v>
      </c>
      <c r="H2588" t="s">
        <v>15</v>
      </c>
      <c r="I2588" t="s">
        <v>55</v>
      </c>
      <c r="J2588" t="s">
        <v>65</v>
      </c>
      <c r="K2588" t="s">
        <v>64</v>
      </c>
      <c r="L2588">
        <v>5</v>
      </c>
      <c r="M2588" s="12">
        <v>80</v>
      </c>
      <c r="N2588" s="12">
        <v>56</v>
      </c>
      <c r="O2588">
        <v>0</v>
      </c>
      <c r="P2588" s="12">
        <v>400</v>
      </c>
      <c r="Q2588" s="12">
        <v>280</v>
      </c>
      <c r="R2588" s="12">
        <v>120</v>
      </c>
      <c r="S2588" t="s">
        <v>1246</v>
      </c>
      <c r="T2588" t="s">
        <v>108</v>
      </c>
      <c r="U2588" t="s">
        <v>1194</v>
      </c>
    </row>
    <row r="2589" spans="1:21" x14ac:dyDescent="0.25">
      <c r="A2589" t="s">
        <v>4647</v>
      </c>
      <c r="B2589" s="8">
        <v>45847</v>
      </c>
      <c r="C2589" t="s">
        <v>5086</v>
      </c>
      <c r="D2589" t="s">
        <v>560</v>
      </c>
      <c r="E2589" t="s">
        <v>198</v>
      </c>
      <c r="F2589">
        <v>21</v>
      </c>
      <c r="G2589" t="s">
        <v>290</v>
      </c>
      <c r="H2589" t="s">
        <v>3</v>
      </c>
      <c r="I2589" t="s">
        <v>47</v>
      </c>
      <c r="J2589" t="s">
        <v>52</v>
      </c>
      <c r="K2589" t="s">
        <v>43</v>
      </c>
      <c r="L2589">
        <v>5</v>
      </c>
      <c r="M2589" s="12">
        <v>42999</v>
      </c>
      <c r="N2589" s="12">
        <v>33539.22</v>
      </c>
      <c r="O2589">
        <v>6</v>
      </c>
      <c r="P2589" s="12">
        <v>202095.3</v>
      </c>
      <c r="Q2589" s="12">
        <v>167696.1</v>
      </c>
      <c r="R2589" s="12">
        <v>34399.199999999983</v>
      </c>
      <c r="S2589" t="s">
        <v>113</v>
      </c>
      <c r="T2589" t="s">
        <v>107</v>
      </c>
      <c r="U2589" t="s">
        <v>1199</v>
      </c>
    </row>
    <row r="2590" spans="1:21" x14ac:dyDescent="0.25">
      <c r="A2590" t="s">
        <v>4648</v>
      </c>
      <c r="B2590" s="8">
        <v>46012</v>
      </c>
      <c r="C2590" t="s">
        <v>3596</v>
      </c>
      <c r="D2590" t="s">
        <v>1000</v>
      </c>
      <c r="E2590" t="s">
        <v>198</v>
      </c>
      <c r="F2590">
        <v>48</v>
      </c>
      <c r="G2590" t="s">
        <v>290</v>
      </c>
      <c r="H2590" t="s">
        <v>3</v>
      </c>
      <c r="I2590" t="s">
        <v>59</v>
      </c>
      <c r="J2590" t="s">
        <v>73</v>
      </c>
      <c r="K2590" t="s">
        <v>64</v>
      </c>
      <c r="L2590">
        <v>1</v>
      </c>
      <c r="M2590" s="12">
        <v>120</v>
      </c>
      <c r="N2590" s="12">
        <v>81.599999999999994</v>
      </c>
      <c r="O2590">
        <v>4</v>
      </c>
      <c r="P2590" s="12">
        <v>115.19999999999999</v>
      </c>
      <c r="Q2590" s="12">
        <v>81.599999999999994</v>
      </c>
      <c r="R2590" s="12">
        <v>33.599999999999994</v>
      </c>
      <c r="S2590" t="s">
        <v>113</v>
      </c>
      <c r="T2590" t="s">
        <v>108</v>
      </c>
      <c r="U2590" t="s">
        <v>1198</v>
      </c>
    </row>
    <row r="2591" spans="1:21" x14ac:dyDescent="0.25">
      <c r="A2591" t="s">
        <v>4649</v>
      </c>
      <c r="B2591" s="8">
        <v>45974</v>
      </c>
      <c r="C2591" t="s">
        <v>4382</v>
      </c>
      <c r="D2591" t="s">
        <v>365</v>
      </c>
      <c r="E2591" t="s">
        <v>218</v>
      </c>
      <c r="F2591">
        <v>61</v>
      </c>
      <c r="G2591" t="s">
        <v>7</v>
      </c>
      <c r="H2591" t="s">
        <v>8</v>
      </c>
      <c r="I2591" t="s">
        <v>30</v>
      </c>
      <c r="J2591" t="s">
        <v>41</v>
      </c>
      <c r="K2591" t="s">
        <v>22</v>
      </c>
      <c r="L2591">
        <v>4</v>
      </c>
      <c r="M2591" s="12">
        <v>13749</v>
      </c>
      <c r="N2591" s="12">
        <v>10999.2</v>
      </c>
      <c r="O2591">
        <v>14</v>
      </c>
      <c r="P2591" s="12">
        <v>47296.56</v>
      </c>
      <c r="Q2591" s="12">
        <v>43996.800000000003</v>
      </c>
      <c r="R2591" s="12">
        <v>3299.7599999999948</v>
      </c>
      <c r="S2591" t="s">
        <v>1246</v>
      </c>
      <c r="T2591" t="s">
        <v>109</v>
      </c>
      <c r="U2591" t="s">
        <v>1205</v>
      </c>
    </row>
    <row r="2592" spans="1:21" x14ac:dyDescent="0.25">
      <c r="A2592" t="s">
        <v>4650</v>
      </c>
      <c r="B2592" s="8">
        <v>45991</v>
      </c>
      <c r="C2592" t="s">
        <v>2607</v>
      </c>
      <c r="D2592" t="s">
        <v>1074</v>
      </c>
      <c r="E2592" t="s">
        <v>218</v>
      </c>
      <c r="F2592">
        <v>58</v>
      </c>
      <c r="G2592" t="s">
        <v>9</v>
      </c>
      <c r="H2592" t="s">
        <v>8</v>
      </c>
      <c r="I2592" t="s">
        <v>63</v>
      </c>
      <c r="J2592" t="s">
        <v>77</v>
      </c>
      <c r="K2592" t="s">
        <v>64</v>
      </c>
      <c r="L2592">
        <v>3</v>
      </c>
      <c r="M2592" s="12">
        <v>650</v>
      </c>
      <c r="N2592" s="12">
        <v>468</v>
      </c>
      <c r="O2592">
        <v>3</v>
      </c>
      <c r="P2592" s="12">
        <v>1891.5</v>
      </c>
      <c r="Q2592" s="12">
        <v>1404</v>
      </c>
      <c r="R2592" s="12">
        <v>487.5</v>
      </c>
      <c r="S2592" t="s">
        <v>113</v>
      </c>
      <c r="T2592" t="s">
        <v>109</v>
      </c>
      <c r="U2592" t="s">
        <v>1207</v>
      </c>
    </row>
    <row r="2593" spans="1:21" x14ac:dyDescent="0.25">
      <c r="A2593" t="s">
        <v>4651</v>
      </c>
      <c r="B2593" s="8">
        <v>45904</v>
      </c>
      <c r="C2593" t="s">
        <v>1903</v>
      </c>
      <c r="D2593" t="s">
        <v>1167</v>
      </c>
      <c r="E2593" t="s">
        <v>198</v>
      </c>
      <c r="F2593">
        <v>21</v>
      </c>
      <c r="G2593" t="s">
        <v>17</v>
      </c>
      <c r="H2593" t="s">
        <v>15</v>
      </c>
      <c r="I2593" t="s">
        <v>30</v>
      </c>
      <c r="J2593" t="s">
        <v>41</v>
      </c>
      <c r="K2593" t="s">
        <v>22</v>
      </c>
      <c r="L2593">
        <v>2</v>
      </c>
      <c r="M2593" s="12">
        <v>13749</v>
      </c>
      <c r="N2593" s="12">
        <v>10999.2</v>
      </c>
      <c r="O2593">
        <v>8</v>
      </c>
      <c r="P2593" s="12">
        <v>25298.16</v>
      </c>
      <c r="Q2593" s="12">
        <v>21998.400000000001</v>
      </c>
      <c r="R2593" s="12">
        <v>3299.7599999999984</v>
      </c>
      <c r="S2593" t="s">
        <v>1249</v>
      </c>
      <c r="T2593" t="s">
        <v>108</v>
      </c>
      <c r="U2593" t="s">
        <v>1201</v>
      </c>
    </row>
    <row r="2594" spans="1:21" x14ac:dyDescent="0.25">
      <c r="A2594" t="s">
        <v>4652</v>
      </c>
      <c r="B2594" s="8">
        <v>45765</v>
      </c>
      <c r="C2594" t="s">
        <v>3690</v>
      </c>
      <c r="D2594" t="s">
        <v>512</v>
      </c>
      <c r="E2594" t="s">
        <v>198</v>
      </c>
      <c r="F2594">
        <v>48</v>
      </c>
      <c r="G2594" t="s">
        <v>16</v>
      </c>
      <c r="H2594" t="s">
        <v>15</v>
      </c>
      <c r="I2594" t="s">
        <v>24</v>
      </c>
      <c r="J2594" t="s">
        <v>25</v>
      </c>
      <c r="K2594" t="s">
        <v>22</v>
      </c>
      <c r="L2594">
        <v>3</v>
      </c>
      <c r="M2594" s="12">
        <v>35800</v>
      </c>
      <c r="N2594" s="12">
        <v>28640</v>
      </c>
      <c r="O2594">
        <v>3</v>
      </c>
      <c r="P2594" s="12">
        <v>104178</v>
      </c>
      <c r="Q2594" s="12">
        <v>85920</v>
      </c>
      <c r="R2594" s="12">
        <v>18258</v>
      </c>
      <c r="S2594" t="s">
        <v>1249</v>
      </c>
      <c r="T2594" t="s">
        <v>107</v>
      </c>
      <c r="U2594" t="s">
        <v>1199</v>
      </c>
    </row>
    <row r="2595" spans="1:21" x14ac:dyDescent="0.25">
      <c r="A2595" t="s">
        <v>4653</v>
      </c>
      <c r="B2595" s="8">
        <v>45672</v>
      </c>
      <c r="C2595" t="s">
        <v>2870</v>
      </c>
      <c r="D2595" t="s">
        <v>990</v>
      </c>
      <c r="E2595" t="s">
        <v>198</v>
      </c>
      <c r="F2595">
        <v>63</v>
      </c>
      <c r="G2595" t="s">
        <v>290</v>
      </c>
      <c r="H2595" t="s">
        <v>3</v>
      </c>
      <c r="I2595" t="s">
        <v>42</v>
      </c>
      <c r="J2595" t="s">
        <v>44</v>
      </c>
      <c r="K2595" t="s">
        <v>43</v>
      </c>
      <c r="L2595">
        <v>3</v>
      </c>
      <c r="M2595" s="12">
        <v>8999</v>
      </c>
      <c r="N2595" s="12">
        <v>6479.28</v>
      </c>
      <c r="O2595">
        <v>5</v>
      </c>
      <c r="P2595" s="12">
        <v>25647.149999999998</v>
      </c>
      <c r="Q2595" s="12">
        <v>19437.84</v>
      </c>
      <c r="R2595" s="12">
        <v>6209.3099999999977</v>
      </c>
      <c r="S2595" t="s">
        <v>1246</v>
      </c>
      <c r="T2595" t="s">
        <v>110</v>
      </c>
      <c r="U2595" t="s">
        <v>1205</v>
      </c>
    </row>
    <row r="2596" spans="1:21" x14ac:dyDescent="0.25">
      <c r="A2596" t="s">
        <v>4655</v>
      </c>
      <c r="B2596" s="8">
        <v>45833</v>
      </c>
      <c r="C2596" t="s">
        <v>1400</v>
      </c>
      <c r="D2596" t="s">
        <v>909</v>
      </c>
      <c r="E2596" t="s">
        <v>218</v>
      </c>
      <c r="F2596">
        <v>57</v>
      </c>
      <c r="G2596" t="s">
        <v>5</v>
      </c>
      <c r="H2596" t="s">
        <v>3</v>
      </c>
      <c r="I2596" t="s">
        <v>42</v>
      </c>
      <c r="J2596" t="s">
        <v>44</v>
      </c>
      <c r="K2596" t="s">
        <v>43</v>
      </c>
      <c r="L2596">
        <v>4</v>
      </c>
      <c r="M2596" s="12">
        <v>8999</v>
      </c>
      <c r="N2596" s="12">
        <v>6479.28</v>
      </c>
      <c r="O2596">
        <v>5</v>
      </c>
      <c r="P2596" s="12">
        <v>34196.199999999997</v>
      </c>
      <c r="Q2596" s="12">
        <v>25917.119999999999</v>
      </c>
      <c r="R2596" s="12">
        <v>8279.0799999999981</v>
      </c>
      <c r="S2596" t="s">
        <v>113</v>
      </c>
      <c r="T2596" t="s">
        <v>108</v>
      </c>
      <c r="U2596" t="s">
        <v>1205</v>
      </c>
    </row>
    <row r="2597" spans="1:21" x14ac:dyDescent="0.25">
      <c r="A2597" t="s">
        <v>4656</v>
      </c>
      <c r="B2597" s="8">
        <v>45797</v>
      </c>
      <c r="C2597" t="s">
        <v>3139</v>
      </c>
      <c r="D2597" t="s">
        <v>387</v>
      </c>
      <c r="E2597" t="s">
        <v>198</v>
      </c>
      <c r="F2597">
        <v>30</v>
      </c>
      <c r="G2597" t="s">
        <v>9</v>
      </c>
      <c r="H2597" t="s">
        <v>8</v>
      </c>
      <c r="I2597" t="s">
        <v>40</v>
      </c>
      <c r="J2597" t="s">
        <v>39</v>
      </c>
      <c r="K2597" t="s">
        <v>22</v>
      </c>
      <c r="L2597">
        <v>3</v>
      </c>
      <c r="M2597" s="12">
        <v>1100</v>
      </c>
      <c r="N2597" s="12">
        <v>715</v>
      </c>
      <c r="O2597">
        <v>10</v>
      </c>
      <c r="P2597" s="12">
        <v>2970</v>
      </c>
      <c r="Q2597" s="12">
        <v>2145</v>
      </c>
      <c r="R2597" s="12">
        <v>825</v>
      </c>
      <c r="S2597" t="s">
        <v>1246</v>
      </c>
      <c r="T2597" t="s">
        <v>108</v>
      </c>
      <c r="U2597" t="s">
        <v>1201</v>
      </c>
    </row>
    <row r="2598" spans="1:21" x14ac:dyDescent="0.25">
      <c r="A2598" t="s">
        <v>4657</v>
      </c>
      <c r="B2598" s="8">
        <v>45884</v>
      </c>
      <c r="C2598" t="s">
        <v>3132</v>
      </c>
      <c r="D2598" t="s">
        <v>1051</v>
      </c>
      <c r="E2598" t="s">
        <v>218</v>
      </c>
      <c r="F2598">
        <v>50</v>
      </c>
      <c r="G2598" t="s">
        <v>11</v>
      </c>
      <c r="H2598" t="s">
        <v>12</v>
      </c>
      <c r="I2598" t="s">
        <v>38</v>
      </c>
      <c r="J2598" t="s">
        <v>37</v>
      </c>
      <c r="K2598" t="s">
        <v>22</v>
      </c>
      <c r="L2598">
        <v>2</v>
      </c>
      <c r="M2598" s="12">
        <v>1650</v>
      </c>
      <c r="N2598" s="12">
        <v>990</v>
      </c>
      <c r="O2598">
        <v>4</v>
      </c>
      <c r="P2598" s="12">
        <v>3168</v>
      </c>
      <c r="Q2598" s="12">
        <v>1980</v>
      </c>
      <c r="R2598" s="12">
        <v>1188</v>
      </c>
      <c r="S2598" t="s">
        <v>113</v>
      </c>
      <c r="T2598" t="s">
        <v>109</v>
      </c>
      <c r="U2598" t="s">
        <v>1205</v>
      </c>
    </row>
    <row r="2599" spans="1:21" x14ac:dyDescent="0.25">
      <c r="A2599" t="s">
        <v>4658</v>
      </c>
      <c r="B2599" s="8">
        <v>45930</v>
      </c>
      <c r="C2599" t="s">
        <v>2441</v>
      </c>
      <c r="D2599" t="s">
        <v>735</v>
      </c>
      <c r="E2599" t="s">
        <v>198</v>
      </c>
      <c r="F2599">
        <v>36</v>
      </c>
      <c r="G2599" t="s">
        <v>14</v>
      </c>
      <c r="H2599" t="s">
        <v>15</v>
      </c>
      <c r="I2599" t="s">
        <v>21</v>
      </c>
      <c r="J2599" t="s">
        <v>23</v>
      </c>
      <c r="K2599" t="s">
        <v>22</v>
      </c>
      <c r="L2599">
        <v>4</v>
      </c>
      <c r="M2599" s="12">
        <v>54999</v>
      </c>
      <c r="N2599" s="12">
        <v>45099.18</v>
      </c>
      <c r="O2599">
        <v>3</v>
      </c>
      <c r="P2599" s="12">
        <v>213396.12</v>
      </c>
      <c r="Q2599" s="12">
        <v>180396.72</v>
      </c>
      <c r="R2599" s="12">
        <v>32999.399999999994</v>
      </c>
      <c r="S2599" t="s">
        <v>1246</v>
      </c>
      <c r="T2599" t="s">
        <v>107</v>
      </c>
      <c r="U2599" t="s">
        <v>1205</v>
      </c>
    </row>
    <row r="2600" spans="1:21" x14ac:dyDescent="0.25">
      <c r="A2600" t="s">
        <v>4659</v>
      </c>
      <c r="B2600" s="8">
        <v>45714</v>
      </c>
      <c r="C2600" t="s">
        <v>2682</v>
      </c>
      <c r="D2600" t="s">
        <v>375</v>
      </c>
      <c r="E2600" t="s">
        <v>198</v>
      </c>
      <c r="F2600">
        <v>55</v>
      </c>
      <c r="G2600" t="s">
        <v>5</v>
      </c>
      <c r="H2600" t="s">
        <v>3</v>
      </c>
      <c r="I2600" t="s">
        <v>26</v>
      </c>
      <c r="J2600" t="s">
        <v>27</v>
      </c>
      <c r="K2600" t="s">
        <v>22</v>
      </c>
      <c r="L2600">
        <v>5</v>
      </c>
      <c r="M2600" s="12">
        <v>27499</v>
      </c>
      <c r="N2600" s="12">
        <v>23374.149999999998</v>
      </c>
      <c r="O2600">
        <v>7</v>
      </c>
      <c r="P2600" s="12">
        <v>127870.34999999999</v>
      </c>
      <c r="Q2600" s="12">
        <v>116870.74999999999</v>
      </c>
      <c r="R2600" s="12">
        <v>10999.600000000006</v>
      </c>
      <c r="S2600" t="s">
        <v>113</v>
      </c>
      <c r="T2600" t="s">
        <v>107</v>
      </c>
      <c r="U2600" t="s">
        <v>1194</v>
      </c>
    </row>
    <row r="2601" spans="1:21" x14ac:dyDescent="0.25">
      <c r="A2601" t="s">
        <v>4660</v>
      </c>
      <c r="B2601" s="8">
        <v>45883</v>
      </c>
      <c r="C2601" t="s">
        <v>1846</v>
      </c>
      <c r="D2601" t="s">
        <v>518</v>
      </c>
      <c r="E2601" t="s">
        <v>218</v>
      </c>
      <c r="F2601">
        <v>62</v>
      </c>
      <c r="G2601" t="s">
        <v>290</v>
      </c>
      <c r="H2601" t="s">
        <v>3</v>
      </c>
      <c r="I2601" t="s">
        <v>38</v>
      </c>
      <c r="J2601" t="s">
        <v>37</v>
      </c>
      <c r="K2601" t="s">
        <v>22</v>
      </c>
      <c r="L2601">
        <v>2</v>
      </c>
      <c r="M2601" s="12">
        <v>1650</v>
      </c>
      <c r="N2601" s="12">
        <v>990</v>
      </c>
      <c r="O2601">
        <v>5</v>
      </c>
      <c r="P2601" s="12">
        <v>3135</v>
      </c>
      <c r="Q2601" s="12">
        <v>1980</v>
      </c>
      <c r="R2601" s="12">
        <v>1155</v>
      </c>
      <c r="S2601" t="s">
        <v>1246</v>
      </c>
      <c r="T2601" t="s">
        <v>109</v>
      </c>
      <c r="U2601" t="s">
        <v>1201</v>
      </c>
    </row>
    <row r="2602" spans="1:21" x14ac:dyDescent="0.25">
      <c r="A2602" t="s">
        <v>4661</v>
      </c>
      <c r="B2602" s="8">
        <v>45804</v>
      </c>
      <c r="C2602" t="s">
        <v>2216</v>
      </c>
      <c r="D2602" t="s">
        <v>876</v>
      </c>
      <c r="E2602" t="s">
        <v>198</v>
      </c>
      <c r="F2602">
        <v>61</v>
      </c>
      <c r="G2602" t="s">
        <v>2</v>
      </c>
      <c r="H2602" t="s">
        <v>3</v>
      </c>
      <c r="I2602" t="s">
        <v>55</v>
      </c>
      <c r="J2602" t="s">
        <v>65</v>
      </c>
      <c r="K2602" t="s">
        <v>64</v>
      </c>
      <c r="L2602">
        <v>1</v>
      </c>
      <c r="M2602" s="12">
        <v>80</v>
      </c>
      <c r="N2602" s="12">
        <v>56</v>
      </c>
      <c r="O2602">
        <v>11</v>
      </c>
      <c r="P2602" s="12">
        <v>71.2</v>
      </c>
      <c r="Q2602" s="12">
        <v>56</v>
      </c>
      <c r="R2602" s="12">
        <v>15.200000000000003</v>
      </c>
      <c r="S2602" t="s">
        <v>1246</v>
      </c>
      <c r="T2602" t="s">
        <v>107</v>
      </c>
      <c r="U2602" t="s">
        <v>1211</v>
      </c>
    </row>
    <row r="2603" spans="1:21" x14ac:dyDescent="0.25">
      <c r="A2603" t="s">
        <v>4662</v>
      </c>
      <c r="B2603" s="8">
        <v>45735</v>
      </c>
      <c r="C2603" t="s">
        <v>1253</v>
      </c>
      <c r="D2603" t="s">
        <v>1055</v>
      </c>
      <c r="E2603" t="s">
        <v>218</v>
      </c>
      <c r="F2603">
        <v>63</v>
      </c>
      <c r="G2603" t="s">
        <v>7</v>
      </c>
      <c r="H2603" t="s">
        <v>8</v>
      </c>
      <c r="I2603" t="s">
        <v>61</v>
      </c>
      <c r="J2603" t="s">
        <v>146</v>
      </c>
      <c r="K2603" t="s">
        <v>64</v>
      </c>
      <c r="L2603">
        <v>3</v>
      </c>
      <c r="M2603" s="12">
        <v>250</v>
      </c>
      <c r="N2603" s="12">
        <v>155</v>
      </c>
      <c r="O2603">
        <v>1</v>
      </c>
      <c r="P2603" s="12">
        <v>742.5</v>
      </c>
      <c r="Q2603" s="12">
        <v>465</v>
      </c>
      <c r="R2603" s="12">
        <v>277.5</v>
      </c>
      <c r="S2603" t="s">
        <v>1246</v>
      </c>
      <c r="T2603" t="s">
        <v>109</v>
      </c>
      <c r="U2603" t="s">
        <v>1194</v>
      </c>
    </row>
    <row r="2604" spans="1:21" x14ac:dyDescent="0.25">
      <c r="A2604" t="s">
        <v>4663</v>
      </c>
      <c r="B2604" s="8">
        <v>45927</v>
      </c>
      <c r="C2604" t="s">
        <v>3132</v>
      </c>
      <c r="D2604" t="s">
        <v>1051</v>
      </c>
      <c r="E2604" t="s">
        <v>218</v>
      </c>
      <c r="F2604">
        <v>50</v>
      </c>
      <c r="G2604" t="s">
        <v>11</v>
      </c>
      <c r="H2604" t="s">
        <v>12</v>
      </c>
      <c r="I2604" t="s">
        <v>24</v>
      </c>
      <c r="J2604" t="s">
        <v>25</v>
      </c>
      <c r="K2604" t="s">
        <v>22</v>
      </c>
      <c r="L2604">
        <v>5</v>
      </c>
      <c r="M2604" s="12">
        <v>35800</v>
      </c>
      <c r="N2604" s="12">
        <v>28640</v>
      </c>
      <c r="O2604">
        <v>4</v>
      </c>
      <c r="P2604" s="12">
        <v>171840</v>
      </c>
      <c r="Q2604" s="12">
        <v>143200</v>
      </c>
      <c r="R2604" s="12">
        <v>28640</v>
      </c>
      <c r="S2604" t="s">
        <v>113</v>
      </c>
      <c r="T2604" t="s">
        <v>107</v>
      </c>
      <c r="U2604" t="s">
        <v>1207</v>
      </c>
    </row>
    <row r="2605" spans="1:21" x14ac:dyDescent="0.25">
      <c r="A2605" t="s">
        <v>4664</v>
      </c>
      <c r="B2605" s="8">
        <v>45671</v>
      </c>
      <c r="C2605" t="s">
        <v>2526</v>
      </c>
      <c r="D2605" t="s">
        <v>554</v>
      </c>
      <c r="E2605" t="s">
        <v>198</v>
      </c>
      <c r="F2605">
        <v>39</v>
      </c>
      <c r="G2605" t="s">
        <v>16</v>
      </c>
      <c r="H2605" t="s">
        <v>15</v>
      </c>
      <c r="I2605" t="s">
        <v>47</v>
      </c>
      <c r="J2605" t="s">
        <v>52</v>
      </c>
      <c r="K2605" t="s">
        <v>43</v>
      </c>
      <c r="L2605">
        <v>2</v>
      </c>
      <c r="M2605" s="12">
        <v>42999</v>
      </c>
      <c r="N2605" s="12">
        <v>33539.22</v>
      </c>
      <c r="O2605">
        <v>2</v>
      </c>
      <c r="P2605" s="12">
        <v>84278.04</v>
      </c>
      <c r="Q2605" s="12">
        <v>67078.44</v>
      </c>
      <c r="R2605" s="12">
        <v>17199.599999999991</v>
      </c>
      <c r="S2605" t="s">
        <v>1246</v>
      </c>
      <c r="T2605" t="s">
        <v>109</v>
      </c>
      <c r="U2605" t="s">
        <v>1201</v>
      </c>
    </row>
    <row r="2606" spans="1:21" x14ac:dyDescent="0.25">
      <c r="A2606" t="s">
        <v>4665</v>
      </c>
      <c r="B2606" s="8">
        <v>45713</v>
      </c>
      <c r="C2606" t="s">
        <v>3895</v>
      </c>
      <c r="D2606" t="s">
        <v>1106</v>
      </c>
      <c r="E2606" t="s">
        <v>198</v>
      </c>
      <c r="F2606">
        <v>41</v>
      </c>
      <c r="G2606" t="s">
        <v>290</v>
      </c>
      <c r="H2606" t="s">
        <v>3</v>
      </c>
      <c r="I2606" t="s">
        <v>24</v>
      </c>
      <c r="J2606" t="s">
        <v>25</v>
      </c>
      <c r="K2606" t="s">
        <v>22</v>
      </c>
      <c r="L2606">
        <v>1</v>
      </c>
      <c r="M2606" s="12">
        <v>35800</v>
      </c>
      <c r="N2606" s="12">
        <v>28640</v>
      </c>
      <c r="O2606">
        <v>8</v>
      </c>
      <c r="P2606" s="12">
        <v>32936</v>
      </c>
      <c r="Q2606" s="12">
        <v>28640</v>
      </c>
      <c r="R2606" s="12">
        <v>4296</v>
      </c>
      <c r="S2606" t="s">
        <v>1246</v>
      </c>
      <c r="T2606" t="s">
        <v>107</v>
      </c>
      <c r="U2606" t="s">
        <v>1207</v>
      </c>
    </row>
    <row r="2607" spans="1:21" x14ac:dyDescent="0.25">
      <c r="A2607" t="s">
        <v>4667</v>
      </c>
      <c r="B2607" s="8">
        <v>45660</v>
      </c>
      <c r="C2607" t="s">
        <v>1380</v>
      </c>
      <c r="D2607" t="s">
        <v>919</v>
      </c>
      <c r="E2607" t="s">
        <v>218</v>
      </c>
      <c r="F2607">
        <v>49</v>
      </c>
      <c r="G2607" t="s">
        <v>14</v>
      </c>
      <c r="H2607" t="s">
        <v>15</v>
      </c>
      <c r="I2607" t="s">
        <v>49</v>
      </c>
      <c r="J2607" t="s">
        <v>56</v>
      </c>
      <c r="K2607" t="s">
        <v>43</v>
      </c>
      <c r="L2607">
        <v>3</v>
      </c>
      <c r="M2607" s="12">
        <v>31999</v>
      </c>
      <c r="N2607" s="12">
        <v>25599.200000000001</v>
      </c>
      <c r="O2607">
        <v>2</v>
      </c>
      <c r="P2607" s="12">
        <v>94077.06</v>
      </c>
      <c r="Q2607" s="12">
        <v>76797.600000000006</v>
      </c>
      <c r="R2607" s="12">
        <v>17279.459999999992</v>
      </c>
      <c r="S2607" t="s">
        <v>113</v>
      </c>
      <c r="T2607" t="s">
        <v>108</v>
      </c>
      <c r="U2607" t="s">
        <v>1209</v>
      </c>
    </row>
    <row r="2608" spans="1:21" x14ac:dyDescent="0.25">
      <c r="A2608" t="s">
        <v>4668</v>
      </c>
      <c r="B2608" s="8">
        <v>45658</v>
      </c>
      <c r="C2608" t="s">
        <v>2863</v>
      </c>
      <c r="D2608" t="s">
        <v>890</v>
      </c>
      <c r="E2608" t="s">
        <v>218</v>
      </c>
      <c r="F2608">
        <v>25</v>
      </c>
      <c r="G2608" t="s">
        <v>17</v>
      </c>
      <c r="H2608" t="s">
        <v>15</v>
      </c>
      <c r="I2608" t="s">
        <v>24</v>
      </c>
      <c r="J2608" t="s">
        <v>25</v>
      </c>
      <c r="K2608" t="s">
        <v>22</v>
      </c>
      <c r="L2608">
        <v>1</v>
      </c>
      <c r="M2608" s="12">
        <v>35800</v>
      </c>
      <c r="N2608" s="12">
        <v>28640</v>
      </c>
      <c r="O2608">
        <v>6</v>
      </c>
      <c r="P2608" s="12">
        <v>33652</v>
      </c>
      <c r="Q2608" s="12">
        <v>28640</v>
      </c>
      <c r="R2608" s="12">
        <v>5012</v>
      </c>
      <c r="S2608" t="s">
        <v>113</v>
      </c>
      <c r="T2608" t="s">
        <v>107</v>
      </c>
      <c r="U2608" t="s">
        <v>1211</v>
      </c>
    </row>
    <row r="2609" spans="1:21" x14ac:dyDescent="0.25">
      <c r="A2609" t="s">
        <v>4669</v>
      </c>
      <c r="B2609" s="8">
        <v>45877</v>
      </c>
      <c r="C2609" t="s">
        <v>2620</v>
      </c>
      <c r="D2609" t="s">
        <v>542</v>
      </c>
      <c r="E2609" t="s">
        <v>198</v>
      </c>
      <c r="F2609">
        <v>43</v>
      </c>
      <c r="G2609" t="s">
        <v>14</v>
      </c>
      <c r="H2609" t="s">
        <v>15</v>
      </c>
      <c r="I2609" t="s">
        <v>53</v>
      </c>
      <c r="J2609" t="s">
        <v>48</v>
      </c>
      <c r="K2609" t="s">
        <v>43</v>
      </c>
      <c r="L2609">
        <v>3</v>
      </c>
      <c r="M2609" s="12">
        <v>6499</v>
      </c>
      <c r="N2609" s="12">
        <v>4549.2999999999993</v>
      </c>
      <c r="O2609">
        <v>7</v>
      </c>
      <c r="P2609" s="12">
        <v>18132.21</v>
      </c>
      <c r="Q2609" s="12">
        <v>13647.899999999998</v>
      </c>
      <c r="R2609" s="12">
        <v>4484.3100000000013</v>
      </c>
      <c r="S2609" t="s">
        <v>113</v>
      </c>
      <c r="T2609" t="s">
        <v>107</v>
      </c>
      <c r="U2609" t="s">
        <v>1194</v>
      </c>
    </row>
    <row r="2610" spans="1:21" x14ac:dyDescent="0.25">
      <c r="A2610" t="s">
        <v>4670</v>
      </c>
      <c r="B2610" s="8">
        <v>45872</v>
      </c>
      <c r="C2610" t="s">
        <v>3101</v>
      </c>
      <c r="D2610" t="s">
        <v>366</v>
      </c>
      <c r="E2610" t="s">
        <v>198</v>
      </c>
      <c r="F2610">
        <v>23</v>
      </c>
      <c r="G2610" t="s">
        <v>4</v>
      </c>
      <c r="H2610" t="s">
        <v>3</v>
      </c>
      <c r="I2610" t="s">
        <v>45</v>
      </c>
      <c r="J2610" t="s">
        <v>46</v>
      </c>
      <c r="K2610" t="s">
        <v>43</v>
      </c>
      <c r="L2610">
        <v>1</v>
      </c>
      <c r="M2610" s="12">
        <v>11999</v>
      </c>
      <c r="N2610" s="12">
        <v>8999.25</v>
      </c>
      <c r="O2610">
        <v>9</v>
      </c>
      <c r="P2610" s="12">
        <v>10919.09</v>
      </c>
      <c r="Q2610" s="12">
        <v>8999.25</v>
      </c>
      <c r="R2610" s="12">
        <v>1919.8400000000001</v>
      </c>
      <c r="S2610" t="s">
        <v>113</v>
      </c>
      <c r="T2610" t="s">
        <v>109</v>
      </c>
      <c r="U2610" t="s">
        <v>1199</v>
      </c>
    </row>
    <row r="2611" spans="1:21" x14ac:dyDescent="0.25">
      <c r="A2611" t="s">
        <v>4671</v>
      </c>
      <c r="B2611" s="8">
        <v>45858</v>
      </c>
      <c r="C2611" t="s">
        <v>1720</v>
      </c>
      <c r="D2611" t="s">
        <v>1002</v>
      </c>
      <c r="E2611" t="s">
        <v>198</v>
      </c>
      <c r="F2611">
        <v>35</v>
      </c>
      <c r="G2611" t="s">
        <v>11</v>
      </c>
      <c r="H2611" t="s">
        <v>12</v>
      </c>
      <c r="I2611" t="s">
        <v>34</v>
      </c>
      <c r="J2611" t="s">
        <v>137</v>
      </c>
      <c r="K2611" t="s">
        <v>22</v>
      </c>
      <c r="L2611">
        <v>1</v>
      </c>
      <c r="M2611" s="12">
        <v>6900</v>
      </c>
      <c r="N2611" s="12">
        <v>5727</v>
      </c>
      <c r="O2611">
        <v>6</v>
      </c>
      <c r="P2611" s="12">
        <v>6486</v>
      </c>
      <c r="Q2611" s="12">
        <v>5727</v>
      </c>
      <c r="R2611" s="12">
        <v>759</v>
      </c>
      <c r="S2611" t="s">
        <v>1246</v>
      </c>
      <c r="T2611" t="s">
        <v>107</v>
      </c>
      <c r="U2611" t="s">
        <v>1196</v>
      </c>
    </row>
    <row r="2612" spans="1:21" x14ac:dyDescent="0.25">
      <c r="A2612" t="s">
        <v>4672</v>
      </c>
      <c r="B2612" s="8">
        <v>45943</v>
      </c>
      <c r="C2612" t="s">
        <v>3298</v>
      </c>
      <c r="D2612" t="s">
        <v>992</v>
      </c>
      <c r="E2612" t="s">
        <v>198</v>
      </c>
      <c r="F2612">
        <v>52</v>
      </c>
      <c r="G2612" t="s">
        <v>290</v>
      </c>
      <c r="H2612" t="s">
        <v>3</v>
      </c>
      <c r="I2612" t="s">
        <v>26</v>
      </c>
      <c r="J2612" t="s">
        <v>27</v>
      </c>
      <c r="K2612" t="s">
        <v>22</v>
      </c>
      <c r="L2612">
        <v>2</v>
      </c>
      <c r="M2612" s="12">
        <v>27499</v>
      </c>
      <c r="N2612" s="12">
        <v>23374.149999999998</v>
      </c>
      <c r="O2612">
        <v>7</v>
      </c>
      <c r="P2612" s="12">
        <v>51148.14</v>
      </c>
      <c r="Q2612" s="12">
        <v>46748.299999999996</v>
      </c>
      <c r="R2612" s="12">
        <v>4399.8400000000038</v>
      </c>
      <c r="S2612" t="s">
        <v>113</v>
      </c>
      <c r="T2612" t="s">
        <v>108</v>
      </c>
      <c r="U2612" t="s">
        <v>1201</v>
      </c>
    </row>
    <row r="2613" spans="1:21" x14ac:dyDescent="0.25">
      <c r="A2613" t="s">
        <v>4673</v>
      </c>
      <c r="B2613" s="8">
        <v>45964</v>
      </c>
      <c r="C2613" t="s">
        <v>1646</v>
      </c>
      <c r="D2613" t="s">
        <v>1078</v>
      </c>
      <c r="E2613" t="s">
        <v>218</v>
      </c>
      <c r="F2613">
        <v>58</v>
      </c>
      <c r="G2613" t="s">
        <v>11</v>
      </c>
      <c r="H2613" t="s">
        <v>12</v>
      </c>
      <c r="I2613" t="s">
        <v>63</v>
      </c>
      <c r="J2613" t="s">
        <v>77</v>
      </c>
      <c r="K2613" t="s">
        <v>64</v>
      </c>
      <c r="L2613">
        <v>5</v>
      </c>
      <c r="M2613" s="12">
        <v>650</v>
      </c>
      <c r="N2613" s="12">
        <v>468</v>
      </c>
      <c r="O2613">
        <v>6</v>
      </c>
      <c r="P2613" s="12">
        <v>3055</v>
      </c>
      <c r="Q2613" s="12">
        <v>2340</v>
      </c>
      <c r="R2613" s="12">
        <v>715</v>
      </c>
      <c r="S2613" t="s">
        <v>1246</v>
      </c>
      <c r="T2613" t="s">
        <v>107</v>
      </c>
      <c r="U2613" t="s">
        <v>1203</v>
      </c>
    </row>
    <row r="2614" spans="1:21" x14ac:dyDescent="0.25">
      <c r="A2614" t="s">
        <v>4674</v>
      </c>
      <c r="B2614" s="8">
        <v>45668</v>
      </c>
      <c r="C2614" t="s">
        <v>2229</v>
      </c>
      <c r="D2614" t="s">
        <v>1125</v>
      </c>
      <c r="E2614" t="s">
        <v>198</v>
      </c>
      <c r="F2614">
        <v>53</v>
      </c>
      <c r="G2614" t="s">
        <v>11</v>
      </c>
      <c r="H2614" t="s">
        <v>12</v>
      </c>
      <c r="I2614" t="s">
        <v>26</v>
      </c>
      <c r="J2614" t="s">
        <v>27</v>
      </c>
      <c r="K2614" t="s">
        <v>22</v>
      </c>
      <c r="L2614">
        <v>4</v>
      </c>
      <c r="M2614" s="12">
        <v>27499</v>
      </c>
      <c r="N2614" s="12">
        <v>23374.149999999998</v>
      </c>
      <c r="O2614">
        <v>8</v>
      </c>
      <c r="P2614" s="12">
        <v>101196.32</v>
      </c>
      <c r="Q2614" s="12">
        <v>93496.599999999991</v>
      </c>
      <c r="R2614" s="12">
        <v>7699.7200000000157</v>
      </c>
      <c r="S2614" t="s">
        <v>113</v>
      </c>
      <c r="T2614" t="s">
        <v>110</v>
      </c>
      <c r="U2614" t="s">
        <v>1198</v>
      </c>
    </row>
    <row r="2615" spans="1:21" x14ac:dyDescent="0.25">
      <c r="A2615" t="s">
        <v>4675</v>
      </c>
      <c r="B2615" s="8">
        <v>45671</v>
      </c>
      <c r="C2615" t="s">
        <v>3580</v>
      </c>
      <c r="D2615" t="s">
        <v>859</v>
      </c>
      <c r="E2615" t="s">
        <v>218</v>
      </c>
      <c r="F2615">
        <v>61</v>
      </c>
      <c r="G2615" t="s">
        <v>11</v>
      </c>
      <c r="H2615" t="s">
        <v>12</v>
      </c>
      <c r="I2615" t="s">
        <v>28</v>
      </c>
      <c r="J2615" t="s">
        <v>35</v>
      </c>
      <c r="K2615" t="s">
        <v>22</v>
      </c>
      <c r="L2615">
        <v>5</v>
      </c>
      <c r="M2615" s="12">
        <v>16499</v>
      </c>
      <c r="N2615" s="12">
        <v>14519.12</v>
      </c>
      <c r="O2615">
        <v>5</v>
      </c>
      <c r="P2615" s="12">
        <v>78370.25</v>
      </c>
      <c r="Q2615" s="12">
        <v>72595.600000000006</v>
      </c>
      <c r="R2615" s="12">
        <v>5774.6499999999942</v>
      </c>
      <c r="S2615" t="s">
        <v>1246</v>
      </c>
      <c r="T2615" t="s">
        <v>108</v>
      </c>
      <c r="U2615" t="s">
        <v>1194</v>
      </c>
    </row>
    <row r="2616" spans="1:21" x14ac:dyDescent="0.25">
      <c r="A2616" t="s">
        <v>4677</v>
      </c>
      <c r="B2616" s="8">
        <v>45693</v>
      </c>
      <c r="C2616" t="s">
        <v>4702</v>
      </c>
      <c r="D2616" t="s">
        <v>1099</v>
      </c>
      <c r="E2616" t="s">
        <v>218</v>
      </c>
      <c r="F2616">
        <v>20</v>
      </c>
      <c r="G2616" t="s">
        <v>11</v>
      </c>
      <c r="H2616" t="s">
        <v>12</v>
      </c>
      <c r="I2616" t="s">
        <v>21</v>
      </c>
      <c r="J2616" t="s">
        <v>23</v>
      </c>
      <c r="K2616" t="s">
        <v>22</v>
      </c>
      <c r="L2616">
        <v>1</v>
      </c>
      <c r="M2616" s="12">
        <v>54999</v>
      </c>
      <c r="N2616" s="12">
        <v>45099.18</v>
      </c>
      <c r="O2616">
        <v>4</v>
      </c>
      <c r="P2616" s="12">
        <v>52799.040000000001</v>
      </c>
      <c r="Q2616" s="12">
        <v>45099.18</v>
      </c>
      <c r="R2616" s="12">
        <v>7699.8600000000006</v>
      </c>
      <c r="S2616" t="s">
        <v>1246</v>
      </c>
      <c r="T2616" t="s">
        <v>107</v>
      </c>
      <c r="U2616" t="s">
        <v>1199</v>
      </c>
    </row>
    <row r="2617" spans="1:21" x14ac:dyDescent="0.25">
      <c r="A2617" t="s">
        <v>4678</v>
      </c>
      <c r="B2617" s="8">
        <v>45721</v>
      </c>
      <c r="C2617" t="s">
        <v>2641</v>
      </c>
      <c r="D2617" t="s">
        <v>948</v>
      </c>
      <c r="E2617" t="s">
        <v>198</v>
      </c>
      <c r="F2617">
        <v>42</v>
      </c>
      <c r="G2617" t="s">
        <v>11</v>
      </c>
      <c r="H2617" t="s">
        <v>12</v>
      </c>
      <c r="I2617" t="s">
        <v>57</v>
      </c>
      <c r="J2617" t="s">
        <v>67</v>
      </c>
      <c r="K2617" t="s">
        <v>64</v>
      </c>
      <c r="L2617">
        <v>5</v>
      </c>
      <c r="M2617" s="12">
        <v>150</v>
      </c>
      <c r="N2617" s="12">
        <v>97.5</v>
      </c>
      <c r="O2617">
        <v>5</v>
      </c>
      <c r="P2617" s="12">
        <v>712.5</v>
      </c>
      <c r="Q2617" s="12">
        <v>487.5</v>
      </c>
      <c r="R2617" s="12">
        <v>225</v>
      </c>
      <c r="S2617" t="s">
        <v>1246</v>
      </c>
      <c r="T2617" t="s">
        <v>109</v>
      </c>
      <c r="U2617" t="s">
        <v>1201</v>
      </c>
    </row>
    <row r="2618" spans="1:21" x14ac:dyDescent="0.25">
      <c r="A2618" t="s">
        <v>4679</v>
      </c>
      <c r="B2618" s="8">
        <v>45782</v>
      </c>
      <c r="C2618" t="s">
        <v>2548</v>
      </c>
      <c r="D2618" t="s">
        <v>734</v>
      </c>
      <c r="E2618" t="s">
        <v>218</v>
      </c>
      <c r="F2618">
        <v>38</v>
      </c>
      <c r="G2618" t="s">
        <v>16</v>
      </c>
      <c r="H2618" t="s">
        <v>15</v>
      </c>
      <c r="I2618" t="s">
        <v>61</v>
      </c>
      <c r="J2618" t="s">
        <v>146</v>
      </c>
      <c r="K2618" t="s">
        <v>64</v>
      </c>
      <c r="L2618">
        <v>4</v>
      </c>
      <c r="M2618" s="12">
        <v>250</v>
      </c>
      <c r="N2618" s="12">
        <v>155</v>
      </c>
      <c r="O2618">
        <v>10</v>
      </c>
      <c r="P2618" s="12">
        <v>900</v>
      </c>
      <c r="Q2618" s="12">
        <v>620</v>
      </c>
      <c r="R2618" s="12">
        <v>280</v>
      </c>
      <c r="S2618" t="s">
        <v>1246</v>
      </c>
      <c r="T2618" t="s">
        <v>107</v>
      </c>
      <c r="U2618" t="s">
        <v>1209</v>
      </c>
    </row>
    <row r="2619" spans="1:21" x14ac:dyDescent="0.25">
      <c r="A2619" t="s">
        <v>4680</v>
      </c>
      <c r="B2619" s="8">
        <v>45878</v>
      </c>
      <c r="C2619" t="s">
        <v>2229</v>
      </c>
      <c r="D2619" t="s">
        <v>1125</v>
      </c>
      <c r="E2619" t="s">
        <v>198</v>
      </c>
      <c r="F2619">
        <v>53</v>
      </c>
      <c r="G2619" t="s">
        <v>11</v>
      </c>
      <c r="H2619" t="s">
        <v>12</v>
      </c>
      <c r="I2619" t="s">
        <v>42</v>
      </c>
      <c r="J2619" t="s">
        <v>44</v>
      </c>
      <c r="K2619" t="s">
        <v>43</v>
      </c>
      <c r="L2619">
        <v>4</v>
      </c>
      <c r="M2619" s="12">
        <v>8999</v>
      </c>
      <c r="N2619" s="12">
        <v>6479.28</v>
      </c>
      <c r="O2619">
        <v>9</v>
      </c>
      <c r="P2619" s="12">
        <v>32756.36</v>
      </c>
      <c r="Q2619" s="12">
        <v>25917.119999999999</v>
      </c>
      <c r="R2619" s="12">
        <v>6839.2400000000016</v>
      </c>
      <c r="S2619" t="s">
        <v>113</v>
      </c>
      <c r="T2619" t="s">
        <v>110</v>
      </c>
      <c r="U2619" t="s">
        <v>1199</v>
      </c>
    </row>
    <row r="2620" spans="1:21" x14ac:dyDescent="0.25">
      <c r="A2620" t="s">
        <v>4681</v>
      </c>
      <c r="B2620" s="8">
        <v>45680</v>
      </c>
      <c r="C2620" t="s">
        <v>1557</v>
      </c>
      <c r="D2620" t="s">
        <v>889</v>
      </c>
      <c r="E2620" t="s">
        <v>218</v>
      </c>
      <c r="F2620">
        <v>31</v>
      </c>
      <c r="G2620" t="s">
        <v>9</v>
      </c>
      <c r="H2620" t="s">
        <v>8</v>
      </c>
      <c r="I2620" t="s">
        <v>57</v>
      </c>
      <c r="J2620" t="s">
        <v>67</v>
      </c>
      <c r="K2620" t="s">
        <v>64</v>
      </c>
      <c r="L2620">
        <v>1</v>
      </c>
      <c r="M2620" s="12">
        <v>150</v>
      </c>
      <c r="N2620" s="12">
        <v>97.5</v>
      </c>
      <c r="O2620">
        <v>13</v>
      </c>
      <c r="P2620" s="12">
        <v>130.5</v>
      </c>
      <c r="Q2620" s="12">
        <v>97.5</v>
      </c>
      <c r="R2620" s="12">
        <v>33</v>
      </c>
      <c r="S2620" t="s">
        <v>113</v>
      </c>
      <c r="T2620" t="s">
        <v>109</v>
      </c>
      <c r="U2620" t="s">
        <v>1199</v>
      </c>
    </row>
    <row r="2621" spans="1:21" x14ac:dyDescent="0.25">
      <c r="A2621" t="s">
        <v>4682</v>
      </c>
      <c r="B2621" s="8">
        <v>45925</v>
      </c>
      <c r="C2621" t="s">
        <v>4886</v>
      </c>
      <c r="D2621" t="s">
        <v>725</v>
      </c>
      <c r="E2621" t="s">
        <v>198</v>
      </c>
      <c r="F2621">
        <v>64</v>
      </c>
      <c r="G2621" t="s">
        <v>11</v>
      </c>
      <c r="H2621" t="s">
        <v>12</v>
      </c>
      <c r="I2621" t="s">
        <v>49</v>
      </c>
      <c r="J2621" t="s">
        <v>56</v>
      </c>
      <c r="K2621" t="s">
        <v>43</v>
      </c>
      <c r="L2621">
        <v>1</v>
      </c>
      <c r="M2621" s="12">
        <v>31999</v>
      </c>
      <c r="N2621" s="12">
        <v>25599.200000000001</v>
      </c>
      <c r="O2621">
        <v>9</v>
      </c>
      <c r="P2621" s="12">
        <v>29119.09</v>
      </c>
      <c r="Q2621" s="12">
        <v>25599.200000000001</v>
      </c>
      <c r="R2621" s="12">
        <v>3519.8899999999994</v>
      </c>
      <c r="S2621" t="s">
        <v>113</v>
      </c>
      <c r="T2621" t="s">
        <v>110</v>
      </c>
      <c r="U2621" t="s">
        <v>1209</v>
      </c>
    </row>
    <row r="2622" spans="1:21" x14ac:dyDescent="0.25">
      <c r="A2622" t="s">
        <v>4683</v>
      </c>
      <c r="B2622" s="8">
        <v>45991</v>
      </c>
      <c r="C2622" t="s">
        <v>5094</v>
      </c>
      <c r="D2622" t="s">
        <v>573</v>
      </c>
      <c r="E2622" t="s">
        <v>198</v>
      </c>
      <c r="F2622">
        <v>37</v>
      </c>
      <c r="G2622" t="s">
        <v>7</v>
      </c>
      <c r="H2622" t="s">
        <v>8</v>
      </c>
      <c r="I2622" t="s">
        <v>24</v>
      </c>
      <c r="J2622" t="s">
        <v>25</v>
      </c>
      <c r="K2622" t="s">
        <v>22</v>
      </c>
      <c r="L2622">
        <v>4</v>
      </c>
      <c r="M2622" s="12">
        <v>35800</v>
      </c>
      <c r="N2622" s="12">
        <v>28640</v>
      </c>
      <c r="O2622">
        <v>18</v>
      </c>
      <c r="P2622" s="12">
        <v>117424.00000000001</v>
      </c>
      <c r="Q2622" s="12">
        <v>114560</v>
      </c>
      <c r="R2622" s="12">
        <v>2864.0000000000146</v>
      </c>
      <c r="S2622" t="s">
        <v>1246</v>
      </c>
      <c r="T2622" t="s">
        <v>108</v>
      </c>
      <c r="U2622" t="s">
        <v>1203</v>
      </c>
    </row>
    <row r="2623" spans="1:21" x14ac:dyDescent="0.25">
      <c r="A2623" t="s">
        <v>4684</v>
      </c>
      <c r="B2623" s="8">
        <v>45956</v>
      </c>
      <c r="C2623" t="s">
        <v>2090</v>
      </c>
      <c r="D2623" t="s">
        <v>689</v>
      </c>
      <c r="E2623" t="s">
        <v>218</v>
      </c>
      <c r="F2623">
        <v>51</v>
      </c>
      <c r="G2623" t="s">
        <v>2</v>
      </c>
      <c r="H2623" t="s">
        <v>3</v>
      </c>
      <c r="I2623" t="s">
        <v>24</v>
      </c>
      <c r="J2623" t="s">
        <v>25</v>
      </c>
      <c r="K2623" t="s">
        <v>22</v>
      </c>
      <c r="L2623">
        <v>5</v>
      </c>
      <c r="M2623" s="12">
        <v>35800</v>
      </c>
      <c r="N2623" s="12">
        <v>28640</v>
      </c>
      <c r="O2623">
        <v>4</v>
      </c>
      <c r="P2623" s="12">
        <v>171840</v>
      </c>
      <c r="Q2623" s="12">
        <v>143200</v>
      </c>
      <c r="R2623" s="12">
        <v>28640</v>
      </c>
      <c r="S2623" t="s">
        <v>113</v>
      </c>
      <c r="T2623" t="s">
        <v>108</v>
      </c>
      <c r="U2623" t="s">
        <v>1194</v>
      </c>
    </row>
    <row r="2624" spans="1:21" x14ac:dyDescent="0.25">
      <c r="A2624" t="s">
        <v>4685</v>
      </c>
      <c r="B2624" s="8">
        <v>45906</v>
      </c>
      <c r="C2624" t="s">
        <v>2509</v>
      </c>
      <c r="D2624" t="s">
        <v>832</v>
      </c>
      <c r="E2624" t="s">
        <v>218</v>
      </c>
      <c r="F2624">
        <v>55</v>
      </c>
      <c r="G2624" t="s">
        <v>10</v>
      </c>
      <c r="H2624" t="s">
        <v>8</v>
      </c>
      <c r="I2624" t="s">
        <v>24</v>
      </c>
      <c r="J2624" t="s">
        <v>25</v>
      </c>
      <c r="K2624" t="s">
        <v>22</v>
      </c>
      <c r="L2624">
        <v>1</v>
      </c>
      <c r="M2624" s="12">
        <v>35800</v>
      </c>
      <c r="N2624" s="12">
        <v>28640</v>
      </c>
      <c r="O2624">
        <v>6</v>
      </c>
      <c r="P2624" s="12">
        <v>33652</v>
      </c>
      <c r="Q2624" s="12">
        <v>28640</v>
      </c>
      <c r="R2624" s="12">
        <v>5012</v>
      </c>
      <c r="S2624" t="s">
        <v>113</v>
      </c>
      <c r="T2624" t="s">
        <v>108</v>
      </c>
      <c r="U2624" t="s">
        <v>1201</v>
      </c>
    </row>
    <row r="2625" spans="1:21" x14ac:dyDescent="0.25">
      <c r="A2625" t="s">
        <v>4686</v>
      </c>
      <c r="B2625" s="8">
        <v>45927</v>
      </c>
      <c r="C2625" t="s">
        <v>1787</v>
      </c>
      <c r="D2625" t="s">
        <v>833</v>
      </c>
      <c r="E2625" t="s">
        <v>218</v>
      </c>
      <c r="F2625">
        <v>21</v>
      </c>
      <c r="G2625" t="s">
        <v>10</v>
      </c>
      <c r="H2625" t="s">
        <v>8</v>
      </c>
      <c r="I2625" t="s">
        <v>63</v>
      </c>
      <c r="J2625" t="s">
        <v>77</v>
      </c>
      <c r="K2625" t="s">
        <v>64</v>
      </c>
      <c r="L2625">
        <v>4</v>
      </c>
      <c r="M2625" s="12">
        <v>650</v>
      </c>
      <c r="N2625" s="12">
        <v>468</v>
      </c>
      <c r="O2625">
        <v>4</v>
      </c>
      <c r="P2625" s="12">
        <v>2496</v>
      </c>
      <c r="Q2625" s="12">
        <v>1872</v>
      </c>
      <c r="R2625" s="12">
        <v>624</v>
      </c>
      <c r="S2625" t="s">
        <v>1246</v>
      </c>
      <c r="T2625" t="s">
        <v>108</v>
      </c>
      <c r="U2625" t="s">
        <v>1196</v>
      </c>
    </row>
    <row r="2626" spans="1:21" x14ac:dyDescent="0.25">
      <c r="A2626" t="s">
        <v>4687</v>
      </c>
      <c r="B2626" s="8">
        <v>45750</v>
      </c>
      <c r="C2626" t="s">
        <v>2121</v>
      </c>
      <c r="D2626" t="s">
        <v>1112</v>
      </c>
      <c r="E2626" t="s">
        <v>218</v>
      </c>
      <c r="F2626">
        <v>43</v>
      </c>
      <c r="G2626" t="s">
        <v>290</v>
      </c>
      <c r="H2626" t="s">
        <v>3</v>
      </c>
      <c r="I2626" t="s">
        <v>40</v>
      </c>
      <c r="J2626" t="s">
        <v>39</v>
      </c>
      <c r="K2626" t="s">
        <v>22</v>
      </c>
      <c r="L2626">
        <v>3</v>
      </c>
      <c r="M2626" s="12">
        <v>1100</v>
      </c>
      <c r="N2626" s="12">
        <v>715</v>
      </c>
      <c r="O2626">
        <v>4</v>
      </c>
      <c r="P2626" s="12">
        <v>3168</v>
      </c>
      <c r="Q2626" s="12">
        <v>2145</v>
      </c>
      <c r="R2626" s="12">
        <v>1023</v>
      </c>
      <c r="S2626" t="s">
        <v>1246</v>
      </c>
      <c r="T2626" t="s">
        <v>107</v>
      </c>
      <c r="U2626" t="s">
        <v>1201</v>
      </c>
    </row>
    <row r="2627" spans="1:21" x14ac:dyDescent="0.25">
      <c r="A2627" t="s">
        <v>4688</v>
      </c>
      <c r="B2627" s="8">
        <v>45904</v>
      </c>
      <c r="C2627" t="s">
        <v>2630</v>
      </c>
      <c r="D2627" t="s">
        <v>437</v>
      </c>
      <c r="E2627" t="s">
        <v>198</v>
      </c>
      <c r="F2627">
        <v>36</v>
      </c>
      <c r="G2627" t="s">
        <v>16</v>
      </c>
      <c r="H2627" t="s">
        <v>15</v>
      </c>
      <c r="I2627" t="s">
        <v>34</v>
      </c>
      <c r="J2627" t="s">
        <v>137</v>
      </c>
      <c r="K2627" t="s">
        <v>22</v>
      </c>
      <c r="L2627">
        <v>3</v>
      </c>
      <c r="M2627" s="12">
        <v>6900</v>
      </c>
      <c r="N2627" s="12">
        <v>5727</v>
      </c>
      <c r="O2627">
        <v>7</v>
      </c>
      <c r="P2627" s="12">
        <v>19251</v>
      </c>
      <c r="Q2627" s="12">
        <v>17181</v>
      </c>
      <c r="R2627" s="12">
        <v>2070</v>
      </c>
      <c r="S2627" t="s">
        <v>1246</v>
      </c>
      <c r="T2627" t="s">
        <v>110</v>
      </c>
      <c r="U2627" t="s">
        <v>1211</v>
      </c>
    </row>
    <row r="2628" spans="1:21" x14ac:dyDescent="0.25">
      <c r="A2628" t="s">
        <v>4689</v>
      </c>
      <c r="B2628" s="8">
        <v>45955</v>
      </c>
      <c r="C2628" t="s">
        <v>1431</v>
      </c>
      <c r="D2628" t="s">
        <v>614</v>
      </c>
      <c r="E2628" t="s">
        <v>218</v>
      </c>
      <c r="F2628">
        <v>24</v>
      </c>
      <c r="G2628" t="s">
        <v>14</v>
      </c>
      <c r="H2628" t="s">
        <v>15</v>
      </c>
      <c r="I2628" t="s">
        <v>24</v>
      </c>
      <c r="J2628" t="s">
        <v>25</v>
      </c>
      <c r="K2628" t="s">
        <v>22</v>
      </c>
      <c r="L2628">
        <v>1</v>
      </c>
      <c r="M2628" s="12">
        <v>35800</v>
      </c>
      <c r="N2628" s="12">
        <v>28640</v>
      </c>
      <c r="O2628">
        <v>6</v>
      </c>
      <c r="P2628" s="12">
        <v>33652</v>
      </c>
      <c r="Q2628" s="12">
        <v>28640</v>
      </c>
      <c r="R2628" s="12">
        <v>5012</v>
      </c>
      <c r="S2628" t="s">
        <v>1246</v>
      </c>
      <c r="T2628" t="s">
        <v>109</v>
      </c>
      <c r="U2628" t="s">
        <v>1209</v>
      </c>
    </row>
    <row r="2629" spans="1:21" x14ac:dyDescent="0.25">
      <c r="A2629" t="s">
        <v>4690</v>
      </c>
      <c r="B2629" s="8">
        <v>45692</v>
      </c>
      <c r="C2629" t="s">
        <v>2476</v>
      </c>
      <c r="D2629" t="s">
        <v>1093</v>
      </c>
      <c r="E2629" t="s">
        <v>218</v>
      </c>
      <c r="F2629">
        <v>32</v>
      </c>
      <c r="G2629" t="s">
        <v>290</v>
      </c>
      <c r="H2629" t="s">
        <v>3</v>
      </c>
      <c r="I2629" t="s">
        <v>61</v>
      </c>
      <c r="J2629" t="s">
        <v>146</v>
      </c>
      <c r="K2629" t="s">
        <v>64</v>
      </c>
      <c r="L2629">
        <v>1</v>
      </c>
      <c r="M2629" s="12">
        <v>250</v>
      </c>
      <c r="N2629" s="12">
        <v>155</v>
      </c>
      <c r="O2629">
        <v>3</v>
      </c>
      <c r="P2629" s="12">
        <v>242.5</v>
      </c>
      <c r="Q2629" s="12">
        <v>155</v>
      </c>
      <c r="R2629" s="12">
        <v>87.5</v>
      </c>
      <c r="S2629" t="s">
        <v>1246</v>
      </c>
      <c r="T2629" t="s">
        <v>108</v>
      </c>
      <c r="U2629" t="s">
        <v>1201</v>
      </c>
    </row>
    <row r="2630" spans="1:21" x14ac:dyDescent="0.25">
      <c r="A2630" t="s">
        <v>4691</v>
      </c>
      <c r="B2630" s="8">
        <v>45711</v>
      </c>
      <c r="C2630" t="s">
        <v>2444</v>
      </c>
      <c r="D2630" t="s">
        <v>367</v>
      </c>
      <c r="E2630" t="s">
        <v>218</v>
      </c>
      <c r="F2630">
        <v>23</v>
      </c>
      <c r="G2630" t="s">
        <v>7</v>
      </c>
      <c r="H2630" t="s">
        <v>8</v>
      </c>
      <c r="I2630" t="s">
        <v>40</v>
      </c>
      <c r="J2630" t="s">
        <v>39</v>
      </c>
      <c r="K2630" t="s">
        <v>22</v>
      </c>
      <c r="L2630">
        <v>2</v>
      </c>
      <c r="M2630" s="12">
        <v>1100</v>
      </c>
      <c r="N2630" s="12">
        <v>715</v>
      </c>
      <c r="O2630">
        <v>5</v>
      </c>
      <c r="P2630" s="12">
        <v>2090</v>
      </c>
      <c r="Q2630" s="12">
        <v>1430</v>
      </c>
      <c r="R2630" s="12">
        <v>660</v>
      </c>
      <c r="S2630" t="s">
        <v>113</v>
      </c>
      <c r="T2630" t="s">
        <v>109</v>
      </c>
      <c r="U2630" t="s">
        <v>1207</v>
      </c>
    </row>
    <row r="2631" spans="1:21" x14ac:dyDescent="0.25">
      <c r="A2631" t="s">
        <v>4692</v>
      </c>
      <c r="B2631" s="8">
        <v>45726</v>
      </c>
      <c r="C2631" t="s">
        <v>1778</v>
      </c>
      <c r="D2631" t="s">
        <v>1054</v>
      </c>
      <c r="E2631" t="s">
        <v>198</v>
      </c>
      <c r="F2631">
        <v>34</v>
      </c>
      <c r="G2631" t="s">
        <v>7</v>
      </c>
      <c r="H2631" t="s">
        <v>8</v>
      </c>
      <c r="I2631" t="s">
        <v>45</v>
      </c>
      <c r="J2631" t="s">
        <v>46</v>
      </c>
      <c r="K2631" t="s">
        <v>43</v>
      </c>
      <c r="L2631">
        <v>4</v>
      </c>
      <c r="M2631" s="12">
        <v>11999</v>
      </c>
      <c r="N2631" s="12">
        <v>8999.25</v>
      </c>
      <c r="O2631">
        <v>8</v>
      </c>
      <c r="P2631" s="12">
        <v>44156.32</v>
      </c>
      <c r="Q2631" s="12">
        <v>35997</v>
      </c>
      <c r="R2631" s="12">
        <v>8159.32</v>
      </c>
      <c r="S2631" t="s">
        <v>113</v>
      </c>
      <c r="T2631" t="s">
        <v>111</v>
      </c>
      <c r="U2631" t="s">
        <v>1209</v>
      </c>
    </row>
    <row r="2632" spans="1:21" x14ac:dyDescent="0.25">
      <c r="A2632" t="s">
        <v>4693</v>
      </c>
      <c r="B2632" s="8">
        <v>45697</v>
      </c>
      <c r="C2632" t="s">
        <v>2031</v>
      </c>
      <c r="D2632" t="s">
        <v>363</v>
      </c>
      <c r="E2632" t="s">
        <v>218</v>
      </c>
      <c r="F2632">
        <v>33</v>
      </c>
      <c r="G2632" t="s">
        <v>5</v>
      </c>
      <c r="H2632" t="s">
        <v>3</v>
      </c>
      <c r="I2632" t="s">
        <v>21</v>
      </c>
      <c r="J2632" t="s">
        <v>23</v>
      </c>
      <c r="K2632" t="s">
        <v>22</v>
      </c>
      <c r="L2632">
        <v>5</v>
      </c>
      <c r="M2632" s="12">
        <v>54999</v>
      </c>
      <c r="N2632" s="12">
        <v>45099.18</v>
      </c>
      <c r="O2632">
        <v>4</v>
      </c>
      <c r="P2632" s="12">
        <v>263995.2</v>
      </c>
      <c r="Q2632" s="12">
        <v>225495.9</v>
      </c>
      <c r="R2632" s="12">
        <v>38499.300000000017</v>
      </c>
      <c r="S2632" t="s">
        <v>113</v>
      </c>
      <c r="T2632" t="s">
        <v>108</v>
      </c>
      <c r="U2632" t="s">
        <v>1207</v>
      </c>
    </row>
    <row r="2633" spans="1:21" x14ac:dyDescent="0.25">
      <c r="A2633" t="s">
        <v>4694</v>
      </c>
      <c r="B2633" s="8">
        <v>46015</v>
      </c>
      <c r="C2633" t="s">
        <v>2021</v>
      </c>
      <c r="D2633" t="s">
        <v>1131</v>
      </c>
      <c r="E2633" t="s">
        <v>218</v>
      </c>
      <c r="F2633">
        <v>28</v>
      </c>
      <c r="G2633" t="s">
        <v>16</v>
      </c>
      <c r="H2633" t="s">
        <v>15</v>
      </c>
      <c r="I2633" t="s">
        <v>55</v>
      </c>
      <c r="J2633" t="s">
        <v>65</v>
      </c>
      <c r="K2633" t="s">
        <v>64</v>
      </c>
      <c r="L2633">
        <v>1</v>
      </c>
      <c r="M2633" s="12">
        <v>80</v>
      </c>
      <c r="N2633" s="12">
        <v>56</v>
      </c>
      <c r="O2633">
        <v>8</v>
      </c>
      <c r="P2633" s="12">
        <v>73.600000000000009</v>
      </c>
      <c r="Q2633" s="12">
        <v>56</v>
      </c>
      <c r="R2633" s="12">
        <v>17.600000000000009</v>
      </c>
      <c r="S2633" t="s">
        <v>1246</v>
      </c>
      <c r="T2633" t="s">
        <v>108</v>
      </c>
      <c r="U2633" t="s">
        <v>1205</v>
      </c>
    </row>
    <row r="2634" spans="1:21" x14ac:dyDescent="0.25">
      <c r="A2634" t="s">
        <v>4695</v>
      </c>
      <c r="B2634" s="8">
        <v>45757</v>
      </c>
      <c r="C2634" t="s">
        <v>2003</v>
      </c>
      <c r="D2634" t="s">
        <v>1089</v>
      </c>
      <c r="E2634" t="s">
        <v>198</v>
      </c>
      <c r="F2634">
        <v>49</v>
      </c>
      <c r="G2634" t="s">
        <v>4</v>
      </c>
      <c r="H2634" t="s">
        <v>3</v>
      </c>
      <c r="I2634" t="s">
        <v>55</v>
      </c>
      <c r="J2634" t="s">
        <v>65</v>
      </c>
      <c r="K2634" t="s">
        <v>64</v>
      </c>
      <c r="L2634">
        <v>1</v>
      </c>
      <c r="M2634" s="12">
        <v>80</v>
      </c>
      <c r="N2634" s="12">
        <v>56</v>
      </c>
      <c r="O2634">
        <v>4</v>
      </c>
      <c r="P2634" s="12">
        <v>76.8</v>
      </c>
      <c r="Q2634" s="12">
        <v>56</v>
      </c>
      <c r="R2634" s="12">
        <v>20.799999999999997</v>
      </c>
      <c r="S2634" t="s">
        <v>1246</v>
      </c>
      <c r="T2634" t="s">
        <v>108</v>
      </c>
      <c r="U2634" t="s">
        <v>1194</v>
      </c>
    </row>
    <row r="2635" spans="1:21" x14ac:dyDescent="0.25">
      <c r="A2635" t="s">
        <v>4696</v>
      </c>
      <c r="B2635" s="8">
        <v>45697</v>
      </c>
      <c r="C2635" t="s">
        <v>1308</v>
      </c>
      <c r="D2635" t="s">
        <v>1067</v>
      </c>
      <c r="E2635" t="s">
        <v>218</v>
      </c>
      <c r="F2635">
        <v>24</v>
      </c>
      <c r="G2635" t="s">
        <v>4</v>
      </c>
      <c r="H2635" t="s">
        <v>3</v>
      </c>
      <c r="I2635" t="s">
        <v>36</v>
      </c>
      <c r="J2635" t="s">
        <v>136</v>
      </c>
      <c r="K2635" t="s">
        <v>22</v>
      </c>
      <c r="L2635">
        <v>3</v>
      </c>
      <c r="M2635" s="12">
        <v>3590</v>
      </c>
      <c r="N2635" s="12">
        <v>2333.5</v>
      </c>
      <c r="O2635">
        <v>3</v>
      </c>
      <c r="P2635" s="12">
        <v>10446.9</v>
      </c>
      <c r="Q2635" s="12">
        <v>7000.5</v>
      </c>
      <c r="R2635" s="12">
        <v>3446.3999999999996</v>
      </c>
      <c r="S2635" t="s">
        <v>1246</v>
      </c>
      <c r="T2635" t="s">
        <v>107</v>
      </c>
      <c r="U2635" t="s">
        <v>1199</v>
      </c>
    </row>
    <row r="2636" spans="1:21" x14ac:dyDescent="0.25">
      <c r="A2636" t="s">
        <v>4697</v>
      </c>
      <c r="B2636" s="8">
        <v>45795</v>
      </c>
      <c r="C2636" t="s">
        <v>1736</v>
      </c>
      <c r="D2636" t="s">
        <v>524</v>
      </c>
      <c r="E2636" t="s">
        <v>198</v>
      </c>
      <c r="F2636">
        <v>42</v>
      </c>
      <c r="G2636" t="s">
        <v>5</v>
      </c>
      <c r="H2636" t="s">
        <v>3</v>
      </c>
      <c r="I2636" t="s">
        <v>26</v>
      </c>
      <c r="J2636" t="s">
        <v>27</v>
      </c>
      <c r="K2636" t="s">
        <v>22</v>
      </c>
      <c r="L2636">
        <v>2</v>
      </c>
      <c r="M2636" s="12">
        <v>27499</v>
      </c>
      <c r="N2636" s="12">
        <v>23374.149999999998</v>
      </c>
      <c r="O2636">
        <v>10</v>
      </c>
      <c r="P2636" s="12">
        <v>49498.200000000004</v>
      </c>
      <c r="Q2636" s="12">
        <v>46748.299999999996</v>
      </c>
      <c r="R2636" s="12">
        <v>2749.9000000000087</v>
      </c>
      <c r="S2636" t="s">
        <v>113</v>
      </c>
      <c r="T2636" t="s">
        <v>107</v>
      </c>
      <c r="U2636" t="s">
        <v>1196</v>
      </c>
    </row>
    <row r="2637" spans="1:21" x14ac:dyDescent="0.25">
      <c r="A2637" t="s">
        <v>4699</v>
      </c>
      <c r="B2637" s="8">
        <v>45924</v>
      </c>
      <c r="C2637" t="s">
        <v>3532</v>
      </c>
      <c r="D2637" t="s">
        <v>376</v>
      </c>
      <c r="E2637" t="s">
        <v>218</v>
      </c>
      <c r="F2637">
        <v>19</v>
      </c>
      <c r="G2637" t="s">
        <v>4</v>
      </c>
      <c r="H2637" t="s">
        <v>3</v>
      </c>
      <c r="I2637" t="s">
        <v>26</v>
      </c>
      <c r="J2637" t="s">
        <v>27</v>
      </c>
      <c r="K2637" t="s">
        <v>22</v>
      </c>
      <c r="L2637">
        <v>5</v>
      </c>
      <c r="M2637" s="12">
        <v>27499</v>
      </c>
      <c r="N2637" s="12">
        <v>23374.149999999998</v>
      </c>
      <c r="O2637">
        <v>5</v>
      </c>
      <c r="P2637" s="12">
        <v>130620.25</v>
      </c>
      <c r="Q2637" s="12">
        <v>116870.74999999999</v>
      </c>
      <c r="R2637" s="12">
        <v>13749.500000000015</v>
      </c>
      <c r="S2637" t="s">
        <v>113</v>
      </c>
      <c r="T2637" t="s">
        <v>108</v>
      </c>
      <c r="U2637" t="s">
        <v>1207</v>
      </c>
    </row>
    <row r="2638" spans="1:21" x14ac:dyDescent="0.25">
      <c r="A2638" t="s">
        <v>4701</v>
      </c>
      <c r="B2638" s="8">
        <v>45986</v>
      </c>
      <c r="C2638" t="s">
        <v>1807</v>
      </c>
      <c r="D2638" t="s">
        <v>666</v>
      </c>
      <c r="E2638" t="s">
        <v>198</v>
      </c>
      <c r="F2638">
        <v>63</v>
      </c>
      <c r="G2638" t="s">
        <v>289</v>
      </c>
      <c r="H2638" t="s">
        <v>3</v>
      </c>
      <c r="I2638" t="s">
        <v>40</v>
      </c>
      <c r="J2638" t="s">
        <v>39</v>
      </c>
      <c r="K2638" t="s">
        <v>22</v>
      </c>
      <c r="L2638">
        <v>2</v>
      </c>
      <c r="M2638" s="12">
        <v>1100</v>
      </c>
      <c r="N2638" s="12">
        <v>715</v>
      </c>
      <c r="O2638">
        <v>11</v>
      </c>
      <c r="P2638" s="12">
        <v>1958</v>
      </c>
      <c r="Q2638" s="12">
        <v>1430</v>
      </c>
      <c r="R2638" s="12">
        <v>528</v>
      </c>
      <c r="S2638" t="s">
        <v>1246</v>
      </c>
      <c r="T2638" t="s">
        <v>107</v>
      </c>
      <c r="U2638" t="s">
        <v>1205</v>
      </c>
    </row>
    <row r="2639" spans="1:21" x14ac:dyDescent="0.25">
      <c r="A2639" t="s">
        <v>4703</v>
      </c>
      <c r="B2639" s="8">
        <v>45664</v>
      </c>
      <c r="C2639" t="s">
        <v>3050</v>
      </c>
      <c r="D2639" t="s">
        <v>763</v>
      </c>
      <c r="E2639" t="s">
        <v>198</v>
      </c>
      <c r="F2639">
        <v>29</v>
      </c>
      <c r="G2639" t="s">
        <v>11</v>
      </c>
      <c r="H2639" t="s">
        <v>12</v>
      </c>
      <c r="I2639" t="s">
        <v>63</v>
      </c>
      <c r="J2639" t="s">
        <v>77</v>
      </c>
      <c r="K2639" t="s">
        <v>64</v>
      </c>
      <c r="L2639">
        <v>1</v>
      </c>
      <c r="M2639" s="12">
        <v>650</v>
      </c>
      <c r="N2639" s="12">
        <v>468</v>
      </c>
      <c r="O2639">
        <v>8</v>
      </c>
      <c r="P2639" s="12">
        <v>598</v>
      </c>
      <c r="Q2639" s="12">
        <v>468</v>
      </c>
      <c r="R2639" s="12">
        <v>130</v>
      </c>
      <c r="S2639" t="s">
        <v>113</v>
      </c>
      <c r="T2639" t="s">
        <v>108</v>
      </c>
      <c r="U2639" t="s">
        <v>1199</v>
      </c>
    </row>
    <row r="2640" spans="1:21" x14ac:dyDescent="0.25">
      <c r="A2640" t="s">
        <v>4704</v>
      </c>
      <c r="B2640" s="8">
        <v>45995</v>
      </c>
      <c r="C2640" t="s">
        <v>3781</v>
      </c>
      <c r="D2640" t="s">
        <v>877</v>
      </c>
      <c r="E2640" t="s">
        <v>218</v>
      </c>
      <c r="F2640">
        <v>21</v>
      </c>
      <c r="G2640" t="s">
        <v>7</v>
      </c>
      <c r="H2640" t="s">
        <v>8</v>
      </c>
      <c r="I2640" t="s">
        <v>53</v>
      </c>
      <c r="J2640" t="s">
        <v>48</v>
      </c>
      <c r="K2640" t="s">
        <v>43</v>
      </c>
      <c r="L2640">
        <v>1</v>
      </c>
      <c r="M2640" s="12">
        <v>6499</v>
      </c>
      <c r="N2640" s="12">
        <v>4549.2999999999993</v>
      </c>
      <c r="O2640">
        <v>16</v>
      </c>
      <c r="P2640" s="12">
        <v>5459.16</v>
      </c>
      <c r="Q2640" s="12">
        <v>4549.2999999999993</v>
      </c>
      <c r="R2640" s="12">
        <v>909.86000000000058</v>
      </c>
      <c r="S2640" t="s">
        <v>1246</v>
      </c>
      <c r="T2640" t="s">
        <v>107</v>
      </c>
      <c r="U2640" t="s">
        <v>1201</v>
      </c>
    </row>
    <row r="2641" spans="1:21" x14ac:dyDescent="0.25">
      <c r="A2641" t="s">
        <v>4705</v>
      </c>
      <c r="B2641" s="8">
        <v>45706</v>
      </c>
      <c r="C2641" t="s">
        <v>1394</v>
      </c>
      <c r="D2641" t="s">
        <v>1010</v>
      </c>
      <c r="E2641" t="s">
        <v>218</v>
      </c>
      <c r="F2641">
        <v>26</v>
      </c>
      <c r="G2641" t="s">
        <v>17</v>
      </c>
      <c r="H2641" t="s">
        <v>15</v>
      </c>
      <c r="I2641" t="s">
        <v>36</v>
      </c>
      <c r="J2641" t="s">
        <v>136</v>
      </c>
      <c r="K2641" t="s">
        <v>22</v>
      </c>
      <c r="L2641">
        <v>2</v>
      </c>
      <c r="M2641" s="12">
        <v>3590</v>
      </c>
      <c r="N2641" s="12">
        <v>2333.5</v>
      </c>
      <c r="O2641">
        <v>6</v>
      </c>
      <c r="P2641" s="12">
        <v>6749.2</v>
      </c>
      <c r="Q2641" s="12">
        <v>4667</v>
      </c>
      <c r="R2641" s="12">
        <v>2082.1999999999998</v>
      </c>
      <c r="S2641" t="s">
        <v>1246</v>
      </c>
      <c r="T2641" t="s">
        <v>110</v>
      </c>
      <c r="U2641" t="s">
        <v>1203</v>
      </c>
    </row>
    <row r="2642" spans="1:21" x14ac:dyDescent="0.25">
      <c r="A2642" t="s">
        <v>4706</v>
      </c>
      <c r="B2642" s="8">
        <v>45751</v>
      </c>
      <c r="C2642" t="s">
        <v>2090</v>
      </c>
      <c r="D2642" t="s">
        <v>689</v>
      </c>
      <c r="E2642" t="s">
        <v>218</v>
      </c>
      <c r="F2642">
        <v>51</v>
      </c>
      <c r="G2642" t="s">
        <v>2</v>
      </c>
      <c r="H2642" t="s">
        <v>3</v>
      </c>
      <c r="I2642" t="s">
        <v>55</v>
      </c>
      <c r="J2642" t="s">
        <v>65</v>
      </c>
      <c r="K2642" t="s">
        <v>64</v>
      </c>
      <c r="L2642">
        <v>4</v>
      </c>
      <c r="M2642" s="12">
        <v>80</v>
      </c>
      <c r="N2642" s="12">
        <v>56</v>
      </c>
      <c r="O2642">
        <v>1</v>
      </c>
      <c r="P2642" s="12">
        <v>316.8</v>
      </c>
      <c r="Q2642" s="12">
        <v>224</v>
      </c>
      <c r="R2642" s="12">
        <v>92.800000000000011</v>
      </c>
      <c r="S2642" t="s">
        <v>1246</v>
      </c>
      <c r="T2642" t="s">
        <v>109</v>
      </c>
      <c r="U2642" t="s">
        <v>1198</v>
      </c>
    </row>
    <row r="2643" spans="1:21" x14ac:dyDescent="0.25">
      <c r="A2643" t="s">
        <v>4707</v>
      </c>
      <c r="B2643" s="8">
        <v>45793</v>
      </c>
      <c r="C2643" t="s">
        <v>2015</v>
      </c>
      <c r="D2643" t="s">
        <v>1040</v>
      </c>
      <c r="E2643" t="s">
        <v>218</v>
      </c>
      <c r="F2643">
        <v>39</v>
      </c>
      <c r="G2643" t="s">
        <v>10</v>
      </c>
      <c r="H2643" t="s">
        <v>8</v>
      </c>
      <c r="I2643" t="s">
        <v>45</v>
      </c>
      <c r="J2643" t="s">
        <v>46</v>
      </c>
      <c r="K2643" t="s">
        <v>43</v>
      </c>
      <c r="L2643">
        <v>5</v>
      </c>
      <c r="M2643" s="12">
        <v>11999</v>
      </c>
      <c r="N2643" s="12">
        <v>8999.25</v>
      </c>
      <c r="O2643">
        <v>2</v>
      </c>
      <c r="P2643" s="12">
        <v>58795.1</v>
      </c>
      <c r="Q2643" s="12">
        <v>44996.25</v>
      </c>
      <c r="R2643" s="12">
        <v>13798.849999999999</v>
      </c>
      <c r="S2643" t="s">
        <v>113</v>
      </c>
      <c r="T2643" t="s">
        <v>107</v>
      </c>
      <c r="U2643" t="s">
        <v>1211</v>
      </c>
    </row>
    <row r="2644" spans="1:21" x14ac:dyDescent="0.25">
      <c r="A2644" t="s">
        <v>4708</v>
      </c>
      <c r="B2644" s="8">
        <v>45989</v>
      </c>
      <c r="C2644" t="s">
        <v>1349</v>
      </c>
      <c r="D2644" t="s">
        <v>1110</v>
      </c>
      <c r="E2644" t="s">
        <v>218</v>
      </c>
      <c r="F2644">
        <v>25</v>
      </c>
      <c r="G2644" t="s">
        <v>5</v>
      </c>
      <c r="H2644" t="s">
        <v>3</v>
      </c>
      <c r="I2644" t="s">
        <v>57</v>
      </c>
      <c r="J2644" t="s">
        <v>67</v>
      </c>
      <c r="K2644" t="s">
        <v>64</v>
      </c>
      <c r="L2644">
        <v>2</v>
      </c>
      <c r="M2644" s="12">
        <v>150</v>
      </c>
      <c r="N2644" s="12">
        <v>97.5</v>
      </c>
      <c r="O2644">
        <v>6</v>
      </c>
      <c r="P2644" s="12">
        <v>282</v>
      </c>
      <c r="Q2644" s="12">
        <v>195</v>
      </c>
      <c r="R2644" s="12">
        <v>87</v>
      </c>
      <c r="S2644" t="s">
        <v>113</v>
      </c>
      <c r="T2644" t="s">
        <v>108</v>
      </c>
      <c r="U2644" t="s">
        <v>1207</v>
      </c>
    </row>
    <row r="2645" spans="1:21" x14ac:dyDescent="0.25">
      <c r="A2645" t="s">
        <v>4709</v>
      </c>
      <c r="B2645" s="8">
        <v>45708</v>
      </c>
      <c r="C2645" t="s">
        <v>1281</v>
      </c>
      <c r="D2645" t="s">
        <v>771</v>
      </c>
      <c r="E2645" t="s">
        <v>218</v>
      </c>
      <c r="F2645">
        <v>62</v>
      </c>
      <c r="G2645" t="s">
        <v>16</v>
      </c>
      <c r="H2645" t="s">
        <v>15</v>
      </c>
      <c r="I2645" t="s">
        <v>32</v>
      </c>
      <c r="J2645" t="s">
        <v>29</v>
      </c>
      <c r="K2645" t="s">
        <v>22</v>
      </c>
      <c r="L2645">
        <v>4</v>
      </c>
      <c r="M2645" s="12">
        <v>9500</v>
      </c>
      <c r="N2645" s="12">
        <v>6650</v>
      </c>
      <c r="O2645">
        <v>3</v>
      </c>
      <c r="P2645" s="12">
        <v>36860</v>
      </c>
      <c r="Q2645" s="12">
        <v>26600</v>
      </c>
      <c r="R2645" s="12">
        <v>10260</v>
      </c>
      <c r="S2645" t="s">
        <v>1246</v>
      </c>
      <c r="T2645" t="s">
        <v>107</v>
      </c>
      <c r="U2645" t="s">
        <v>1198</v>
      </c>
    </row>
    <row r="2646" spans="1:21" x14ac:dyDescent="0.25">
      <c r="A2646" t="s">
        <v>4710</v>
      </c>
      <c r="B2646" s="8">
        <v>45669</v>
      </c>
      <c r="C2646" t="s">
        <v>3547</v>
      </c>
      <c r="D2646" t="s">
        <v>1071</v>
      </c>
      <c r="E2646" t="s">
        <v>198</v>
      </c>
      <c r="F2646">
        <v>32</v>
      </c>
      <c r="G2646" t="s">
        <v>14</v>
      </c>
      <c r="H2646" t="s">
        <v>15</v>
      </c>
      <c r="I2646" t="s">
        <v>34</v>
      </c>
      <c r="J2646" t="s">
        <v>137</v>
      </c>
      <c r="K2646" t="s">
        <v>22</v>
      </c>
      <c r="L2646">
        <v>5</v>
      </c>
      <c r="M2646" s="12">
        <v>6900</v>
      </c>
      <c r="N2646" s="12">
        <v>5727</v>
      </c>
      <c r="O2646">
        <v>10</v>
      </c>
      <c r="P2646" s="12">
        <v>31050</v>
      </c>
      <c r="Q2646" s="12">
        <v>28635</v>
      </c>
      <c r="R2646" s="12">
        <v>2415</v>
      </c>
      <c r="S2646" t="s">
        <v>1246</v>
      </c>
      <c r="T2646" t="s">
        <v>107</v>
      </c>
      <c r="U2646" t="s">
        <v>1201</v>
      </c>
    </row>
    <row r="2647" spans="1:21" x14ac:dyDescent="0.25">
      <c r="A2647" t="s">
        <v>4711</v>
      </c>
      <c r="B2647" s="8">
        <v>45788</v>
      </c>
      <c r="C2647" t="s">
        <v>3690</v>
      </c>
      <c r="D2647" t="s">
        <v>512</v>
      </c>
      <c r="E2647" t="s">
        <v>198</v>
      </c>
      <c r="F2647">
        <v>48</v>
      </c>
      <c r="G2647" t="s">
        <v>16</v>
      </c>
      <c r="H2647" t="s">
        <v>15</v>
      </c>
      <c r="I2647" t="s">
        <v>61</v>
      </c>
      <c r="J2647" t="s">
        <v>146</v>
      </c>
      <c r="K2647" t="s">
        <v>64</v>
      </c>
      <c r="L2647">
        <v>4</v>
      </c>
      <c r="M2647" s="12">
        <v>250</v>
      </c>
      <c r="N2647" s="12">
        <v>155</v>
      </c>
      <c r="O2647">
        <v>11</v>
      </c>
      <c r="P2647" s="12">
        <v>890</v>
      </c>
      <c r="Q2647" s="12">
        <v>620</v>
      </c>
      <c r="R2647" s="12">
        <v>270</v>
      </c>
      <c r="S2647" t="s">
        <v>113</v>
      </c>
      <c r="T2647" t="s">
        <v>107</v>
      </c>
      <c r="U2647" t="s">
        <v>1209</v>
      </c>
    </row>
    <row r="2648" spans="1:21" x14ac:dyDescent="0.25">
      <c r="A2648" t="s">
        <v>4712</v>
      </c>
      <c r="B2648" s="8">
        <v>45745</v>
      </c>
      <c r="C2648" t="s">
        <v>2905</v>
      </c>
      <c r="D2648" t="s">
        <v>471</v>
      </c>
      <c r="E2648" t="s">
        <v>198</v>
      </c>
      <c r="F2648">
        <v>39</v>
      </c>
      <c r="G2648" t="s">
        <v>5</v>
      </c>
      <c r="H2648" t="s">
        <v>3</v>
      </c>
      <c r="I2648" t="s">
        <v>24</v>
      </c>
      <c r="J2648" t="s">
        <v>25</v>
      </c>
      <c r="K2648" t="s">
        <v>22</v>
      </c>
      <c r="L2648">
        <v>2</v>
      </c>
      <c r="M2648" s="12">
        <v>35800</v>
      </c>
      <c r="N2648" s="12">
        <v>28640</v>
      </c>
      <c r="O2648">
        <v>7</v>
      </c>
      <c r="P2648" s="12">
        <v>66588</v>
      </c>
      <c r="Q2648" s="12">
        <v>57280</v>
      </c>
      <c r="R2648" s="12">
        <v>9308</v>
      </c>
      <c r="S2648" t="s">
        <v>1246</v>
      </c>
      <c r="T2648" t="s">
        <v>107</v>
      </c>
      <c r="U2648" t="s">
        <v>1205</v>
      </c>
    </row>
    <row r="2649" spans="1:21" x14ac:dyDescent="0.25">
      <c r="A2649" t="s">
        <v>4713</v>
      </c>
      <c r="B2649" s="8">
        <v>45919</v>
      </c>
      <c r="C2649" t="s">
        <v>1409</v>
      </c>
      <c r="D2649" t="s">
        <v>992</v>
      </c>
      <c r="E2649" t="s">
        <v>198</v>
      </c>
      <c r="F2649">
        <v>61</v>
      </c>
      <c r="G2649" t="s">
        <v>9</v>
      </c>
      <c r="H2649" t="s">
        <v>8</v>
      </c>
      <c r="I2649" t="s">
        <v>59</v>
      </c>
      <c r="J2649" t="s">
        <v>73</v>
      </c>
      <c r="K2649" t="s">
        <v>64</v>
      </c>
      <c r="L2649">
        <v>3</v>
      </c>
      <c r="M2649" s="12">
        <v>120</v>
      </c>
      <c r="N2649" s="12">
        <v>81.599999999999994</v>
      </c>
      <c r="O2649">
        <v>1</v>
      </c>
      <c r="P2649" s="12">
        <v>356.4</v>
      </c>
      <c r="Q2649" s="12">
        <v>244.79999999999998</v>
      </c>
      <c r="R2649" s="12">
        <v>111.6</v>
      </c>
      <c r="S2649" t="s">
        <v>1246</v>
      </c>
      <c r="T2649" t="s">
        <v>109</v>
      </c>
      <c r="U2649" t="s">
        <v>1196</v>
      </c>
    </row>
    <row r="2650" spans="1:21" x14ac:dyDescent="0.25">
      <c r="A2650" t="s">
        <v>4714</v>
      </c>
      <c r="B2650" s="8">
        <v>45673</v>
      </c>
      <c r="C2650" t="s">
        <v>2579</v>
      </c>
      <c r="D2650" t="s">
        <v>418</v>
      </c>
      <c r="E2650" t="s">
        <v>218</v>
      </c>
      <c r="F2650">
        <v>33</v>
      </c>
      <c r="G2650" t="s">
        <v>9</v>
      </c>
      <c r="H2650" t="s">
        <v>8</v>
      </c>
      <c r="I2650" t="s">
        <v>38</v>
      </c>
      <c r="J2650" t="s">
        <v>37</v>
      </c>
      <c r="K2650" t="s">
        <v>22</v>
      </c>
      <c r="L2650">
        <v>3</v>
      </c>
      <c r="M2650" s="12">
        <v>1650</v>
      </c>
      <c r="N2650" s="12">
        <v>990</v>
      </c>
      <c r="O2650">
        <v>7</v>
      </c>
      <c r="P2650" s="12">
        <v>4603.5</v>
      </c>
      <c r="Q2650" s="12">
        <v>2970</v>
      </c>
      <c r="R2650" s="12">
        <v>1633.5</v>
      </c>
      <c r="S2650" t="s">
        <v>1246</v>
      </c>
      <c r="T2650" t="s">
        <v>109</v>
      </c>
      <c r="U2650" t="s">
        <v>1209</v>
      </c>
    </row>
    <row r="2651" spans="1:21" x14ac:dyDescent="0.25">
      <c r="A2651" t="s">
        <v>4715</v>
      </c>
      <c r="B2651" s="8">
        <v>45798</v>
      </c>
      <c r="C2651" t="s">
        <v>4380</v>
      </c>
      <c r="D2651" t="s">
        <v>870</v>
      </c>
      <c r="E2651" t="s">
        <v>218</v>
      </c>
      <c r="F2651">
        <v>24</v>
      </c>
      <c r="G2651" t="s">
        <v>10</v>
      </c>
      <c r="H2651" t="s">
        <v>8</v>
      </c>
      <c r="I2651" t="s">
        <v>24</v>
      </c>
      <c r="J2651" t="s">
        <v>25</v>
      </c>
      <c r="K2651" t="s">
        <v>22</v>
      </c>
      <c r="L2651">
        <v>4</v>
      </c>
      <c r="M2651" s="12">
        <v>35800</v>
      </c>
      <c r="N2651" s="12">
        <v>28640</v>
      </c>
      <c r="O2651">
        <v>10</v>
      </c>
      <c r="P2651" s="12">
        <v>128880</v>
      </c>
      <c r="Q2651" s="12">
        <v>114560</v>
      </c>
      <c r="R2651" s="12">
        <v>14320</v>
      </c>
      <c r="S2651" t="s">
        <v>1246</v>
      </c>
      <c r="T2651" t="s">
        <v>111</v>
      </c>
      <c r="U2651" t="s">
        <v>1211</v>
      </c>
    </row>
    <row r="2652" spans="1:21" x14ac:dyDescent="0.25">
      <c r="A2652" t="s">
        <v>4716</v>
      </c>
      <c r="B2652" s="8">
        <v>45923</v>
      </c>
      <c r="C2652" t="s">
        <v>1536</v>
      </c>
      <c r="D2652" t="s">
        <v>931</v>
      </c>
      <c r="E2652" t="s">
        <v>218</v>
      </c>
      <c r="F2652">
        <v>53</v>
      </c>
      <c r="G2652" t="s">
        <v>10</v>
      </c>
      <c r="H2652" t="s">
        <v>8</v>
      </c>
      <c r="I2652" t="s">
        <v>28</v>
      </c>
      <c r="J2652" t="s">
        <v>35</v>
      </c>
      <c r="K2652" t="s">
        <v>22</v>
      </c>
      <c r="L2652">
        <v>4</v>
      </c>
      <c r="M2652" s="12">
        <v>16499</v>
      </c>
      <c r="N2652" s="12">
        <v>14519.12</v>
      </c>
      <c r="O2652">
        <v>6</v>
      </c>
      <c r="P2652" s="12">
        <v>62036.24</v>
      </c>
      <c r="Q2652" s="12">
        <v>58076.480000000003</v>
      </c>
      <c r="R2652" s="12">
        <v>3959.7599999999948</v>
      </c>
      <c r="S2652" t="s">
        <v>1246</v>
      </c>
      <c r="T2652" t="s">
        <v>111</v>
      </c>
      <c r="U2652" t="s">
        <v>1198</v>
      </c>
    </row>
    <row r="2653" spans="1:21" x14ac:dyDescent="0.25">
      <c r="A2653" t="s">
        <v>4717</v>
      </c>
      <c r="B2653" s="8">
        <v>45975</v>
      </c>
      <c r="C2653" t="s">
        <v>5109</v>
      </c>
      <c r="D2653" t="s">
        <v>1142</v>
      </c>
      <c r="E2653" t="s">
        <v>198</v>
      </c>
      <c r="F2653">
        <v>39</v>
      </c>
      <c r="G2653" t="s">
        <v>9</v>
      </c>
      <c r="H2653" t="s">
        <v>8</v>
      </c>
      <c r="I2653" t="s">
        <v>45</v>
      </c>
      <c r="J2653" t="s">
        <v>46</v>
      </c>
      <c r="K2653" t="s">
        <v>43</v>
      </c>
      <c r="L2653">
        <v>2</v>
      </c>
      <c r="M2653" s="12">
        <v>11999</v>
      </c>
      <c r="N2653" s="12">
        <v>8999.25</v>
      </c>
      <c r="O2653">
        <v>12</v>
      </c>
      <c r="P2653" s="12">
        <v>21118.240000000002</v>
      </c>
      <c r="Q2653" s="12">
        <v>17998.5</v>
      </c>
      <c r="R2653" s="12">
        <v>3119.7400000000016</v>
      </c>
      <c r="S2653" t="s">
        <v>113</v>
      </c>
      <c r="T2653" t="s">
        <v>110</v>
      </c>
      <c r="U2653" t="s">
        <v>1198</v>
      </c>
    </row>
    <row r="2654" spans="1:21" x14ac:dyDescent="0.25">
      <c r="A2654" t="s">
        <v>4718</v>
      </c>
      <c r="B2654" s="8">
        <v>46000</v>
      </c>
      <c r="C2654" t="s">
        <v>1368</v>
      </c>
      <c r="D2654" t="s">
        <v>602</v>
      </c>
      <c r="E2654" t="s">
        <v>198</v>
      </c>
      <c r="F2654">
        <v>51</v>
      </c>
      <c r="G2654" t="s">
        <v>14</v>
      </c>
      <c r="H2654" t="s">
        <v>15</v>
      </c>
      <c r="I2654" t="s">
        <v>28</v>
      </c>
      <c r="J2654" t="s">
        <v>35</v>
      </c>
      <c r="K2654" t="s">
        <v>22</v>
      </c>
      <c r="L2654">
        <v>5</v>
      </c>
      <c r="M2654" s="12">
        <v>16499</v>
      </c>
      <c r="N2654" s="12">
        <v>14519.12</v>
      </c>
      <c r="O2654">
        <v>16</v>
      </c>
      <c r="P2654" s="12">
        <v>69295.8</v>
      </c>
      <c r="Q2654" s="12">
        <v>72595.600000000006</v>
      </c>
      <c r="R2654" s="12">
        <v>-3299.8000000000029</v>
      </c>
      <c r="S2654" t="s">
        <v>1249</v>
      </c>
      <c r="T2654" t="s">
        <v>107</v>
      </c>
      <c r="U2654" t="s">
        <v>1211</v>
      </c>
    </row>
    <row r="2655" spans="1:21" x14ac:dyDescent="0.25">
      <c r="A2655" t="s">
        <v>4719</v>
      </c>
      <c r="B2655" s="8">
        <v>45693</v>
      </c>
      <c r="C2655" t="s">
        <v>3274</v>
      </c>
      <c r="D2655" t="s">
        <v>1030</v>
      </c>
      <c r="E2655" t="s">
        <v>198</v>
      </c>
      <c r="F2655">
        <v>31</v>
      </c>
      <c r="G2655" t="s">
        <v>5</v>
      </c>
      <c r="H2655" t="s">
        <v>3</v>
      </c>
      <c r="I2655" t="s">
        <v>57</v>
      </c>
      <c r="J2655" t="s">
        <v>67</v>
      </c>
      <c r="K2655" t="s">
        <v>64</v>
      </c>
      <c r="L2655">
        <v>3</v>
      </c>
      <c r="M2655" s="12">
        <v>150</v>
      </c>
      <c r="N2655" s="12">
        <v>97.5</v>
      </c>
      <c r="O2655">
        <v>5</v>
      </c>
      <c r="P2655" s="12">
        <v>427.5</v>
      </c>
      <c r="Q2655" s="12">
        <v>292.5</v>
      </c>
      <c r="R2655" s="12">
        <v>135</v>
      </c>
      <c r="S2655" t="s">
        <v>1246</v>
      </c>
      <c r="T2655" t="s">
        <v>107</v>
      </c>
      <c r="U2655" t="s">
        <v>1198</v>
      </c>
    </row>
    <row r="2656" spans="1:21" x14ac:dyDescent="0.25">
      <c r="A2656" t="s">
        <v>4720</v>
      </c>
      <c r="B2656" s="8">
        <v>45768</v>
      </c>
      <c r="C2656" t="s">
        <v>3041</v>
      </c>
      <c r="D2656" t="s">
        <v>843</v>
      </c>
      <c r="E2656" t="s">
        <v>218</v>
      </c>
      <c r="F2656">
        <v>19</v>
      </c>
      <c r="G2656" t="s">
        <v>7</v>
      </c>
      <c r="H2656" t="s">
        <v>8</v>
      </c>
      <c r="I2656" t="s">
        <v>55</v>
      </c>
      <c r="J2656" t="s">
        <v>65</v>
      </c>
      <c r="K2656" t="s">
        <v>64</v>
      </c>
      <c r="L2656">
        <v>5</v>
      </c>
      <c r="M2656" s="12">
        <v>80</v>
      </c>
      <c r="N2656" s="12">
        <v>56</v>
      </c>
      <c r="O2656">
        <v>1</v>
      </c>
      <c r="P2656" s="12">
        <v>396</v>
      </c>
      <c r="Q2656" s="12">
        <v>280</v>
      </c>
      <c r="R2656" s="12">
        <v>116</v>
      </c>
      <c r="S2656" t="s">
        <v>1246</v>
      </c>
      <c r="T2656" t="s">
        <v>109</v>
      </c>
      <c r="U2656" t="s">
        <v>1199</v>
      </c>
    </row>
    <row r="2657" spans="1:21" x14ac:dyDescent="0.25">
      <c r="A2657" t="s">
        <v>4721</v>
      </c>
      <c r="B2657" s="8">
        <v>45861</v>
      </c>
      <c r="C2657" t="s">
        <v>1584</v>
      </c>
      <c r="D2657" t="s">
        <v>821</v>
      </c>
      <c r="E2657" t="s">
        <v>198</v>
      </c>
      <c r="F2657">
        <v>50</v>
      </c>
      <c r="G2657" t="s">
        <v>2</v>
      </c>
      <c r="H2657" t="s">
        <v>3</v>
      </c>
      <c r="I2657" t="s">
        <v>40</v>
      </c>
      <c r="J2657" t="s">
        <v>39</v>
      </c>
      <c r="K2657" t="s">
        <v>22</v>
      </c>
      <c r="L2657">
        <v>5</v>
      </c>
      <c r="M2657" s="12">
        <v>1100</v>
      </c>
      <c r="N2657" s="12">
        <v>715</v>
      </c>
      <c r="O2657">
        <v>3</v>
      </c>
      <c r="P2657" s="12">
        <v>5335</v>
      </c>
      <c r="Q2657" s="12">
        <v>3575</v>
      </c>
      <c r="R2657" s="12">
        <v>1760</v>
      </c>
      <c r="S2657" t="s">
        <v>1246</v>
      </c>
      <c r="T2657" t="s">
        <v>108</v>
      </c>
      <c r="U2657" t="s">
        <v>1207</v>
      </c>
    </row>
    <row r="2658" spans="1:21" x14ac:dyDescent="0.25">
      <c r="A2658" t="s">
        <v>4722</v>
      </c>
      <c r="B2658" s="8">
        <v>45811</v>
      </c>
      <c r="C2658" t="s">
        <v>1308</v>
      </c>
      <c r="D2658" t="s">
        <v>1067</v>
      </c>
      <c r="E2658" t="s">
        <v>218</v>
      </c>
      <c r="F2658">
        <v>24</v>
      </c>
      <c r="G2658" t="s">
        <v>4</v>
      </c>
      <c r="H2658" t="s">
        <v>3</v>
      </c>
      <c r="I2658" t="s">
        <v>59</v>
      </c>
      <c r="J2658" t="s">
        <v>73</v>
      </c>
      <c r="K2658" t="s">
        <v>64</v>
      </c>
      <c r="L2658">
        <v>1</v>
      </c>
      <c r="M2658" s="12">
        <v>120</v>
      </c>
      <c r="N2658" s="12">
        <v>81.599999999999994</v>
      </c>
      <c r="O2658">
        <v>15</v>
      </c>
      <c r="P2658" s="12">
        <v>102</v>
      </c>
      <c r="Q2658" s="12">
        <v>81.599999999999994</v>
      </c>
      <c r="R2658" s="12">
        <v>20.400000000000006</v>
      </c>
      <c r="S2658" t="s">
        <v>113</v>
      </c>
      <c r="T2658" t="s">
        <v>107</v>
      </c>
      <c r="U2658" t="s">
        <v>1198</v>
      </c>
    </row>
    <row r="2659" spans="1:21" x14ac:dyDescent="0.25">
      <c r="A2659" t="s">
        <v>4723</v>
      </c>
      <c r="B2659" s="8">
        <v>45925</v>
      </c>
      <c r="C2659" t="s">
        <v>1378</v>
      </c>
      <c r="D2659" t="s">
        <v>993</v>
      </c>
      <c r="E2659" t="s">
        <v>218</v>
      </c>
      <c r="F2659">
        <v>23</v>
      </c>
      <c r="G2659" t="s">
        <v>4</v>
      </c>
      <c r="H2659" t="s">
        <v>3</v>
      </c>
      <c r="I2659" t="s">
        <v>36</v>
      </c>
      <c r="J2659" t="s">
        <v>136</v>
      </c>
      <c r="K2659" t="s">
        <v>22</v>
      </c>
      <c r="L2659">
        <v>5</v>
      </c>
      <c r="M2659" s="12">
        <v>3590</v>
      </c>
      <c r="N2659" s="12">
        <v>2333.5</v>
      </c>
      <c r="O2659">
        <v>3</v>
      </c>
      <c r="P2659" s="12">
        <v>17411.5</v>
      </c>
      <c r="Q2659" s="12">
        <v>11667.5</v>
      </c>
      <c r="R2659" s="12">
        <v>5744</v>
      </c>
      <c r="S2659" t="s">
        <v>1246</v>
      </c>
      <c r="T2659" t="s">
        <v>108</v>
      </c>
      <c r="U2659" t="s">
        <v>1207</v>
      </c>
    </row>
    <row r="2660" spans="1:21" x14ac:dyDescent="0.25">
      <c r="A2660" t="s">
        <v>4724</v>
      </c>
      <c r="B2660" s="8">
        <v>45948</v>
      </c>
      <c r="C2660" t="s">
        <v>2799</v>
      </c>
      <c r="D2660" t="s">
        <v>1101</v>
      </c>
      <c r="E2660" t="s">
        <v>198</v>
      </c>
      <c r="F2660">
        <v>37</v>
      </c>
      <c r="G2660" t="s">
        <v>17</v>
      </c>
      <c r="H2660" t="s">
        <v>15</v>
      </c>
      <c r="I2660" t="s">
        <v>57</v>
      </c>
      <c r="J2660" t="s">
        <v>67</v>
      </c>
      <c r="K2660" t="s">
        <v>64</v>
      </c>
      <c r="L2660">
        <v>2</v>
      </c>
      <c r="M2660" s="12">
        <v>150</v>
      </c>
      <c r="N2660" s="12">
        <v>97.5</v>
      </c>
      <c r="O2660">
        <v>4</v>
      </c>
      <c r="P2660" s="12">
        <v>288</v>
      </c>
      <c r="Q2660" s="12">
        <v>195</v>
      </c>
      <c r="R2660" s="12">
        <v>93</v>
      </c>
      <c r="S2660" t="s">
        <v>1246</v>
      </c>
      <c r="T2660" t="s">
        <v>110</v>
      </c>
      <c r="U2660" t="s">
        <v>1198</v>
      </c>
    </row>
    <row r="2661" spans="1:21" x14ac:dyDescent="0.25">
      <c r="A2661" t="s">
        <v>4725</v>
      </c>
      <c r="B2661" s="8">
        <v>45898</v>
      </c>
      <c r="C2661" t="s">
        <v>4614</v>
      </c>
      <c r="D2661" t="s">
        <v>1073</v>
      </c>
      <c r="E2661" t="s">
        <v>198</v>
      </c>
      <c r="F2661">
        <v>37</v>
      </c>
      <c r="G2661" t="s">
        <v>10</v>
      </c>
      <c r="H2661" t="s">
        <v>8</v>
      </c>
      <c r="I2661" t="s">
        <v>61</v>
      </c>
      <c r="J2661" t="s">
        <v>146</v>
      </c>
      <c r="K2661" t="s">
        <v>64</v>
      </c>
      <c r="L2661">
        <v>4</v>
      </c>
      <c r="M2661" s="12">
        <v>250</v>
      </c>
      <c r="N2661" s="12">
        <v>155</v>
      </c>
      <c r="O2661">
        <v>5</v>
      </c>
      <c r="P2661" s="12">
        <v>950</v>
      </c>
      <c r="Q2661" s="12">
        <v>620</v>
      </c>
      <c r="R2661" s="12">
        <v>330</v>
      </c>
      <c r="S2661" t="s">
        <v>113</v>
      </c>
      <c r="T2661" t="s">
        <v>108</v>
      </c>
      <c r="U2661" t="s">
        <v>1207</v>
      </c>
    </row>
    <row r="2662" spans="1:21" x14ac:dyDescent="0.25">
      <c r="A2662" t="s">
        <v>4726</v>
      </c>
      <c r="B2662" s="8">
        <v>45856</v>
      </c>
      <c r="C2662" t="s">
        <v>3502</v>
      </c>
      <c r="D2662" t="s">
        <v>1045</v>
      </c>
      <c r="E2662" t="s">
        <v>198</v>
      </c>
      <c r="F2662">
        <v>23</v>
      </c>
      <c r="G2662" t="s">
        <v>10</v>
      </c>
      <c r="H2662" t="s">
        <v>8</v>
      </c>
      <c r="I2662" t="s">
        <v>57</v>
      </c>
      <c r="J2662" t="s">
        <v>67</v>
      </c>
      <c r="K2662" t="s">
        <v>64</v>
      </c>
      <c r="L2662">
        <v>1</v>
      </c>
      <c r="M2662" s="12">
        <v>150</v>
      </c>
      <c r="N2662" s="12">
        <v>97.5</v>
      </c>
      <c r="O2662">
        <v>1</v>
      </c>
      <c r="P2662" s="12">
        <v>148.5</v>
      </c>
      <c r="Q2662" s="12">
        <v>97.5</v>
      </c>
      <c r="R2662" s="12">
        <v>51</v>
      </c>
      <c r="S2662" t="s">
        <v>1246</v>
      </c>
      <c r="T2662" t="s">
        <v>109</v>
      </c>
      <c r="U2662" t="s">
        <v>1203</v>
      </c>
    </row>
    <row r="2663" spans="1:21" x14ac:dyDescent="0.25">
      <c r="A2663" t="s">
        <v>4727</v>
      </c>
      <c r="B2663" s="8">
        <v>45917</v>
      </c>
      <c r="C2663" t="s">
        <v>3882</v>
      </c>
      <c r="D2663" t="s">
        <v>568</v>
      </c>
      <c r="E2663" t="s">
        <v>218</v>
      </c>
      <c r="F2663">
        <v>45</v>
      </c>
      <c r="G2663" t="s">
        <v>17</v>
      </c>
      <c r="H2663" t="s">
        <v>15</v>
      </c>
      <c r="I2663" t="s">
        <v>40</v>
      </c>
      <c r="J2663" t="s">
        <v>39</v>
      </c>
      <c r="K2663" t="s">
        <v>22</v>
      </c>
      <c r="L2663">
        <v>4</v>
      </c>
      <c r="M2663" s="12">
        <v>1100</v>
      </c>
      <c r="N2663" s="12">
        <v>715</v>
      </c>
      <c r="O2663">
        <v>6</v>
      </c>
      <c r="P2663" s="12">
        <v>4136</v>
      </c>
      <c r="Q2663" s="12">
        <v>2860</v>
      </c>
      <c r="R2663" s="12">
        <v>1276</v>
      </c>
      <c r="S2663" t="s">
        <v>113</v>
      </c>
      <c r="T2663" t="s">
        <v>109</v>
      </c>
      <c r="U2663" t="s">
        <v>1199</v>
      </c>
    </row>
    <row r="2664" spans="1:21" x14ac:dyDescent="0.25">
      <c r="A2664" t="s">
        <v>4728</v>
      </c>
      <c r="B2664" s="8">
        <v>45970</v>
      </c>
      <c r="C2664" t="s">
        <v>2180</v>
      </c>
      <c r="D2664" t="s">
        <v>1022</v>
      </c>
      <c r="E2664" t="s">
        <v>218</v>
      </c>
      <c r="F2664">
        <v>33</v>
      </c>
      <c r="G2664" t="s">
        <v>7</v>
      </c>
      <c r="H2664" t="s">
        <v>8</v>
      </c>
      <c r="I2664" t="s">
        <v>40</v>
      </c>
      <c r="J2664" t="s">
        <v>39</v>
      </c>
      <c r="K2664" t="s">
        <v>22</v>
      </c>
      <c r="L2664">
        <v>2</v>
      </c>
      <c r="M2664" s="12">
        <v>1100</v>
      </c>
      <c r="N2664" s="12">
        <v>715</v>
      </c>
      <c r="O2664">
        <v>10</v>
      </c>
      <c r="P2664" s="12">
        <v>1980</v>
      </c>
      <c r="Q2664" s="12">
        <v>1430</v>
      </c>
      <c r="R2664" s="12">
        <v>550</v>
      </c>
      <c r="S2664" t="s">
        <v>113</v>
      </c>
      <c r="T2664" t="s">
        <v>109</v>
      </c>
      <c r="U2664" t="s">
        <v>1209</v>
      </c>
    </row>
    <row r="2665" spans="1:21" x14ac:dyDescent="0.25">
      <c r="A2665" t="s">
        <v>4729</v>
      </c>
      <c r="B2665" s="8">
        <v>45884</v>
      </c>
      <c r="C2665" t="s">
        <v>2467</v>
      </c>
      <c r="D2665" t="s">
        <v>654</v>
      </c>
      <c r="E2665" t="s">
        <v>198</v>
      </c>
      <c r="F2665">
        <v>30</v>
      </c>
      <c r="G2665" t="s">
        <v>5</v>
      </c>
      <c r="H2665" t="s">
        <v>3</v>
      </c>
      <c r="I2665" t="s">
        <v>34</v>
      </c>
      <c r="J2665" t="s">
        <v>137</v>
      </c>
      <c r="K2665" t="s">
        <v>22</v>
      </c>
      <c r="L2665">
        <v>1</v>
      </c>
      <c r="M2665" s="12">
        <v>6900</v>
      </c>
      <c r="N2665" s="12">
        <v>5727</v>
      </c>
      <c r="O2665">
        <v>3</v>
      </c>
      <c r="P2665" s="12">
        <v>6693</v>
      </c>
      <c r="Q2665" s="12">
        <v>5727</v>
      </c>
      <c r="R2665" s="12">
        <v>966</v>
      </c>
      <c r="S2665" t="s">
        <v>1246</v>
      </c>
      <c r="T2665" t="s">
        <v>110</v>
      </c>
      <c r="U2665" t="s">
        <v>1198</v>
      </c>
    </row>
    <row r="2666" spans="1:21" x14ac:dyDescent="0.25">
      <c r="A2666" t="s">
        <v>4730</v>
      </c>
      <c r="B2666" s="8">
        <v>45699</v>
      </c>
      <c r="C2666" t="s">
        <v>1253</v>
      </c>
      <c r="D2666" t="s">
        <v>1055</v>
      </c>
      <c r="E2666" t="s">
        <v>218</v>
      </c>
      <c r="F2666">
        <v>63</v>
      </c>
      <c r="G2666" t="s">
        <v>7</v>
      </c>
      <c r="H2666" t="s">
        <v>8</v>
      </c>
      <c r="I2666" t="s">
        <v>53</v>
      </c>
      <c r="J2666" t="s">
        <v>48</v>
      </c>
      <c r="K2666" t="s">
        <v>43</v>
      </c>
      <c r="L2666">
        <v>1</v>
      </c>
      <c r="M2666" s="12">
        <v>6499</v>
      </c>
      <c r="N2666" s="12">
        <v>4549.2999999999993</v>
      </c>
      <c r="O2666">
        <v>9</v>
      </c>
      <c r="P2666" s="12">
        <v>5914.09</v>
      </c>
      <c r="Q2666" s="12">
        <v>4549.2999999999993</v>
      </c>
      <c r="R2666" s="12">
        <v>1364.7900000000009</v>
      </c>
      <c r="S2666" t="s">
        <v>113</v>
      </c>
      <c r="T2666" t="s">
        <v>107</v>
      </c>
      <c r="U2666" t="s">
        <v>1198</v>
      </c>
    </row>
    <row r="2667" spans="1:21" x14ac:dyDescent="0.25">
      <c r="A2667" t="s">
        <v>4731</v>
      </c>
      <c r="B2667" s="8">
        <v>45903</v>
      </c>
      <c r="C2667" t="s">
        <v>3084</v>
      </c>
      <c r="D2667" t="s">
        <v>803</v>
      </c>
      <c r="E2667" t="s">
        <v>218</v>
      </c>
      <c r="F2667">
        <v>47</v>
      </c>
      <c r="G2667" t="s">
        <v>17</v>
      </c>
      <c r="H2667" t="s">
        <v>15</v>
      </c>
      <c r="I2667" t="s">
        <v>34</v>
      </c>
      <c r="J2667" t="s">
        <v>137</v>
      </c>
      <c r="K2667" t="s">
        <v>22</v>
      </c>
      <c r="L2667">
        <v>5</v>
      </c>
      <c r="M2667" s="12">
        <v>6900</v>
      </c>
      <c r="N2667" s="12">
        <v>5727</v>
      </c>
      <c r="O2667">
        <v>5</v>
      </c>
      <c r="P2667" s="12">
        <v>32775</v>
      </c>
      <c r="Q2667" s="12">
        <v>28635</v>
      </c>
      <c r="R2667" s="12">
        <v>4140</v>
      </c>
      <c r="S2667" t="s">
        <v>1246</v>
      </c>
      <c r="T2667" t="s">
        <v>107</v>
      </c>
      <c r="U2667" t="s">
        <v>1207</v>
      </c>
    </row>
    <row r="2668" spans="1:21" x14ac:dyDescent="0.25">
      <c r="A2668" t="s">
        <v>4732</v>
      </c>
      <c r="B2668" s="8">
        <v>45759</v>
      </c>
      <c r="C2668" t="s">
        <v>2017</v>
      </c>
      <c r="D2668" t="s">
        <v>421</v>
      </c>
      <c r="E2668" t="s">
        <v>218</v>
      </c>
      <c r="F2668">
        <v>38</v>
      </c>
      <c r="G2668" t="s">
        <v>11</v>
      </c>
      <c r="H2668" t="s">
        <v>12</v>
      </c>
      <c r="I2668" t="s">
        <v>49</v>
      </c>
      <c r="J2668" t="s">
        <v>56</v>
      </c>
      <c r="K2668" t="s">
        <v>43</v>
      </c>
      <c r="L2668">
        <v>5</v>
      </c>
      <c r="M2668" s="12">
        <v>31999</v>
      </c>
      <c r="N2668" s="12">
        <v>25599.200000000001</v>
      </c>
      <c r="O2668">
        <v>7</v>
      </c>
      <c r="P2668" s="12">
        <v>148795.34999999998</v>
      </c>
      <c r="Q2668" s="12">
        <v>127996</v>
      </c>
      <c r="R2668" s="12">
        <v>20799.349999999977</v>
      </c>
      <c r="S2668" t="s">
        <v>1246</v>
      </c>
      <c r="T2668" t="s">
        <v>109</v>
      </c>
      <c r="U2668" t="s">
        <v>1198</v>
      </c>
    </row>
    <row r="2669" spans="1:21" x14ac:dyDescent="0.25">
      <c r="A2669" t="s">
        <v>4733</v>
      </c>
      <c r="B2669" s="8">
        <v>45916</v>
      </c>
      <c r="C2669" t="s">
        <v>2543</v>
      </c>
      <c r="D2669" t="s">
        <v>958</v>
      </c>
      <c r="E2669" t="s">
        <v>218</v>
      </c>
      <c r="F2669">
        <v>34</v>
      </c>
      <c r="G2669" t="s">
        <v>4</v>
      </c>
      <c r="H2669" t="s">
        <v>3</v>
      </c>
      <c r="I2669" t="s">
        <v>21</v>
      </c>
      <c r="J2669" t="s">
        <v>23</v>
      </c>
      <c r="K2669" t="s">
        <v>22</v>
      </c>
      <c r="L2669">
        <v>3</v>
      </c>
      <c r="M2669" s="12">
        <v>54999</v>
      </c>
      <c r="N2669" s="12">
        <v>45099.18</v>
      </c>
      <c r="O2669">
        <v>6</v>
      </c>
      <c r="P2669" s="12">
        <v>155097.18</v>
      </c>
      <c r="Q2669" s="12">
        <v>135297.54</v>
      </c>
      <c r="R2669" s="12">
        <v>19799.639999999985</v>
      </c>
      <c r="S2669" t="s">
        <v>1246</v>
      </c>
      <c r="T2669" t="s">
        <v>107</v>
      </c>
      <c r="U2669" t="s">
        <v>1205</v>
      </c>
    </row>
    <row r="2670" spans="1:21" x14ac:dyDescent="0.25">
      <c r="A2670" t="s">
        <v>4734</v>
      </c>
      <c r="B2670" s="8">
        <v>45754</v>
      </c>
      <c r="C2670" t="s">
        <v>1947</v>
      </c>
      <c r="D2670" t="s">
        <v>826</v>
      </c>
      <c r="E2670" t="s">
        <v>198</v>
      </c>
      <c r="F2670">
        <v>56</v>
      </c>
      <c r="G2670" t="s">
        <v>289</v>
      </c>
      <c r="H2670" t="s">
        <v>3</v>
      </c>
      <c r="I2670" t="s">
        <v>49</v>
      </c>
      <c r="J2670" t="s">
        <v>56</v>
      </c>
      <c r="K2670" t="s">
        <v>43</v>
      </c>
      <c r="L2670">
        <v>1</v>
      </c>
      <c r="M2670" s="12">
        <v>31999</v>
      </c>
      <c r="N2670" s="12">
        <v>25599.200000000001</v>
      </c>
      <c r="O2670">
        <v>7</v>
      </c>
      <c r="P2670" s="12">
        <v>29759.07</v>
      </c>
      <c r="Q2670" s="12">
        <v>25599.200000000001</v>
      </c>
      <c r="R2670" s="12">
        <v>4159.869999999999</v>
      </c>
      <c r="S2670" t="s">
        <v>113</v>
      </c>
      <c r="T2670" t="s">
        <v>107</v>
      </c>
      <c r="U2670" t="s">
        <v>1194</v>
      </c>
    </row>
    <row r="2671" spans="1:21" x14ac:dyDescent="0.25">
      <c r="A2671" t="s">
        <v>4735</v>
      </c>
      <c r="B2671" s="8">
        <v>45859</v>
      </c>
      <c r="C2671" t="s">
        <v>5086</v>
      </c>
      <c r="D2671" t="s">
        <v>560</v>
      </c>
      <c r="E2671" t="s">
        <v>198</v>
      </c>
      <c r="F2671">
        <v>21</v>
      </c>
      <c r="G2671" t="s">
        <v>290</v>
      </c>
      <c r="H2671" t="s">
        <v>3</v>
      </c>
      <c r="I2671" t="s">
        <v>32</v>
      </c>
      <c r="J2671" t="s">
        <v>29</v>
      </c>
      <c r="K2671" t="s">
        <v>22</v>
      </c>
      <c r="L2671">
        <v>3</v>
      </c>
      <c r="M2671" s="12">
        <v>9500</v>
      </c>
      <c r="N2671" s="12">
        <v>6650</v>
      </c>
      <c r="O2671">
        <v>4</v>
      </c>
      <c r="P2671" s="12">
        <v>27360</v>
      </c>
      <c r="Q2671" s="12">
        <v>19950</v>
      </c>
      <c r="R2671" s="12">
        <v>7410</v>
      </c>
      <c r="S2671" t="s">
        <v>113</v>
      </c>
      <c r="T2671" t="s">
        <v>111</v>
      </c>
      <c r="U2671" t="s">
        <v>1207</v>
      </c>
    </row>
    <row r="2672" spans="1:21" x14ac:dyDescent="0.25">
      <c r="A2672" t="s">
        <v>4736</v>
      </c>
      <c r="B2672" s="8">
        <v>45745</v>
      </c>
      <c r="C2672" t="s">
        <v>1460</v>
      </c>
      <c r="D2672" t="s">
        <v>1039</v>
      </c>
      <c r="E2672" t="s">
        <v>218</v>
      </c>
      <c r="F2672">
        <v>48</v>
      </c>
      <c r="G2672" t="s">
        <v>5</v>
      </c>
      <c r="H2672" t="s">
        <v>3</v>
      </c>
      <c r="I2672" t="s">
        <v>36</v>
      </c>
      <c r="J2672" t="s">
        <v>136</v>
      </c>
      <c r="K2672" t="s">
        <v>22</v>
      </c>
      <c r="L2672">
        <v>1</v>
      </c>
      <c r="M2672" s="12">
        <v>3590</v>
      </c>
      <c r="N2672" s="12">
        <v>2333.5</v>
      </c>
      <c r="O2672">
        <v>4</v>
      </c>
      <c r="P2672" s="12">
        <v>3446.4</v>
      </c>
      <c r="Q2672" s="12">
        <v>2333.5</v>
      </c>
      <c r="R2672" s="12">
        <v>1112.9000000000001</v>
      </c>
      <c r="S2672" t="s">
        <v>1246</v>
      </c>
      <c r="T2672" t="s">
        <v>108</v>
      </c>
      <c r="U2672" t="s">
        <v>1209</v>
      </c>
    </row>
    <row r="2673" spans="1:21" x14ac:dyDescent="0.25">
      <c r="A2673" t="s">
        <v>4737</v>
      </c>
      <c r="B2673" s="8">
        <v>45988</v>
      </c>
      <c r="C2673" t="s">
        <v>1736</v>
      </c>
      <c r="D2673" t="s">
        <v>524</v>
      </c>
      <c r="E2673" t="s">
        <v>198</v>
      </c>
      <c r="F2673">
        <v>42</v>
      </c>
      <c r="G2673" t="s">
        <v>5</v>
      </c>
      <c r="H2673" t="s">
        <v>3</v>
      </c>
      <c r="I2673" t="s">
        <v>32</v>
      </c>
      <c r="J2673" t="s">
        <v>29</v>
      </c>
      <c r="K2673" t="s">
        <v>22</v>
      </c>
      <c r="L2673">
        <v>5</v>
      </c>
      <c r="M2673" s="12">
        <v>9500</v>
      </c>
      <c r="N2673" s="12">
        <v>6650</v>
      </c>
      <c r="O2673">
        <v>16</v>
      </c>
      <c r="P2673" s="12">
        <v>39900</v>
      </c>
      <c r="Q2673" s="12">
        <v>33250</v>
      </c>
      <c r="R2673" s="12">
        <v>6650</v>
      </c>
      <c r="S2673" t="s">
        <v>113</v>
      </c>
      <c r="T2673" t="s">
        <v>107</v>
      </c>
      <c r="U2673" t="s">
        <v>1201</v>
      </c>
    </row>
    <row r="2674" spans="1:21" x14ac:dyDescent="0.25">
      <c r="A2674" t="s">
        <v>4739</v>
      </c>
      <c r="B2674" s="8">
        <v>45898</v>
      </c>
      <c r="C2674" t="s">
        <v>2611</v>
      </c>
      <c r="D2674" t="s">
        <v>674</v>
      </c>
      <c r="E2674" t="s">
        <v>218</v>
      </c>
      <c r="F2674">
        <v>50</v>
      </c>
      <c r="G2674" t="s">
        <v>11</v>
      </c>
      <c r="H2674" t="s">
        <v>12</v>
      </c>
      <c r="I2674" t="s">
        <v>53</v>
      </c>
      <c r="J2674" t="s">
        <v>48</v>
      </c>
      <c r="K2674" t="s">
        <v>43</v>
      </c>
      <c r="L2674">
        <v>5</v>
      </c>
      <c r="M2674" s="12">
        <v>6499</v>
      </c>
      <c r="N2674" s="12">
        <v>4549.2999999999993</v>
      </c>
      <c r="O2674">
        <v>10</v>
      </c>
      <c r="P2674" s="12">
        <v>29245.5</v>
      </c>
      <c r="Q2674" s="12">
        <v>22746.499999999996</v>
      </c>
      <c r="R2674" s="12">
        <v>6499.0000000000036</v>
      </c>
      <c r="S2674" t="s">
        <v>113</v>
      </c>
      <c r="T2674" t="s">
        <v>107</v>
      </c>
      <c r="U2674" t="s">
        <v>1196</v>
      </c>
    </row>
    <row r="2675" spans="1:21" x14ac:dyDescent="0.25">
      <c r="A2675" t="s">
        <v>4740</v>
      </c>
      <c r="B2675" s="8">
        <v>45709</v>
      </c>
      <c r="C2675" t="s">
        <v>2385</v>
      </c>
      <c r="D2675" t="s">
        <v>481</v>
      </c>
      <c r="E2675" t="s">
        <v>198</v>
      </c>
      <c r="F2675">
        <v>30</v>
      </c>
      <c r="G2675" t="s">
        <v>11</v>
      </c>
      <c r="H2675" t="s">
        <v>12</v>
      </c>
      <c r="I2675" t="s">
        <v>30</v>
      </c>
      <c r="J2675" t="s">
        <v>41</v>
      </c>
      <c r="K2675" t="s">
        <v>22</v>
      </c>
      <c r="L2675">
        <v>3</v>
      </c>
      <c r="M2675" s="12">
        <v>13749</v>
      </c>
      <c r="N2675" s="12">
        <v>10999.2</v>
      </c>
      <c r="O2675">
        <v>3</v>
      </c>
      <c r="P2675" s="12">
        <v>40009.589999999997</v>
      </c>
      <c r="Q2675" s="12">
        <v>32997.600000000006</v>
      </c>
      <c r="R2675" s="12">
        <v>7011.9899999999907</v>
      </c>
      <c r="S2675" t="s">
        <v>1246</v>
      </c>
      <c r="T2675" t="s">
        <v>107</v>
      </c>
      <c r="U2675" t="s">
        <v>1196</v>
      </c>
    </row>
    <row r="2676" spans="1:21" x14ac:dyDescent="0.25">
      <c r="A2676" t="s">
        <v>4741</v>
      </c>
      <c r="B2676" s="8">
        <v>45794</v>
      </c>
      <c r="C2676" t="s">
        <v>3929</v>
      </c>
      <c r="D2676" t="s">
        <v>953</v>
      </c>
      <c r="E2676" t="s">
        <v>198</v>
      </c>
      <c r="F2676">
        <v>51</v>
      </c>
      <c r="G2676" t="s">
        <v>289</v>
      </c>
      <c r="H2676" t="s">
        <v>3</v>
      </c>
      <c r="I2676" t="s">
        <v>63</v>
      </c>
      <c r="J2676" t="s">
        <v>77</v>
      </c>
      <c r="K2676" t="s">
        <v>64</v>
      </c>
      <c r="L2676">
        <v>5</v>
      </c>
      <c r="M2676" s="12">
        <v>650</v>
      </c>
      <c r="N2676" s="12">
        <v>468</v>
      </c>
      <c r="O2676">
        <v>11</v>
      </c>
      <c r="P2676" s="12">
        <v>2892.5</v>
      </c>
      <c r="Q2676" s="12">
        <v>2340</v>
      </c>
      <c r="R2676" s="12">
        <v>552.5</v>
      </c>
      <c r="S2676" t="s">
        <v>1246</v>
      </c>
      <c r="T2676" t="s">
        <v>109</v>
      </c>
      <c r="U2676" t="s">
        <v>1209</v>
      </c>
    </row>
    <row r="2677" spans="1:21" x14ac:dyDescent="0.25">
      <c r="A2677" t="s">
        <v>4742</v>
      </c>
      <c r="B2677" s="8">
        <v>45894</v>
      </c>
      <c r="C2677" t="s">
        <v>2104</v>
      </c>
      <c r="D2677" t="s">
        <v>513</v>
      </c>
      <c r="E2677" t="s">
        <v>218</v>
      </c>
      <c r="F2677">
        <v>61</v>
      </c>
      <c r="G2677" t="s">
        <v>4</v>
      </c>
      <c r="H2677" t="s">
        <v>3</v>
      </c>
      <c r="I2677" t="s">
        <v>21</v>
      </c>
      <c r="J2677" t="s">
        <v>23</v>
      </c>
      <c r="K2677" t="s">
        <v>22</v>
      </c>
      <c r="L2677">
        <v>2</v>
      </c>
      <c r="M2677" s="12">
        <v>54999</v>
      </c>
      <c r="N2677" s="12">
        <v>45099.18</v>
      </c>
      <c r="O2677">
        <v>5</v>
      </c>
      <c r="P2677" s="12">
        <v>104498.09999999999</v>
      </c>
      <c r="Q2677" s="12">
        <v>90198.36</v>
      </c>
      <c r="R2677" s="12">
        <v>14299.739999999991</v>
      </c>
      <c r="S2677" t="s">
        <v>1246</v>
      </c>
      <c r="T2677" t="s">
        <v>108</v>
      </c>
      <c r="U2677" t="s">
        <v>1209</v>
      </c>
    </row>
    <row r="2678" spans="1:21" x14ac:dyDescent="0.25">
      <c r="A2678" t="s">
        <v>4743</v>
      </c>
      <c r="B2678" s="8">
        <v>45751</v>
      </c>
      <c r="C2678" t="s">
        <v>1862</v>
      </c>
      <c r="D2678" t="s">
        <v>1157</v>
      </c>
      <c r="E2678" t="s">
        <v>218</v>
      </c>
      <c r="F2678">
        <v>47</v>
      </c>
      <c r="G2678" t="s">
        <v>2</v>
      </c>
      <c r="H2678" t="s">
        <v>3</v>
      </c>
      <c r="I2678" t="s">
        <v>38</v>
      </c>
      <c r="J2678" t="s">
        <v>37</v>
      </c>
      <c r="K2678" t="s">
        <v>22</v>
      </c>
      <c r="L2678">
        <v>2</v>
      </c>
      <c r="M2678" s="12">
        <v>1650</v>
      </c>
      <c r="N2678" s="12">
        <v>990</v>
      </c>
      <c r="O2678">
        <v>3</v>
      </c>
      <c r="P2678" s="12">
        <v>3201</v>
      </c>
      <c r="Q2678" s="12">
        <v>1980</v>
      </c>
      <c r="R2678" s="12">
        <v>1221</v>
      </c>
      <c r="S2678" t="s">
        <v>113</v>
      </c>
      <c r="T2678" t="s">
        <v>111</v>
      </c>
      <c r="U2678" t="s">
        <v>1209</v>
      </c>
    </row>
    <row r="2679" spans="1:21" x14ac:dyDescent="0.25">
      <c r="A2679" t="s">
        <v>4744</v>
      </c>
      <c r="B2679" s="8">
        <v>46019</v>
      </c>
      <c r="C2679" t="s">
        <v>1846</v>
      </c>
      <c r="D2679" t="s">
        <v>518</v>
      </c>
      <c r="E2679" t="s">
        <v>218</v>
      </c>
      <c r="F2679">
        <v>62</v>
      </c>
      <c r="G2679" t="s">
        <v>290</v>
      </c>
      <c r="H2679" t="s">
        <v>3</v>
      </c>
      <c r="I2679" t="s">
        <v>40</v>
      </c>
      <c r="J2679" t="s">
        <v>39</v>
      </c>
      <c r="K2679" t="s">
        <v>22</v>
      </c>
      <c r="L2679">
        <v>4</v>
      </c>
      <c r="M2679" s="12">
        <v>1100</v>
      </c>
      <c r="N2679" s="12">
        <v>715</v>
      </c>
      <c r="O2679">
        <v>18</v>
      </c>
      <c r="P2679" s="12">
        <v>3608.0000000000005</v>
      </c>
      <c r="Q2679" s="12">
        <v>2860</v>
      </c>
      <c r="R2679" s="12">
        <v>748.00000000000045</v>
      </c>
      <c r="S2679" t="s">
        <v>113</v>
      </c>
      <c r="T2679" t="s">
        <v>107</v>
      </c>
      <c r="U2679" t="s">
        <v>1201</v>
      </c>
    </row>
    <row r="2680" spans="1:21" x14ac:dyDescent="0.25">
      <c r="A2680" t="s">
        <v>4745</v>
      </c>
      <c r="B2680" s="8">
        <v>45695</v>
      </c>
      <c r="C2680" t="s">
        <v>2543</v>
      </c>
      <c r="D2680" t="s">
        <v>958</v>
      </c>
      <c r="E2680" t="s">
        <v>218</v>
      </c>
      <c r="F2680">
        <v>34</v>
      </c>
      <c r="G2680" t="s">
        <v>4</v>
      </c>
      <c r="H2680" t="s">
        <v>3</v>
      </c>
      <c r="I2680" t="s">
        <v>57</v>
      </c>
      <c r="J2680" t="s">
        <v>67</v>
      </c>
      <c r="K2680" t="s">
        <v>64</v>
      </c>
      <c r="L2680">
        <v>3</v>
      </c>
      <c r="M2680" s="12">
        <v>150</v>
      </c>
      <c r="N2680" s="12">
        <v>97.5</v>
      </c>
      <c r="O2680">
        <v>1</v>
      </c>
      <c r="P2680" s="12">
        <v>445.5</v>
      </c>
      <c r="Q2680" s="12">
        <v>292.5</v>
      </c>
      <c r="R2680" s="12">
        <v>153</v>
      </c>
      <c r="S2680" t="s">
        <v>1246</v>
      </c>
      <c r="T2680" t="s">
        <v>107</v>
      </c>
      <c r="U2680" t="s">
        <v>1199</v>
      </c>
    </row>
    <row r="2681" spans="1:21" x14ac:dyDescent="0.25">
      <c r="A2681" t="s">
        <v>4746</v>
      </c>
      <c r="B2681" s="8">
        <v>46017</v>
      </c>
      <c r="C2681" t="s">
        <v>3733</v>
      </c>
      <c r="D2681" t="s">
        <v>434</v>
      </c>
      <c r="E2681" t="s">
        <v>198</v>
      </c>
      <c r="F2681">
        <v>62</v>
      </c>
      <c r="G2681" t="s">
        <v>10</v>
      </c>
      <c r="H2681" t="s">
        <v>8</v>
      </c>
      <c r="I2681" t="s">
        <v>28</v>
      </c>
      <c r="J2681" t="s">
        <v>35</v>
      </c>
      <c r="K2681" t="s">
        <v>22</v>
      </c>
      <c r="L2681">
        <v>4</v>
      </c>
      <c r="M2681" s="12">
        <v>16499</v>
      </c>
      <c r="N2681" s="12">
        <v>14519.12</v>
      </c>
      <c r="O2681">
        <v>10</v>
      </c>
      <c r="P2681" s="12">
        <v>59396.4</v>
      </c>
      <c r="Q2681" s="12">
        <v>58076.480000000003</v>
      </c>
      <c r="R2681" s="12">
        <v>1319.9199999999983</v>
      </c>
      <c r="S2681" t="s">
        <v>113</v>
      </c>
      <c r="T2681" t="s">
        <v>107</v>
      </c>
      <c r="U2681" t="s">
        <v>1207</v>
      </c>
    </row>
    <row r="2682" spans="1:21" x14ac:dyDescent="0.25">
      <c r="A2682" t="s">
        <v>4747</v>
      </c>
      <c r="B2682" s="8">
        <v>45982</v>
      </c>
      <c r="C2682" t="s">
        <v>2240</v>
      </c>
      <c r="D2682" t="s">
        <v>1096</v>
      </c>
      <c r="E2682" t="s">
        <v>218</v>
      </c>
      <c r="F2682">
        <v>19</v>
      </c>
      <c r="G2682" t="s">
        <v>289</v>
      </c>
      <c r="H2682" t="s">
        <v>3</v>
      </c>
      <c r="I2682" t="s">
        <v>57</v>
      </c>
      <c r="J2682" t="s">
        <v>67</v>
      </c>
      <c r="K2682" t="s">
        <v>64</v>
      </c>
      <c r="L2682">
        <v>2</v>
      </c>
      <c r="M2682" s="12">
        <v>150</v>
      </c>
      <c r="N2682" s="12">
        <v>97.5</v>
      </c>
      <c r="O2682">
        <v>3</v>
      </c>
      <c r="P2682" s="12">
        <v>291</v>
      </c>
      <c r="Q2682" s="12">
        <v>195</v>
      </c>
      <c r="R2682" s="12">
        <v>96</v>
      </c>
      <c r="S2682" t="s">
        <v>1246</v>
      </c>
      <c r="T2682" t="s">
        <v>109</v>
      </c>
      <c r="U2682" t="s">
        <v>1211</v>
      </c>
    </row>
    <row r="2683" spans="1:21" x14ac:dyDescent="0.25">
      <c r="A2683" t="s">
        <v>4748</v>
      </c>
      <c r="B2683" s="8">
        <v>45821</v>
      </c>
      <c r="C2683" t="s">
        <v>1903</v>
      </c>
      <c r="D2683" t="s">
        <v>1167</v>
      </c>
      <c r="E2683" t="s">
        <v>198</v>
      </c>
      <c r="F2683">
        <v>21</v>
      </c>
      <c r="G2683" t="s">
        <v>17</v>
      </c>
      <c r="H2683" t="s">
        <v>15</v>
      </c>
      <c r="I2683" t="s">
        <v>36</v>
      </c>
      <c r="J2683" t="s">
        <v>136</v>
      </c>
      <c r="K2683" t="s">
        <v>22</v>
      </c>
      <c r="L2683">
        <v>1</v>
      </c>
      <c r="M2683" s="12">
        <v>3590</v>
      </c>
      <c r="N2683" s="12">
        <v>2333.5</v>
      </c>
      <c r="O2683">
        <v>6</v>
      </c>
      <c r="P2683" s="12">
        <v>3374.6</v>
      </c>
      <c r="Q2683" s="12">
        <v>2333.5</v>
      </c>
      <c r="R2683" s="12">
        <v>1041.0999999999999</v>
      </c>
      <c r="S2683" t="s">
        <v>1246</v>
      </c>
      <c r="T2683" t="s">
        <v>111</v>
      </c>
      <c r="U2683" t="s">
        <v>1211</v>
      </c>
    </row>
    <row r="2684" spans="1:21" x14ac:dyDescent="0.25">
      <c r="A2684" t="s">
        <v>4749</v>
      </c>
      <c r="B2684" s="8">
        <v>45803</v>
      </c>
      <c r="C2684" t="s">
        <v>2116</v>
      </c>
      <c r="D2684" t="s">
        <v>1025</v>
      </c>
      <c r="E2684" t="s">
        <v>218</v>
      </c>
      <c r="F2684">
        <v>27</v>
      </c>
      <c r="G2684" t="s">
        <v>4</v>
      </c>
      <c r="H2684" t="s">
        <v>3</v>
      </c>
      <c r="I2684" t="s">
        <v>38</v>
      </c>
      <c r="J2684" t="s">
        <v>37</v>
      </c>
      <c r="K2684" t="s">
        <v>22</v>
      </c>
      <c r="L2684">
        <v>3</v>
      </c>
      <c r="M2684" s="12">
        <v>1650</v>
      </c>
      <c r="N2684" s="12">
        <v>990</v>
      </c>
      <c r="O2684">
        <v>6</v>
      </c>
      <c r="P2684" s="12">
        <v>4653</v>
      </c>
      <c r="Q2684" s="12">
        <v>2970</v>
      </c>
      <c r="R2684" s="12">
        <v>1683</v>
      </c>
      <c r="S2684" t="s">
        <v>1246</v>
      </c>
      <c r="T2684" t="s">
        <v>107</v>
      </c>
      <c r="U2684" t="s">
        <v>1196</v>
      </c>
    </row>
    <row r="2685" spans="1:21" x14ac:dyDescent="0.25">
      <c r="A2685" t="s">
        <v>4750</v>
      </c>
      <c r="B2685" s="8">
        <v>45834</v>
      </c>
      <c r="C2685" t="s">
        <v>1359</v>
      </c>
      <c r="D2685" t="s">
        <v>942</v>
      </c>
      <c r="E2685" t="s">
        <v>198</v>
      </c>
      <c r="F2685">
        <v>49</v>
      </c>
      <c r="G2685" t="s">
        <v>11</v>
      </c>
      <c r="H2685" t="s">
        <v>12</v>
      </c>
      <c r="I2685" t="s">
        <v>51</v>
      </c>
      <c r="J2685" t="s">
        <v>54</v>
      </c>
      <c r="K2685" t="s">
        <v>43</v>
      </c>
      <c r="L2685">
        <v>4</v>
      </c>
      <c r="M2685" s="12">
        <v>27499</v>
      </c>
      <c r="N2685" s="12">
        <v>21724.210000000003</v>
      </c>
      <c r="O2685">
        <v>4</v>
      </c>
      <c r="P2685" s="12">
        <v>105596.15999999999</v>
      </c>
      <c r="Q2685" s="12">
        <v>86896.840000000011</v>
      </c>
      <c r="R2685" s="12">
        <v>18699.319999999978</v>
      </c>
      <c r="S2685" t="s">
        <v>113</v>
      </c>
      <c r="T2685" t="s">
        <v>109</v>
      </c>
      <c r="U2685" t="s">
        <v>1198</v>
      </c>
    </row>
    <row r="2686" spans="1:21" x14ac:dyDescent="0.25">
      <c r="A2686" t="s">
        <v>4751</v>
      </c>
      <c r="B2686" s="8">
        <v>45747</v>
      </c>
      <c r="C2686" t="s">
        <v>2212</v>
      </c>
      <c r="D2686" t="s">
        <v>391</v>
      </c>
      <c r="E2686" t="s">
        <v>198</v>
      </c>
      <c r="F2686">
        <v>55</v>
      </c>
      <c r="G2686" t="s">
        <v>17</v>
      </c>
      <c r="H2686" t="s">
        <v>15</v>
      </c>
      <c r="I2686" t="s">
        <v>51</v>
      </c>
      <c r="J2686" t="s">
        <v>54</v>
      </c>
      <c r="K2686" t="s">
        <v>43</v>
      </c>
      <c r="L2686">
        <v>4</v>
      </c>
      <c r="M2686" s="12">
        <v>27499</v>
      </c>
      <c r="N2686" s="12">
        <v>21724.210000000003</v>
      </c>
      <c r="O2686">
        <v>6</v>
      </c>
      <c r="P2686" s="12">
        <v>103396.23999999999</v>
      </c>
      <c r="Q2686" s="12">
        <v>86896.840000000011</v>
      </c>
      <c r="R2686" s="12">
        <v>16499.39999999998</v>
      </c>
      <c r="S2686" t="s">
        <v>113</v>
      </c>
      <c r="T2686" t="s">
        <v>107</v>
      </c>
      <c r="U2686" t="s">
        <v>1207</v>
      </c>
    </row>
    <row r="2687" spans="1:21" x14ac:dyDescent="0.25">
      <c r="A2687" t="s">
        <v>4752</v>
      </c>
      <c r="B2687" s="8">
        <v>45814</v>
      </c>
      <c r="C2687" t="s">
        <v>1727</v>
      </c>
      <c r="D2687" t="s">
        <v>485</v>
      </c>
      <c r="E2687" t="s">
        <v>198</v>
      </c>
      <c r="F2687">
        <v>41</v>
      </c>
      <c r="G2687" t="s">
        <v>9</v>
      </c>
      <c r="H2687" t="s">
        <v>8</v>
      </c>
      <c r="I2687" t="s">
        <v>49</v>
      </c>
      <c r="J2687" t="s">
        <v>56</v>
      </c>
      <c r="K2687" t="s">
        <v>43</v>
      </c>
      <c r="L2687">
        <v>1</v>
      </c>
      <c r="M2687" s="12">
        <v>31999</v>
      </c>
      <c r="N2687" s="12">
        <v>25599.200000000001</v>
      </c>
      <c r="O2687">
        <v>5</v>
      </c>
      <c r="P2687" s="12">
        <v>30399.05</v>
      </c>
      <c r="Q2687" s="12">
        <v>25599.200000000001</v>
      </c>
      <c r="R2687" s="12">
        <v>4799.8499999999985</v>
      </c>
      <c r="S2687" t="s">
        <v>113</v>
      </c>
      <c r="T2687" t="s">
        <v>107</v>
      </c>
      <c r="U2687" t="s">
        <v>1194</v>
      </c>
    </row>
    <row r="2688" spans="1:21" x14ac:dyDescent="0.25">
      <c r="A2688" t="s">
        <v>4753</v>
      </c>
      <c r="B2688" s="8">
        <v>45836</v>
      </c>
      <c r="C2688" t="s">
        <v>1333</v>
      </c>
      <c r="D2688" t="s">
        <v>1049</v>
      </c>
      <c r="E2688" t="s">
        <v>198</v>
      </c>
      <c r="F2688">
        <v>62</v>
      </c>
      <c r="G2688" t="s">
        <v>14</v>
      </c>
      <c r="H2688" t="s">
        <v>15</v>
      </c>
      <c r="I2688" t="s">
        <v>38</v>
      </c>
      <c r="J2688" t="s">
        <v>37</v>
      </c>
      <c r="K2688" t="s">
        <v>22</v>
      </c>
      <c r="L2688">
        <v>2</v>
      </c>
      <c r="M2688" s="12">
        <v>1650</v>
      </c>
      <c r="N2688" s="12">
        <v>990</v>
      </c>
      <c r="O2688">
        <v>10</v>
      </c>
      <c r="P2688" s="12">
        <v>2970</v>
      </c>
      <c r="Q2688" s="12">
        <v>1980</v>
      </c>
      <c r="R2688" s="12">
        <v>990</v>
      </c>
      <c r="S2688" t="s">
        <v>113</v>
      </c>
      <c r="T2688" t="s">
        <v>108</v>
      </c>
      <c r="U2688" t="s">
        <v>1201</v>
      </c>
    </row>
    <row r="2689" spans="1:21" x14ac:dyDescent="0.25">
      <c r="A2689" t="s">
        <v>4755</v>
      </c>
      <c r="B2689" s="8">
        <v>46005</v>
      </c>
      <c r="C2689" t="s">
        <v>1522</v>
      </c>
      <c r="D2689" t="s">
        <v>964</v>
      </c>
      <c r="E2689" t="s">
        <v>198</v>
      </c>
      <c r="F2689">
        <v>40</v>
      </c>
      <c r="G2689" t="s">
        <v>11</v>
      </c>
      <c r="H2689" t="s">
        <v>12</v>
      </c>
      <c r="I2689" t="s">
        <v>59</v>
      </c>
      <c r="J2689" t="s">
        <v>73</v>
      </c>
      <c r="K2689" t="s">
        <v>64</v>
      </c>
      <c r="L2689">
        <v>3</v>
      </c>
      <c r="M2689" s="12">
        <v>120</v>
      </c>
      <c r="N2689" s="12">
        <v>81.599999999999994</v>
      </c>
      <c r="O2689">
        <v>6</v>
      </c>
      <c r="P2689" s="12">
        <v>338.4</v>
      </c>
      <c r="Q2689" s="12">
        <v>244.79999999999998</v>
      </c>
      <c r="R2689" s="12">
        <v>93.6</v>
      </c>
      <c r="S2689" t="s">
        <v>1246</v>
      </c>
      <c r="T2689" t="s">
        <v>107</v>
      </c>
      <c r="U2689" t="s">
        <v>1196</v>
      </c>
    </row>
    <row r="2690" spans="1:21" x14ac:dyDescent="0.25">
      <c r="A2690" t="s">
        <v>4756</v>
      </c>
      <c r="B2690" s="8">
        <v>46015</v>
      </c>
      <c r="C2690" t="s">
        <v>3170</v>
      </c>
      <c r="D2690" t="s">
        <v>960</v>
      </c>
      <c r="E2690" t="s">
        <v>218</v>
      </c>
      <c r="F2690">
        <v>63</v>
      </c>
      <c r="G2690" t="s">
        <v>11</v>
      </c>
      <c r="H2690" t="s">
        <v>12</v>
      </c>
      <c r="I2690" t="s">
        <v>61</v>
      </c>
      <c r="J2690" t="s">
        <v>146</v>
      </c>
      <c r="K2690" t="s">
        <v>64</v>
      </c>
      <c r="L2690">
        <v>2</v>
      </c>
      <c r="M2690" s="12">
        <v>250</v>
      </c>
      <c r="N2690" s="12">
        <v>155</v>
      </c>
      <c r="O2690">
        <v>7</v>
      </c>
      <c r="P2690" s="12">
        <v>464.99999999999994</v>
      </c>
      <c r="Q2690" s="12">
        <v>310</v>
      </c>
      <c r="R2690" s="12">
        <v>154.99999999999994</v>
      </c>
      <c r="S2690" t="s">
        <v>1249</v>
      </c>
      <c r="T2690" t="s">
        <v>108</v>
      </c>
      <c r="U2690" t="s">
        <v>1211</v>
      </c>
    </row>
    <row r="2691" spans="1:21" x14ac:dyDescent="0.25">
      <c r="A2691" t="s">
        <v>4757</v>
      </c>
      <c r="B2691" s="8">
        <v>45969</v>
      </c>
      <c r="C2691" t="s">
        <v>2048</v>
      </c>
      <c r="D2691" t="s">
        <v>435</v>
      </c>
      <c r="E2691" t="s">
        <v>198</v>
      </c>
      <c r="F2691">
        <v>65</v>
      </c>
      <c r="G2691" t="s">
        <v>4</v>
      </c>
      <c r="H2691" t="s">
        <v>3</v>
      </c>
      <c r="I2691" t="s">
        <v>26</v>
      </c>
      <c r="J2691" t="s">
        <v>27</v>
      </c>
      <c r="K2691" t="s">
        <v>22</v>
      </c>
      <c r="L2691">
        <v>1</v>
      </c>
      <c r="M2691" s="12">
        <v>27499</v>
      </c>
      <c r="N2691" s="12">
        <v>23374.149999999998</v>
      </c>
      <c r="O2691">
        <v>11</v>
      </c>
      <c r="P2691" s="12">
        <v>24474.11</v>
      </c>
      <c r="Q2691" s="12">
        <v>23374.149999999998</v>
      </c>
      <c r="R2691" s="12">
        <v>1099.9600000000028</v>
      </c>
      <c r="S2691" t="s">
        <v>113</v>
      </c>
      <c r="T2691" t="s">
        <v>111</v>
      </c>
      <c r="U2691" t="s">
        <v>1205</v>
      </c>
    </row>
    <row r="2692" spans="1:21" x14ac:dyDescent="0.25">
      <c r="A2692" t="s">
        <v>4758</v>
      </c>
      <c r="B2692" s="8">
        <v>45895</v>
      </c>
      <c r="C2692" t="s">
        <v>3961</v>
      </c>
      <c r="D2692" t="s">
        <v>1086</v>
      </c>
      <c r="E2692" t="s">
        <v>218</v>
      </c>
      <c r="F2692">
        <v>18</v>
      </c>
      <c r="G2692" t="s">
        <v>5</v>
      </c>
      <c r="H2692" t="s">
        <v>3</v>
      </c>
      <c r="I2692" t="s">
        <v>61</v>
      </c>
      <c r="J2692" t="s">
        <v>146</v>
      </c>
      <c r="K2692" t="s">
        <v>64</v>
      </c>
      <c r="L2692">
        <v>5</v>
      </c>
      <c r="M2692" s="12">
        <v>250</v>
      </c>
      <c r="N2692" s="12">
        <v>155</v>
      </c>
      <c r="O2692">
        <v>3</v>
      </c>
      <c r="P2692" s="12">
        <v>1212.5</v>
      </c>
      <c r="Q2692" s="12">
        <v>775</v>
      </c>
      <c r="R2692" s="12">
        <v>437.5</v>
      </c>
      <c r="S2692" t="s">
        <v>1246</v>
      </c>
      <c r="T2692" t="s">
        <v>107</v>
      </c>
      <c r="U2692" t="s">
        <v>1199</v>
      </c>
    </row>
    <row r="2693" spans="1:21" x14ac:dyDescent="0.25">
      <c r="A2693" t="s">
        <v>4759</v>
      </c>
      <c r="B2693" s="8">
        <v>45841</v>
      </c>
      <c r="C2693" t="s">
        <v>5082</v>
      </c>
      <c r="D2693" t="s">
        <v>628</v>
      </c>
      <c r="E2693" t="s">
        <v>198</v>
      </c>
      <c r="F2693">
        <v>42</v>
      </c>
      <c r="G2693" t="s">
        <v>16</v>
      </c>
      <c r="H2693" t="s">
        <v>15</v>
      </c>
      <c r="I2693" t="s">
        <v>57</v>
      </c>
      <c r="J2693" t="s">
        <v>67</v>
      </c>
      <c r="K2693" t="s">
        <v>64</v>
      </c>
      <c r="L2693">
        <v>5</v>
      </c>
      <c r="M2693" s="12">
        <v>150</v>
      </c>
      <c r="N2693" s="12">
        <v>97.5</v>
      </c>
      <c r="O2693">
        <v>4</v>
      </c>
      <c r="P2693" s="12">
        <v>720</v>
      </c>
      <c r="Q2693" s="12">
        <v>487.5</v>
      </c>
      <c r="R2693" s="12">
        <v>232.5</v>
      </c>
      <c r="S2693" t="s">
        <v>1249</v>
      </c>
      <c r="T2693" t="s">
        <v>107</v>
      </c>
      <c r="U2693" t="s">
        <v>1211</v>
      </c>
    </row>
    <row r="2694" spans="1:21" x14ac:dyDescent="0.25">
      <c r="A2694" t="s">
        <v>4760</v>
      </c>
      <c r="B2694" s="8">
        <v>45741</v>
      </c>
      <c r="C2694" t="s">
        <v>1881</v>
      </c>
      <c r="D2694" t="s">
        <v>1189</v>
      </c>
      <c r="E2694" t="s">
        <v>218</v>
      </c>
      <c r="F2694">
        <v>21</v>
      </c>
      <c r="G2694" t="s">
        <v>11</v>
      </c>
      <c r="H2694" t="s">
        <v>12</v>
      </c>
      <c r="I2694" t="s">
        <v>32</v>
      </c>
      <c r="J2694" t="s">
        <v>29</v>
      </c>
      <c r="K2694" t="s">
        <v>22</v>
      </c>
      <c r="L2694">
        <v>4</v>
      </c>
      <c r="M2694" s="12">
        <v>9500</v>
      </c>
      <c r="N2694" s="12">
        <v>6650</v>
      </c>
      <c r="O2694">
        <v>3</v>
      </c>
      <c r="P2694" s="12">
        <v>36860</v>
      </c>
      <c r="Q2694" s="12">
        <v>26600</v>
      </c>
      <c r="R2694" s="12">
        <v>10260</v>
      </c>
      <c r="S2694" t="s">
        <v>1246</v>
      </c>
      <c r="T2694" t="s">
        <v>108</v>
      </c>
      <c r="U2694" t="s">
        <v>1207</v>
      </c>
    </row>
    <row r="2695" spans="1:21" x14ac:dyDescent="0.25">
      <c r="A2695" t="s">
        <v>4761</v>
      </c>
      <c r="B2695" s="8">
        <v>45959</v>
      </c>
      <c r="C2695" t="s">
        <v>3331</v>
      </c>
      <c r="D2695" t="s">
        <v>440</v>
      </c>
      <c r="E2695" t="s">
        <v>218</v>
      </c>
      <c r="F2695">
        <v>27</v>
      </c>
      <c r="G2695" t="s">
        <v>289</v>
      </c>
      <c r="H2695" t="s">
        <v>3</v>
      </c>
      <c r="I2695" t="s">
        <v>59</v>
      </c>
      <c r="J2695" t="s">
        <v>73</v>
      </c>
      <c r="K2695" t="s">
        <v>64</v>
      </c>
      <c r="L2695">
        <v>3</v>
      </c>
      <c r="M2695" s="12">
        <v>120</v>
      </c>
      <c r="N2695" s="12">
        <v>81.599999999999994</v>
      </c>
      <c r="O2695">
        <v>2</v>
      </c>
      <c r="P2695" s="12">
        <v>352.8</v>
      </c>
      <c r="Q2695" s="12">
        <v>244.79999999999998</v>
      </c>
      <c r="R2695" s="12">
        <v>108.00000000000003</v>
      </c>
      <c r="S2695" t="s">
        <v>1246</v>
      </c>
      <c r="T2695" t="s">
        <v>107</v>
      </c>
      <c r="U2695" t="s">
        <v>1207</v>
      </c>
    </row>
    <row r="2696" spans="1:21" x14ac:dyDescent="0.25">
      <c r="A2696" t="s">
        <v>4762</v>
      </c>
      <c r="B2696" s="8">
        <v>45726</v>
      </c>
      <c r="C2696" t="s">
        <v>2567</v>
      </c>
      <c r="D2696" t="s">
        <v>380</v>
      </c>
      <c r="E2696" t="s">
        <v>218</v>
      </c>
      <c r="F2696">
        <v>29</v>
      </c>
      <c r="G2696" t="s">
        <v>9</v>
      </c>
      <c r="H2696" t="s">
        <v>8</v>
      </c>
      <c r="I2696" t="s">
        <v>36</v>
      </c>
      <c r="J2696" t="s">
        <v>136</v>
      </c>
      <c r="K2696" t="s">
        <v>22</v>
      </c>
      <c r="L2696">
        <v>3</v>
      </c>
      <c r="M2696" s="12">
        <v>3590</v>
      </c>
      <c r="N2696" s="12">
        <v>2333.5</v>
      </c>
      <c r="O2696">
        <v>3</v>
      </c>
      <c r="P2696" s="12">
        <v>10446.9</v>
      </c>
      <c r="Q2696" s="12">
        <v>7000.5</v>
      </c>
      <c r="R2696" s="12">
        <v>3446.3999999999996</v>
      </c>
      <c r="S2696" t="s">
        <v>1246</v>
      </c>
      <c r="T2696" t="s">
        <v>109</v>
      </c>
      <c r="U2696" t="s">
        <v>1205</v>
      </c>
    </row>
    <row r="2697" spans="1:21" x14ac:dyDescent="0.25">
      <c r="A2697" t="s">
        <v>4763</v>
      </c>
      <c r="B2697" s="8">
        <v>45748</v>
      </c>
      <c r="C2697" t="s">
        <v>2375</v>
      </c>
      <c r="D2697" t="s">
        <v>923</v>
      </c>
      <c r="E2697" t="s">
        <v>198</v>
      </c>
      <c r="F2697">
        <v>39</v>
      </c>
      <c r="G2697" t="s">
        <v>9</v>
      </c>
      <c r="H2697" t="s">
        <v>8</v>
      </c>
      <c r="I2697" t="s">
        <v>42</v>
      </c>
      <c r="J2697" t="s">
        <v>44</v>
      </c>
      <c r="K2697" t="s">
        <v>43</v>
      </c>
      <c r="L2697">
        <v>2</v>
      </c>
      <c r="M2697" s="12">
        <v>8999</v>
      </c>
      <c r="N2697" s="12">
        <v>6479.28</v>
      </c>
      <c r="O2697">
        <v>5</v>
      </c>
      <c r="P2697" s="12">
        <v>17098.099999999999</v>
      </c>
      <c r="Q2697" s="12">
        <v>12958.56</v>
      </c>
      <c r="R2697" s="12">
        <v>4139.5399999999991</v>
      </c>
      <c r="S2697" t="s">
        <v>1249</v>
      </c>
      <c r="T2697" t="s">
        <v>109</v>
      </c>
      <c r="U2697" t="s">
        <v>1211</v>
      </c>
    </row>
    <row r="2698" spans="1:21" x14ac:dyDescent="0.25">
      <c r="A2698" t="s">
        <v>4764</v>
      </c>
      <c r="B2698" s="8">
        <v>45726</v>
      </c>
      <c r="C2698" t="s">
        <v>1918</v>
      </c>
      <c r="D2698" t="s">
        <v>522</v>
      </c>
      <c r="E2698" t="s">
        <v>198</v>
      </c>
      <c r="F2698">
        <v>55</v>
      </c>
      <c r="G2698" t="s">
        <v>16</v>
      </c>
      <c r="H2698" t="s">
        <v>15</v>
      </c>
      <c r="I2698" t="s">
        <v>28</v>
      </c>
      <c r="J2698" t="s">
        <v>35</v>
      </c>
      <c r="K2698" t="s">
        <v>22</v>
      </c>
      <c r="L2698">
        <v>4</v>
      </c>
      <c r="M2698" s="12">
        <v>16499</v>
      </c>
      <c r="N2698" s="12">
        <v>14519.12</v>
      </c>
      <c r="O2698">
        <v>4</v>
      </c>
      <c r="P2698" s="12">
        <v>63356.159999999996</v>
      </c>
      <c r="Q2698" s="12">
        <v>58076.480000000003</v>
      </c>
      <c r="R2698" s="12">
        <v>5279.679999999993</v>
      </c>
      <c r="S2698" t="s">
        <v>113</v>
      </c>
      <c r="T2698" t="s">
        <v>107</v>
      </c>
      <c r="U2698" t="s">
        <v>1211</v>
      </c>
    </row>
    <row r="2699" spans="1:21" x14ac:dyDescent="0.25">
      <c r="A2699" t="s">
        <v>4765</v>
      </c>
      <c r="B2699" s="8">
        <v>45884</v>
      </c>
      <c r="C2699" t="s">
        <v>2718</v>
      </c>
      <c r="D2699" t="s">
        <v>812</v>
      </c>
      <c r="E2699" t="s">
        <v>198</v>
      </c>
      <c r="F2699">
        <v>39</v>
      </c>
      <c r="G2699" t="s">
        <v>14</v>
      </c>
      <c r="H2699" t="s">
        <v>15</v>
      </c>
      <c r="I2699" t="s">
        <v>28</v>
      </c>
      <c r="J2699" t="s">
        <v>35</v>
      </c>
      <c r="K2699" t="s">
        <v>22</v>
      </c>
      <c r="L2699">
        <v>3</v>
      </c>
      <c r="M2699" s="12">
        <v>16499</v>
      </c>
      <c r="N2699" s="12">
        <v>14519.12</v>
      </c>
      <c r="O2699">
        <v>3</v>
      </c>
      <c r="P2699" s="12">
        <v>48012.09</v>
      </c>
      <c r="Q2699" s="12">
        <v>43557.36</v>
      </c>
      <c r="R2699" s="12">
        <v>4454.7299999999959</v>
      </c>
      <c r="S2699" t="s">
        <v>113</v>
      </c>
      <c r="T2699" t="s">
        <v>108</v>
      </c>
      <c r="U2699" t="s">
        <v>1203</v>
      </c>
    </row>
    <row r="2700" spans="1:21" x14ac:dyDescent="0.25">
      <c r="A2700" t="s">
        <v>4766</v>
      </c>
      <c r="B2700" s="8">
        <v>45775</v>
      </c>
      <c r="C2700" t="s">
        <v>4935</v>
      </c>
      <c r="D2700" t="s">
        <v>1182</v>
      </c>
      <c r="E2700" t="s">
        <v>218</v>
      </c>
      <c r="F2700">
        <v>24</v>
      </c>
      <c r="G2700" t="s">
        <v>4</v>
      </c>
      <c r="H2700" t="s">
        <v>3</v>
      </c>
      <c r="I2700" t="s">
        <v>45</v>
      </c>
      <c r="J2700" t="s">
        <v>46</v>
      </c>
      <c r="K2700" t="s">
        <v>43</v>
      </c>
      <c r="L2700">
        <v>3</v>
      </c>
      <c r="M2700" s="12">
        <v>11999</v>
      </c>
      <c r="N2700" s="12">
        <v>8999.25</v>
      </c>
      <c r="O2700">
        <v>8</v>
      </c>
      <c r="P2700" s="12">
        <v>33117.24</v>
      </c>
      <c r="Q2700" s="12">
        <v>26997.75</v>
      </c>
      <c r="R2700" s="12">
        <v>6119.489999999998</v>
      </c>
      <c r="S2700" t="s">
        <v>113</v>
      </c>
      <c r="T2700" t="s">
        <v>107</v>
      </c>
      <c r="U2700" t="s">
        <v>1196</v>
      </c>
    </row>
    <row r="2701" spans="1:21" x14ac:dyDescent="0.25">
      <c r="A2701" t="s">
        <v>4767</v>
      </c>
      <c r="B2701" s="8">
        <v>45768</v>
      </c>
      <c r="C2701" t="s">
        <v>2727</v>
      </c>
      <c r="D2701" t="s">
        <v>813</v>
      </c>
      <c r="E2701" t="s">
        <v>198</v>
      </c>
      <c r="F2701">
        <v>48</v>
      </c>
      <c r="G2701" t="s">
        <v>16</v>
      </c>
      <c r="H2701" t="s">
        <v>15</v>
      </c>
      <c r="I2701" t="s">
        <v>32</v>
      </c>
      <c r="J2701" t="s">
        <v>29</v>
      </c>
      <c r="K2701" t="s">
        <v>22</v>
      </c>
      <c r="L2701">
        <v>2</v>
      </c>
      <c r="M2701" s="12">
        <v>9500</v>
      </c>
      <c r="N2701" s="12">
        <v>6650</v>
      </c>
      <c r="O2701">
        <v>4</v>
      </c>
      <c r="P2701" s="12">
        <v>18240</v>
      </c>
      <c r="Q2701" s="12">
        <v>13300</v>
      </c>
      <c r="R2701" s="12">
        <v>4940</v>
      </c>
      <c r="S2701" t="s">
        <v>1246</v>
      </c>
      <c r="T2701" t="s">
        <v>107</v>
      </c>
      <c r="U2701" t="s">
        <v>1194</v>
      </c>
    </row>
    <row r="2702" spans="1:21" x14ac:dyDescent="0.25">
      <c r="A2702" t="s">
        <v>4768</v>
      </c>
      <c r="B2702" s="8">
        <v>45697</v>
      </c>
      <c r="C2702" t="s">
        <v>1932</v>
      </c>
      <c r="D2702" t="s">
        <v>794</v>
      </c>
      <c r="E2702" t="s">
        <v>218</v>
      </c>
      <c r="F2702">
        <v>64</v>
      </c>
      <c r="G2702" t="s">
        <v>14</v>
      </c>
      <c r="H2702" t="s">
        <v>15</v>
      </c>
      <c r="I2702" t="s">
        <v>36</v>
      </c>
      <c r="J2702" t="s">
        <v>136</v>
      </c>
      <c r="K2702" t="s">
        <v>22</v>
      </c>
      <c r="L2702">
        <v>3</v>
      </c>
      <c r="M2702" s="12">
        <v>3590</v>
      </c>
      <c r="N2702" s="12">
        <v>2333.5</v>
      </c>
      <c r="O2702">
        <v>6</v>
      </c>
      <c r="P2702" s="12">
        <v>10123.799999999999</v>
      </c>
      <c r="Q2702" s="12">
        <v>7000.5</v>
      </c>
      <c r="R2702" s="12">
        <v>3123.2999999999993</v>
      </c>
      <c r="S2702" t="s">
        <v>1246</v>
      </c>
      <c r="T2702" t="s">
        <v>108</v>
      </c>
      <c r="U2702" t="s">
        <v>1194</v>
      </c>
    </row>
    <row r="2703" spans="1:21" x14ac:dyDescent="0.25">
      <c r="A2703" t="s">
        <v>4769</v>
      </c>
      <c r="B2703" s="8">
        <v>45750</v>
      </c>
      <c r="C2703" t="s">
        <v>2991</v>
      </c>
      <c r="D2703" t="s">
        <v>784</v>
      </c>
      <c r="E2703" t="s">
        <v>218</v>
      </c>
      <c r="F2703">
        <v>43</v>
      </c>
      <c r="G2703" t="s">
        <v>17</v>
      </c>
      <c r="H2703" t="s">
        <v>15</v>
      </c>
      <c r="I2703" t="s">
        <v>40</v>
      </c>
      <c r="J2703" t="s">
        <v>39</v>
      </c>
      <c r="K2703" t="s">
        <v>22</v>
      </c>
      <c r="L2703">
        <v>5</v>
      </c>
      <c r="M2703" s="12">
        <v>1100</v>
      </c>
      <c r="N2703" s="12">
        <v>715</v>
      </c>
      <c r="O2703">
        <v>3</v>
      </c>
      <c r="P2703" s="12">
        <v>5335</v>
      </c>
      <c r="Q2703" s="12">
        <v>3575</v>
      </c>
      <c r="R2703" s="12">
        <v>1760</v>
      </c>
      <c r="S2703" t="s">
        <v>113</v>
      </c>
      <c r="T2703" t="s">
        <v>107</v>
      </c>
      <c r="U2703" t="s">
        <v>1203</v>
      </c>
    </row>
    <row r="2704" spans="1:21" x14ac:dyDescent="0.25">
      <c r="A2704" t="s">
        <v>4770</v>
      </c>
      <c r="B2704" s="8">
        <v>45946</v>
      </c>
      <c r="C2704" t="s">
        <v>1522</v>
      </c>
      <c r="D2704" t="s">
        <v>964</v>
      </c>
      <c r="E2704" t="s">
        <v>198</v>
      </c>
      <c r="F2704">
        <v>40</v>
      </c>
      <c r="G2704" t="s">
        <v>11</v>
      </c>
      <c r="H2704" t="s">
        <v>12</v>
      </c>
      <c r="I2704" t="s">
        <v>57</v>
      </c>
      <c r="J2704" t="s">
        <v>67</v>
      </c>
      <c r="K2704" t="s">
        <v>64</v>
      </c>
      <c r="L2704">
        <v>3</v>
      </c>
      <c r="M2704" s="12">
        <v>150</v>
      </c>
      <c r="N2704" s="12">
        <v>97.5</v>
      </c>
      <c r="O2704">
        <v>3</v>
      </c>
      <c r="P2704" s="12">
        <v>436.5</v>
      </c>
      <c r="Q2704" s="12">
        <v>292.5</v>
      </c>
      <c r="R2704" s="12">
        <v>144</v>
      </c>
      <c r="S2704" t="s">
        <v>1246</v>
      </c>
      <c r="T2704" t="s">
        <v>109</v>
      </c>
      <c r="U2704" t="s">
        <v>1203</v>
      </c>
    </row>
    <row r="2705" spans="1:21" x14ac:dyDescent="0.25">
      <c r="A2705" t="s">
        <v>4771</v>
      </c>
      <c r="B2705" s="8">
        <v>45895</v>
      </c>
      <c r="C2705" t="s">
        <v>2873</v>
      </c>
      <c r="D2705" t="s">
        <v>687</v>
      </c>
      <c r="E2705" t="s">
        <v>218</v>
      </c>
      <c r="F2705">
        <v>45</v>
      </c>
      <c r="G2705" t="s">
        <v>290</v>
      </c>
      <c r="H2705" t="s">
        <v>3</v>
      </c>
      <c r="I2705" t="s">
        <v>21</v>
      </c>
      <c r="J2705" t="s">
        <v>23</v>
      </c>
      <c r="K2705" t="s">
        <v>22</v>
      </c>
      <c r="L2705">
        <v>2</v>
      </c>
      <c r="M2705" s="12">
        <v>54999</v>
      </c>
      <c r="N2705" s="12">
        <v>45099.18</v>
      </c>
      <c r="O2705">
        <v>7</v>
      </c>
      <c r="P2705" s="12">
        <v>102298.14</v>
      </c>
      <c r="Q2705" s="12">
        <v>90198.36</v>
      </c>
      <c r="R2705" s="12">
        <v>12099.779999999999</v>
      </c>
      <c r="S2705" t="s">
        <v>1246</v>
      </c>
      <c r="T2705" t="s">
        <v>107</v>
      </c>
      <c r="U2705" t="s">
        <v>1194</v>
      </c>
    </row>
    <row r="2706" spans="1:21" x14ac:dyDescent="0.25">
      <c r="A2706" t="s">
        <v>4772</v>
      </c>
      <c r="B2706" s="8">
        <v>45678</v>
      </c>
      <c r="C2706" t="s">
        <v>2622</v>
      </c>
      <c r="D2706" t="s">
        <v>558</v>
      </c>
      <c r="E2706" t="s">
        <v>198</v>
      </c>
      <c r="F2706">
        <v>22</v>
      </c>
      <c r="G2706" t="s">
        <v>289</v>
      </c>
      <c r="H2706" t="s">
        <v>3</v>
      </c>
      <c r="I2706" t="s">
        <v>51</v>
      </c>
      <c r="J2706" t="s">
        <v>54</v>
      </c>
      <c r="K2706" t="s">
        <v>43</v>
      </c>
      <c r="L2706">
        <v>4</v>
      </c>
      <c r="M2706" s="12">
        <v>27499</v>
      </c>
      <c r="N2706" s="12">
        <v>21724.210000000003</v>
      </c>
      <c r="O2706">
        <v>2</v>
      </c>
      <c r="P2706" s="12">
        <v>107796.08</v>
      </c>
      <c r="Q2706" s="12">
        <v>86896.840000000011</v>
      </c>
      <c r="R2706" s="12">
        <v>20899.239999999991</v>
      </c>
      <c r="S2706" t="s">
        <v>1246</v>
      </c>
      <c r="T2706" t="s">
        <v>111</v>
      </c>
      <c r="U2706" t="s">
        <v>1207</v>
      </c>
    </row>
    <row r="2707" spans="1:21" x14ac:dyDescent="0.25">
      <c r="A2707" t="s">
        <v>4773</v>
      </c>
      <c r="B2707" s="8">
        <v>45834</v>
      </c>
      <c r="C2707" t="s">
        <v>3561</v>
      </c>
      <c r="D2707" t="s">
        <v>721</v>
      </c>
      <c r="E2707" t="s">
        <v>198</v>
      </c>
      <c r="F2707">
        <v>43</v>
      </c>
      <c r="G2707" t="s">
        <v>7</v>
      </c>
      <c r="H2707" t="s">
        <v>8</v>
      </c>
      <c r="I2707" t="s">
        <v>51</v>
      </c>
      <c r="J2707" t="s">
        <v>54</v>
      </c>
      <c r="K2707" t="s">
        <v>43</v>
      </c>
      <c r="L2707">
        <v>3</v>
      </c>
      <c r="M2707" s="12">
        <v>27499</v>
      </c>
      <c r="N2707" s="12">
        <v>21724.210000000003</v>
      </c>
      <c r="O2707">
        <v>5</v>
      </c>
      <c r="P2707" s="12">
        <v>78372.149999999994</v>
      </c>
      <c r="Q2707" s="12">
        <v>65172.630000000005</v>
      </c>
      <c r="R2707" s="12">
        <v>13199.51999999999</v>
      </c>
      <c r="S2707" t="s">
        <v>113</v>
      </c>
      <c r="T2707" t="s">
        <v>108</v>
      </c>
      <c r="U2707" t="s">
        <v>1209</v>
      </c>
    </row>
    <row r="2708" spans="1:21" x14ac:dyDescent="0.25">
      <c r="A2708" t="s">
        <v>4774</v>
      </c>
      <c r="B2708" s="8">
        <v>45880</v>
      </c>
      <c r="C2708" t="s">
        <v>3143</v>
      </c>
      <c r="D2708" t="s">
        <v>776</v>
      </c>
      <c r="E2708" t="s">
        <v>198</v>
      </c>
      <c r="F2708">
        <v>21</v>
      </c>
      <c r="G2708" t="s">
        <v>4</v>
      </c>
      <c r="H2708" t="s">
        <v>3</v>
      </c>
      <c r="I2708" t="s">
        <v>55</v>
      </c>
      <c r="J2708" t="s">
        <v>65</v>
      </c>
      <c r="K2708" t="s">
        <v>64</v>
      </c>
      <c r="L2708">
        <v>4</v>
      </c>
      <c r="M2708" s="12">
        <v>80</v>
      </c>
      <c r="N2708" s="12">
        <v>56</v>
      </c>
      <c r="O2708">
        <v>3</v>
      </c>
      <c r="P2708" s="12">
        <v>310.39999999999998</v>
      </c>
      <c r="Q2708" s="12">
        <v>224</v>
      </c>
      <c r="R2708" s="12">
        <v>86.399999999999977</v>
      </c>
      <c r="S2708" t="s">
        <v>1246</v>
      </c>
      <c r="T2708" t="s">
        <v>108</v>
      </c>
      <c r="U2708" t="s">
        <v>1198</v>
      </c>
    </row>
    <row r="2709" spans="1:21" x14ac:dyDescent="0.25">
      <c r="A2709" t="s">
        <v>4775</v>
      </c>
      <c r="B2709" s="8">
        <v>45732</v>
      </c>
      <c r="C2709" t="s">
        <v>2748</v>
      </c>
      <c r="D2709" t="s">
        <v>834</v>
      </c>
      <c r="E2709" t="s">
        <v>198</v>
      </c>
      <c r="F2709">
        <v>65</v>
      </c>
      <c r="G2709" t="s">
        <v>4</v>
      </c>
      <c r="H2709" t="s">
        <v>3</v>
      </c>
      <c r="I2709" t="s">
        <v>51</v>
      </c>
      <c r="J2709" t="s">
        <v>54</v>
      </c>
      <c r="K2709" t="s">
        <v>43</v>
      </c>
      <c r="L2709">
        <v>2</v>
      </c>
      <c r="M2709" s="12">
        <v>27499</v>
      </c>
      <c r="N2709" s="12">
        <v>21724.210000000003</v>
      </c>
      <c r="O2709">
        <v>7</v>
      </c>
      <c r="P2709" s="12">
        <v>51148.14</v>
      </c>
      <c r="Q2709" s="12">
        <v>43448.420000000006</v>
      </c>
      <c r="R2709" s="12">
        <v>7699.7199999999939</v>
      </c>
      <c r="S2709" t="s">
        <v>1246</v>
      </c>
      <c r="T2709" t="s">
        <v>109</v>
      </c>
      <c r="U2709" t="s">
        <v>1201</v>
      </c>
    </row>
    <row r="2710" spans="1:21" x14ac:dyDescent="0.25">
      <c r="A2710" t="s">
        <v>4776</v>
      </c>
      <c r="B2710" s="8">
        <v>45941</v>
      </c>
      <c r="C2710" t="s">
        <v>5103</v>
      </c>
      <c r="D2710" t="s">
        <v>610</v>
      </c>
      <c r="E2710" t="s">
        <v>198</v>
      </c>
      <c r="F2710">
        <v>39</v>
      </c>
      <c r="G2710" t="s">
        <v>5</v>
      </c>
      <c r="H2710" t="s">
        <v>3</v>
      </c>
      <c r="I2710" t="s">
        <v>51</v>
      </c>
      <c r="J2710" t="s">
        <v>54</v>
      </c>
      <c r="K2710" t="s">
        <v>43</v>
      </c>
      <c r="L2710">
        <v>4</v>
      </c>
      <c r="M2710" s="12">
        <v>27499</v>
      </c>
      <c r="N2710" s="12">
        <v>21724.210000000003</v>
      </c>
      <c r="O2710">
        <v>8</v>
      </c>
      <c r="P2710" s="12">
        <v>101196.32</v>
      </c>
      <c r="Q2710" s="12">
        <v>86896.840000000011</v>
      </c>
      <c r="R2710" s="12">
        <v>14299.479999999996</v>
      </c>
      <c r="S2710" t="s">
        <v>113</v>
      </c>
      <c r="T2710" t="s">
        <v>110</v>
      </c>
      <c r="U2710" t="s">
        <v>1198</v>
      </c>
    </row>
    <row r="2711" spans="1:21" x14ac:dyDescent="0.25">
      <c r="A2711" t="s">
        <v>4777</v>
      </c>
      <c r="B2711" s="8">
        <v>45995</v>
      </c>
      <c r="C2711" t="s">
        <v>2042</v>
      </c>
      <c r="D2711" t="s">
        <v>509</v>
      </c>
      <c r="E2711" t="s">
        <v>198</v>
      </c>
      <c r="F2711">
        <v>32</v>
      </c>
      <c r="G2711" t="s">
        <v>7</v>
      </c>
      <c r="H2711" t="s">
        <v>8</v>
      </c>
      <c r="I2711" t="s">
        <v>40</v>
      </c>
      <c r="J2711" t="s">
        <v>39</v>
      </c>
      <c r="K2711" t="s">
        <v>22</v>
      </c>
      <c r="L2711">
        <v>4</v>
      </c>
      <c r="M2711" s="12">
        <v>1100</v>
      </c>
      <c r="N2711" s="12">
        <v>715</v>
      </c>
      <c r="O2711">
        <v>15</v>
      </c>
      <c r="P2711" s="12">
        <v>3740</v>
      </c>
      <c r="Q2711" s="12">
        <v>2860</v>
      </c>
      <c r="R2711" s="12">
        <v>880</v>
      </c>
      <c r="S2711" t="s">
        <v>1246</v>
      </c>
      <c r="T2711" t="s">
        <v>107</v>
      </c>
      <c r="U2711" t="s">
        <v>1207</v>
      </c>
    </row>
    <row r="2712" spans="1:21" x14ac:dyDescent="0.25">
      <c r="A2712" t="s">
        <v>4778</v>
      </c>
      <c r="B2712" s="8">
        <v>45961</v>
      </c>
      <c r="C2712" t="s">
        <v>4065</v>
      </c>
      <c r="D2712" t="s">
        <v>504</v>
      </c>
      <c r="E2712" t="s">
        <v>218</v>
      </c>
      <c r="F2712">
        <v>37</v>
      </c>
      <c r="G2712" t="s">
        <v>11</v>
      </c>
      <c r="H2712" t="s">
        <v>12</v>
      </c>
      <c r="I2712" t="s">
        <v>51</v>
      </c>
      <c r="J2712" t="s">
        <v>54</v>
      </c>
      <c r="K2712" t="s">
        <v>43</v>
      </c>
      <c r="L2712">
        <v>3</v>
      </c>
      <c r="M2712" s="12">
        <v>27499</v>
      </c>
      <c r="N2712" s="12">
        <v>21724.210000000003</v>
      </c>
      <c r="O2712">
        <v>5</v>
      </c>
      <c r="P2712" s="12">
        <v>78372.149999999994</v>
      </c>
      <c r="Q2712" s="12">
        <v>65172.630000000005</v>
      </c>
      <c r="R2712" s="12">
        <v>13199.51999999999</v>
      </c>
      <c r="S2712" t="s">
        <v>113</v>
      </c>
      <c r="T2712" t="s">
        <v>107</v>
      </c>
      <c r="U2712" t="s">
        <v>1194</v>
      </c>
    </row>
    <row r="2713" spans="1:21" x14ac:dyDescent="0.25">
      <c r="A2713" t="s">
        <v>4779</v>
      </c>
      <c r="B2713" s="8">
        <v>45891</v>
      </c>
      <c r="C2713" t="s">
        <v>1646</v>
      </c>
      <c r="D2713" t="s">
        <v>1078</v>
      </c>
      <c r="E2713" t="s">
        <v>218</v>
      </c>
      <c r="F2713">
        <v>58</v>
      </c>
      <c r="G2713" t="s">
        <v>11</v>
      </c>
      <c r="H2713" t="s">
        <v>12</v>
      </c>
      <c r="I2713" t="s">
        <v>45</v>
      </c>
      <c r="J2713" t="s">
        <v>46</v>
      </c>
      <c r="K2713" t="s">
        <v>43</v>
      </c>
      <c r="L2713">
        <v>4</v>
      </c>
      <c r="M2713" s="12">
        <v>11999</v>
      </c>
      <c r="N2713" s="12">
        <v>8999.25</v>
      </c>
      <c r="O2713">
        <v>7</v>
      </c>
      <c r="P2713" s="12">
        <v>44636.28</v>
      </c>
      <c r="Q2713" s="12">
        <v>35997</v>
      </c>
      <c r="R2713" s="12">
        <v>8639.2799999999988</v>
      </c>
      <c r="S2713" t="s">
        <v>1246</v>
      </c>
      <c r="T2713" t="s">
        <v>107</v>
      </c>
      <c r="U2713" t="s">
        <v>1203</v>
      </c>
    </row>
    <row r="2714" spans="1:21" x14ac:dyDescent="0.25">
      <c r="A2714" t="s">
        <v>4781</v>
      </c>
      <c r="B2714" s="8">
        <v>45682</v>
      </c>
      <c r="C2714" t="s">
        <v>2403</v>
      </c>
      <c r="D2714" t="s">
        <v>690</v>
      </c>
      <c r="E2714" t="s">
        <v>218</v>
      </c>
      <c r="F2714">
        <v>39</v>
      </c>
      <c r="G2714" t="s">
        <v>14</v>
      </c>
      <c r="H2714" t="s">
        <v>15</v>
      </c>
      <c r="I2714" t="s">
        <v>45</v>
      </c>
      <c r="J2714" t="s">
        <v>46</v>
      </c>
      <c r="K2714" t="s">
        <v>43</v>
      </c>
      <c r="L2714">
        <v>3</v>
      </c>
      <c r="M2714" s="12">
        <v>11999</v>
      </c>
      <c r="N2714" s="12">
        <v>8999.25</v>
      </c>
      <c r="O2714">
        <v>5</v>
      </c>
      <c r="P2714" s="12">
        <v>34197.15</v>
      </c>
      <c r="Q2714" s="12">
        <v>26997.75</v>
      </c>
      <c r="R2714" s="12">
        <v>7199.4000000000015</v>
      </c>
      <c r="S2714" t="s">
        <v>1246</v>
      </c>
      <c r="T2714" t="s">
        <v>110</v>
      </c>
      <c r="U2714" t="s">
        <v>1203</v>
      </c>
    </row>
    <row r="2715" spans="1:21" x14ac:dyDescent="0.25">
      <c r="A2715" t="s">
        <v>4782</v>
      </c>
      <c r="B2715" s="8">
        <v>45680</v>
      </c>
      <c r="C2715" t="s">
        <v>4738</v>
      </c>
      <c r="D2715" t="s">
        <v>855</v>
      </c>
      <c r="E2715" t="s">
        <v>218</v>
      </c>
      <c r="F2715">
        <v>62</v>
      </c>
      <c r="G2715" t="s">
        <v>9</v>
      </c>
      <c r="H2715" t="s">
        <v>8</v>
      </c>
      <c r="I2715" t="s">
        <v>57</v>
      </c>
      <c r="J2715" t="s">
        <v>67</v>
      </c>
      <c r="K2715" t="s">
        <v>64</v>
      </c>
      <c r="L2715">
        <v>3</v>
      </c>
      <c r="M2715" s="12">
        <v>150</v>
      </c>
      <c r="N2715" s="12">
        <v>97.5</v>
      </c>
      <c r="O2715">
        <v>11</v>
      </c>
      <c r="P2715" s="12">
        <v>400.5</v>
      </c>
      <c r="Q2715" s="12">
        <v>292.5</v>
      </c>
      <c r="R2715" s="12">
        <v>108</v>
      </c>
      <c r="S2715" t="s">
        <v>1246</v>
      </c>
      <c r="T2715" t="s">
        <v>109</v>
      </c>
      <c r="U2715" t="s">
        <v>1211</v>
      </c>
    </row>
    <row r="2716" spans="1:21" x14ac:dyDescent="0.25">
      <c r="A2716" t="s">
        <v>4783</v>
      </c>
      <c r="B2716" s="8">
        <v>45943</v>
      </c>
      <c r="C2716" t="s">
        <v>1734</v>
      </c>
      <c r="D2716" t="s">
        <v>714</v>
      </c>
      <c r="E2716" t="s">
        <v>198</v>
      </c>
      <c r="F2716">
        <v>51</v>
      </c>
      <c r="G2716" t="s">
        <v>11</v>
      </c>
      <c r="H2716" t="s">
        <v>12</v>
      </c>
      <c r="I2716" t="s">
        <v>45</v>
      </c>
      <c r="J2716" t="s">
        <v>46</v>
      </c>
      <c r="K2716" t="s">
        <v>43</v>
      </c>
      <c r="L2716">
        <v>1</v>
      </c>
      <c r="M2716" s="12">
        <v>11999</v>
      </c>
      <c r="N2716" s="12">
        <v>8999.25</v>
      </c>
      <c r="O2716">
        <v>5</v>
      </c>
      <c r="P2716" s="12">
        <v>11399.05</v>
      </c>
      <c r="Q2716" s="12">
        <v>8999.25</v>
      </c>
      <c r="R2716" s="12">
        <v>2399.7999999999993</v>
      </c>
      <c r="S2716" t="s">
        <v>1246</v>
      </c>
      <c r="T2716" t="s">
        <v>109</v>
      </c>
      <c r="U2716" t="s">
        <v>1194</v>
      </c>
    </row>
    <row r="2717" spans="1:21" x14ac:dyDescent="0.25">
      <c r="A2717" t="s">
        <v>4784</v>
      </c>
      <c r="B2717" s="8">
        <v>45867</v>
      </c>
      <c r="C2717" t="s">
        <v>5093</v>
      </c>
      <c r="D2717" t="s">
        <v>638</v>
      </c>
      <c r="E2717" t="s">
        <v>218</v>
      </c>
      <c r="F2717">
        <v>46</v>
      </c>
      <c r="G2717" t="s">
        <v>289</v>
      </c>
      <c r="H2717" t="s">
        <v>3</v>
      </c>
      <c r="I2717" t="s">
        <v>30</v>
      </c>
      <c r="J2717" t="s">
        <v>41</v>
      </c>
      <c r="K2717" t="s">
        <v>22</v>
      </c>
      <c r="L2717">
        <v>3</v>
      </c>
      <c r="M2717" s="12">
        <v>13749</v>
      </c>
      <c r="N2717" s="12">
        <v>10999.2</v>
      </c>
      <c r="O2717">
        <v>3</v>
      </c>
      <c r="P2717" s="12">
        <v>40009.589999999997</v>
      </c>
      <c r="Q2717" s="12">
        <v>32997.600000000006</v>
      </c>
      <c r="R2717" s="12">
        <v>7011.9899999999907</v>
      </c>
      <c r="S2717" t="s">
        <v>1246</v>
      </c>
      <c r="T2717" t="s">
        <v>111</v>
      </c>
      <c r="U2717" t="s">
        <v>1196</v>
      </c>
    </row>
    <row r="2718" spans="1:21" x14ac:dyDescent="0.25">
      <c r="A2718" t="s">
        <v>4785</v>
      </c>
      <c r="B2718" s="8">
        <v>45804</v>
      </c>
      <c r="C2718" t="s">
        <v>2924</v>
      </c>
      <c r="D2718" t="s">
        <v>637</v>
      </c>
      <c r="E2718" t="s">
        <v>218</v>
      </c>
      <c r="F2718">
        <v>55</v>
      </c>
      <c r="G2718" t="s">
        <v>10</v>
      </c>
      <c r="H2718" t="s">
        <v>8</v>
      </c>
      <c r="I2718" t="s">
        <v>59</v>
      </c>
      <c r="J2718" t="s">
        <v>73</v>
      </c>
      <c r="K2718" t="s">
        <v>64</v>
      </c>
      <c r="L2718">
        <v>3</v>
      </c>
      <c r="M2718" s="12">
        <v>120</v>
      </c>
      <c r="N2718" s="12">
        <v>81.599999999999994</v>
      </c>
      <c r="O2718">
        <v>11</v>
      </c>
      <c r="P2718" s="12">
        <v>320.39999999999998</v>
      </c>
      <c r="Q2718" s="12">
        <v>244.79999999999998</v>
      </c>
      <c r="R2718" s="12">
        <v>75.599999999999994</v>
      </c>
      <c r="S2718" t="s">
        <v>1246</v>
      </c>
      <c r="T2718" t="s">
        <v>107</v>
      </c>
      <c r="U2718" t="s">
        <v>1203</v>
      </c>
    </row>
    <row r="2719" spans="1:21" x14ac:dyDescent="0.25">
      <c r="A2719" t="s">
        <v>4786</v>
      </c>
      <c r="B2719" s="8">
        <v>46019</v>
      </c>
      <c r="C2719" t="s">
        <v>3132</v>
      </c>
      <c r="D2719" t="s">
        <v>1051</v>
      </c>
      <c r="E2719" t="s">
        <v>218</v>
      </c>
      <c r="F2719">
        <v>50</v>
      </c>
      <c r="G2719" t="s">
        <v>11</v>
      </c>
      <c r="H2719" t="s">
        <v>12</v>
      </c>
      <c r="I2719" t="s">
        <v>24</v>
      </c>
      <c r="J2719" t="s">
        <v>25</v>
      </c>
      <c r="K2719" t="s">
        <v>22</v>
      </c>
      <c r="L2719">
        <v>1</v>
      </c>
      <c r="M2719" s="12">
        <v>35800</v>
      </c>
      <c r="N2719" s="12">
        <v>28640</v>
      </c>
      <c r="O2719">
        <v>16</v>
      </c>
      <c r="P2719" s="12">
        <v>30072</v>
      </c>
      <c r="Q2719" s="12">
        <v>28640</v>
      </c>
      <c r="R2719" s="12">
        <v>1432</v>
      </c>
      <c r="S2719" t="s">
        <v>113</v>
      </c>
      <c r="T2719" t="s">
        <v>110</v>
      </c>
      <c r="U2719" t="s">
        <v>1203</v>
      </c>
    </row>
    <row r="2720" spans="1:21" x14ac:dyDescent="0.25">
      <c r="A2720" t="s">
        <v>4787</v>
      </c>
      <c r="B2720" s="8">
        <v>45801</v>
      </c>
      <c r="C2720" t="s">
        <v>3971</v>
      </c>
      <c r="D2720" t="s">
        <v>903</v>
      </c>
      <c r="E2720" t="s">
        <v>218</v>
      </c>
      <c r="F2720">
        <v>56</v>
      </c>
      <c r="G2720" t="s">
        <v>4</v>
      </c>
      <c r="H2720" t="s">
        <v>3</v>
      </c>
      <c r="I2720" t="s">
        <v>30</v>
      </c>
      <c r="J2720" t="s">
        <v>41</v>
      </c>
      <c r="K2720" t="s">
        <v>22</v>
      </c>
      <c r="L2720">
        <v>5</v>
      </c>
      <c r="M2720" s="12">
        <v>13749</v>
      </c>
      <c r="N2720" s="12">
        <v>10999.2</v>
      </c>
      <c r="O2720">
        <v>7</v>
      </c>
      <c r="P2720" s="12">
        <v>63932.85</v>
      </c>
      <c r="Q2720" s="12">
        <v>54996</v>
      </c>
      <c r="R2720" s="12">
        <v>8936.8499999999985</v>
      </c>
      <c r="S2720" t="s">
        <v>1246</v>
      </c>
      <c r="T2720" t="s">
        <v>108</v>
      </c>
      <c r="U2720" t="s">
        <v>1207</v>
      </c>
    </row>
    <row r="2721" spans="1:21" x14ac:dyDescent="0.25">
      <c r="A2721" t="s">
        <v>4789</v>
      </c>
      <c r="B2721" s="8">
        <v>45849</v>
      </c>
      <c r="C2721" t="s">
        <v>2600</v>
      </c>
      <c r="D2721" t="s">
        <v>452</v>
      </c>
      <c r="E2721" t="s">
        <v>198</v>
      </c>
      <c r="F2721">
        <v>32</v>
      </c>
      <c r="G2721" t="s">
        <v>7</v>
      </c>
      <c r="H2721" t="s">
        <v>8</v>
      </c>
      <c r="I2721" t="s">
        <v>21</v>
      </c>
      <c r="J2721" t="s">
        <v>23</v>
      </c>
      <c r="K2721" t="s">
        <v>22</v>
      </c>
      <c r="L2721">
        <v>5</v>
      </c>
      <c r="M2721" s="12">
        <v>54999</v>
      </c>
      <c r="N2721" s="12">
        <v>45099.18</v>
      </c>
      <c r="O2721">
        <v>4</v>
      </c>
      <c r="P2721" s="12">
        <v>263995.2</v>
      </c>
      <c r="Q2721" s="12">
        <v>225495.9</v>
      </c>
      <c r="R2721" s="12">
        <v>38499.300000000017</v>
      </c>
      <c r="S2721" t="s">
        <v>113</v>
      </c>
      <c r="T2721" t="s">
        <v>109</v>
      </c>
      <c r="U2721" t="s">
        <v>1196</v>
      </c>
    </row>
    <row r="2722" spans="1:21" x14ac:dyDescent="0.25">
      <c r="A2722" t="s">
        <v>4790</v>
      </c>
      <c r="B2722" s="8">
        <v>45694</v>
      </c>
      <c r="C2722" t="s">
        <v>1906</v>
      </c>
      <c r="D2722" t="s">
        <v>629</v>
      </c>
      <c r="E2722" t="s">
        <v>218</v>
      </c>
      <c r="F2722">
        <v>53</v>
      </c>
      <c r="G2722" t="s">
        <v>290</v>
      </c>
      <c r="H2722" t="s">
        <v>3</v>
      </c>
      <c r="I2722" t="s">
        <v>36</v>
      </c>
      <c r="J2722" t="s">
        <v>136</v>
      </c>
      <c r="K2722" t="s">
        <v>22</v>
      </c>
      <c r="L2722">
        <v>4</v>
      </c>
      <c r="M2722" s="12">
        <v>3590</v>
      </c>
      <c r="N2722" s="12">
        <v>2333.5</v>
      </c>
      <c r="O2722">
        <v>7</v>
      </c>
      <c r="P2722" s="12">
        <v>13354.8</v>
      </c>
      <c r="Q2722" s="12">
        <v>9334</v>
      </c>
      <c r="R2722" s="12">
        <v>4020.7999999999993</v>
      </c>
      <c r="S2722" t="s">
        <v>1249</v>
      </c>
      <c r="T2722" t="s">
        <v>110</v>
      </c>
      <c r="U2722" t="s">
        <v>1211</v>
      </c>
    </row>
    <row r="2723" spans="1:21" x14ac:dyDescent="0.25">
      <c r="A2723" t="s">
        <v>4791</v>
      </c>
      <c r="B2723" s="8">
        <v>45799</v>
      </c>
      <c r="C2723" t="s">
        <v>4260</v>
      </c>
      <c r="D2723" t="s">
        <v>620</v>
      </c>
      <c r="E2723" t="s">
        <v>218</v>
      </c>
      <c r="F2723">
        <v>62</v>
      </c>
      <c r="G2723" t="s">
        <v>290</v>
      </c>
      <c r="H2723" t="s">
        <v>3</v>
      </c>
      <c r="I2723" t="s">
        <v>28</v>
      </c>
      <c r="J2723" t="s">
        <v>35</v>
      </c>
      <c r="K2723" t="s">
        <v>22</v>
      </c>
      <c r="L2723">
        <v>3</v>
      </c>
      <c r="M2723" s="12">
        <v>16499</v>
      </c>
      <c r="N2723" s="12">
        <v>14519.12</v>
      </c>
      <c r="O2723">
        <v>6</v>
      </c>
      <c r="P2723" s="12">
        <v>46527.18</v>
      </c>
      <c r="Q2723" s="12">
        <v>43557.36</v>
      </c>
      <c r="R2723" s="12">
        <v>2969.8199999999997</v>
      </c>
      <c r="S2723" t="s">
        <v>113</v>
      </c>
      <c r="T2723" t="s">
        <v>107</v>
      </c>
      <c r="U2723" t="s">
        <v>1205</v>
      </c>
    </row>
    <row r="2724" spans="1:21" x14ac:dyDescent="0.25">
      <c r="A2724" t="s">
        <v>4792</v>
      </c>
      <c r="B2724" s="8">
        <v>45942</v>
      </c>
      <c r="C2724" t="s">
        <v>2630</v>
      </c>
      <c r="D2724" t="s">
        <v>437</v>
      </c>
      <c r="E2724" t="s">
        <v>198</v>
      </c>
      <c r="F2724">
        <v>36</v>
      </c>
      <c r="G2724" t="s">
        <v>16</v>
      </c>
      <c r="H2724" t="s">
        <v>15</v>
      </c>
      <c r="I2724" t="s">
        <v>24</v>
      </c>
      <c r="J2724" t="s">
        <v>25</v>
      </c>
      <c r="K2724" t="s">
        <v>22</v>
      </c>
      <c r="L2724">
        <v>3</v>
      </c>
      <c r="M2724" s="12">
        <v>35800</v>
      </c>
      <c r="N2724" s="12">
        <v>28640</v>
      </c>
      <c r="O2724">
        <v>3</v>
      </c>
      <c r="P2724" s="12">
        <v>104178</v>
      </c>
      <c r="Q2724" s="12">
        <v>85920</v>
      </c>
      <c r="R2724" s="12">
        <v>18258</v>
      </c>
      <c r="S2724" t="s">
        <v>1249</v>
      </c>
      <c r="T2724" t="s">
        <v>109</v>
      </c>
      <c r="U2724" t="s">
        <v>1205</v>
      </c>
    </row>
    <row r="2725" spans="1:21" x14ac:dyDescent="0.25">
      <c r="A2725" t="s">
        <v>4793</v>
      </c>
      <c r="B2725" s="8">
        <v>45846</v>
      </c>
      <c r="C2725" t="s">
        <v>2001</v>
      </c>
      <c r="D2725" t="s">
        <v>597</v>
      </c>
      <c r="E2725" t="s">
        <v>218</v>
      </c>
      <c r="F2725">
        <v>27</v>
      </c>
      <c r="G2725" t="s">
        <v>17</v>
      </c>
      <c r="H2725" t="s">
        <v>15</v>
      </c>
      <c r="I2725" t="s">
        <v>47</v>
      </c>
      <c r="J2725" t="s">
        <v>52</v>
      </c>
      <c r="K2725" t="s">
        <v>43</v>
      </c>
      <c r="L2725">
        <v>5</v>
      </c>
      <c r="M2725" s="12">
        <v>42999</v>
      </c>
      <c r="N2725" s="12">
        <v>33539.22</v>
      </c>
      <c r="O2725">
        <v>10</v>
      </c>
      <c r="P2725" s="12">
        <v>193495.5</v>
      </c>
      <c r="Q2725" s="12">
        <v>167696.1</v>
      </c>
      <c r="R2725" s="12">
        <v>25799.399999999994</v>
      </c>
      <c r="S2725" t="s">
        <v>1246</v>
      </c>
      <c r="T2725" t="s">
        <v>110</v>
      </c>
      <c r="U2725" t="s">
        <v>1207</v>
      </c>
    </row>
    <row r="2726" spans="1:21" x14ac:dyDescent="0.25">
      <c r="A2726" t="s">
        <v>4794</v>
      </c>
      <c r="B2726" s="8">
        <v>45700</v>
      </c>
      <c r="C2726" t="s">
        <v>1762</v>
      </c>
      <c r="D2726" t="s">
        <v>501</v>
      </c>
      <c r="E2726" t="s">
        <v>218</v>
      </c>
      <c r="F2726">
        <v>62</v>
      </c>
      <c r="G2726" t="s">
        <v>5</v>
      </c>
      <c r="H2726" t="s">
        <v>3</v>
      </c>
      <c r="I2726" t="s">
        <v>51</v>
      </c>
      <c r="J2726" t="s">
        <v>54</v>
      </c>
      <c r="K2726" t="s">
        <v>43</v>
      </c>
      <c r="L2726">
        <v>5</v>
      </c>
      <c r="M2726" s="12">
        <v>27499</v>
      </c>
      <c r="N2726" s="12">
        <v>21724.210000000003</v>
      </c>
      <c r="O2726">
        <v>9</v>
      </c>
      <c r="P2726" s="12">
        <v>125120.45</v>
      </c>
      <c r="Q2726" s="12">
        <v>108621.05000000002</v>
      </c>
      <c r="R2726" s="12">
        <v>16499.39999999998</v>
      </c>
      <c r="S2726" t="s">
        <v>1246</v>
      </c>
      <c r="T2726" t="s">
        <v>107</v>
      </c>
      <c r="U2726" t="s">
        <v>1194</v>
      </c>
    </row>
    <row r="2727" spans="1:21" x14ac:dyDescent="0.25">
      <c r="A2727" t="s">
        <v>4795</v>
      </c>
      <c r="B2727" s="8">
        <v>45679</v>
      </c>
      <c r="C2727" t="s">
        <v>1337</v>
      </c>
      <c r="D2727" t="s">
        <v>1183</v>
      </c>
      <c r="E2727" t="s">
        <v>198</v>
      </c>
      <c r="F2727">
        <v>37</v>
      </c>
      <c r="G2727" t="s">
        <v>11</v>
      </c>
      <c r="H2727" t="s">
        <v>12</v>
      </c>
      <c r="I2727" t="s">
        <v>63</v>
      </c>
      <c r="J2727" t="s">
        <v>77</v>
      </c>
      <c r="K2727" t="s">
        <v>64</v>
      </c>
      <c r="L2727">
        <v>1</v>
      </c>
      <c r="M2727" s="12">
        <v>650</v>
      </c>
      <c r="N2727" s="12">
        <v>468</v>
      </c>
      <c r="O2727">
        <v>14</v>
      </c>
      <c r="P2727" s="12">
        <v>559</v>
      </c>
      <c r="Q2727" s="12">
        <v>468</v>
      </c>
      <c r="R2727" s="12">
        <v>91</v>
      </c>
      <c r="S2727" t="s">
        <v>1249</v>
      </c>
      <c r="T2727" t="s">
        <v>109</v>
      </c>
      <c r="U2727" t="s">
        <v>1203</v>
      </c>
    </row>
    <row r="2728" spans="1:21" x14ac:dyDescent="0.25">
      <c r="A2728" t="s">
        <v>4796</v>
      </c>
      <c r="B2728" s="8">
        <v>45765</v>
      </c>
      <c r="C2728" t="s">
        <v>2169</v>
      </c>
      <c r="D2728" t="s">
        <v>575</v>
      </c>
      <c r="E2728" t="s">
        <v>198</v>
      </c>
      <c r="F2728">
        <v>46</v>
      </c>
      <c r="G2728" t="s">
        <v>17</v>
      </c>
      <c r="H2728" t="s">
        <v>15</v>
      </c>
      <c r="I2728" t="s">
        <v>55</v>
      </c>
      <c r="J2728" t="s">
        <v>65</v>
      </c>
      <c r="K2728" t="s">
        <v>64</v>
      </c>
      <c r="L2728">
        <v>3</v>
      </c>
      <c r="M2728" s="12">
        <v>80</v>
      </c>
      <c r="N2728" s="12">
        <v>56</v>
      </c>
      <c r="O2728">
        <v>2</v>
      </c>
      <c r="P2728" s="12">
        <v>235.2</v>
      </c>
      <c r="Q2728" s="12">
        <v>168</v>
      </c>
      <c r="R2728" s="12">
        <v>67.199999999999989</v>
      </c>
      <c r="S2728" t="s">
        <v>113</v>
      </c>
      <c r="T2728" t="s">
        <v>109</v>
      </c>
      <c r="U2728" t="s">
        <v>1209</v>
      </c>
    </row>
    <row r="2729" spans="1:21" x14ac:dyDescent="0.25">
      <c r="A2729" t="s">
        <v>4797</v>
      </c>
      <c r="B2729" s="8">
        <v>45669</v>
      </c>
      <c r="C2729" t="s">
        <v>2403</v>
      </c>
      <c r="D2729" t="s">
        <v>690</v>
      </c>
      <c r="E2729" t="s">
        <v>218</v>
      </c>
      <c r="F2729">
        <v>39</v>
      </c>
      <c r="G2729" t="s">
        <v>14</v>
      </c>
      <c r="H2729" t="s">
        <v>15</v>
      </c>
      <c r="I2729" t="s">
        <v>28</v>
      </c>
      <c r="J2729" t="s">
        <v>35</v>
      </c>
      <c r="K2729" t="s">
        <v>22</v>
      </c>
      <c r="L2729">
        <v>1</v>
      </c>
      <c r="M2729" s="12">
        <v>16499</v>
      </c>
      <c r="N2729" s="12">
        <v>14519.12</v>
      </c>
      <c r="O2729">
        <v>7</v>
      </c>
      <c r="P2729" s="12">
        <v>15344.07</v>
      </c>
      <c r="Q2729" s="12">
        <v>14519.12</v>
      </c>
      <c r="R2729" s="12">
        <v>824.94999999999891</v>
      </c>
      <c r="S2729" t="s">
        <v>1246</v>
      </c>
      <c r="T2729" t="s">
        <v>107</v>
      </c>
      <c r="U2729" t="s">
        <v>1211</v>
      </c>
    </row>
    <row r="2730" spans="1:21" x14ac:dyDescent="0.25">
      <c r="A2730" t="s">
        <v>4798</v>
      </c>
      <c r="B2730" s="8">
        <v>45977</v>
      </c>
      <c r="C2730" t="s">
        <v>1528</v>
      </c>
      <c r="D2730" t="s">
        <v>954</v>
      </c>
      <c r="E2730" t="s">
        <v>218</v>
      </c>
      <c r="F2730">
        <v>26</v>
      </c>
      <c r="G2730" t="s">
        <v>4</v>
      </c>
      <c r="H2730" t="s">
        <v>3</v>
      </c>
      <c r="I2730" t="s">
        <v>24</v>
      </c>
      <c r="J2730" t="s">
        <v>25</v>
      </c>
      <c r="K2730" t="s">
        <v>22</v>
      </c>
      <c r="L2730">
        <v>1</v>
      </c>
      <c r="M2730" s="12">
        <v>35800</v>
      </c>
      <c r="N2730" s="12">
        <v>28640</v>
      </c>
      <c r="O2730">
        <v>18</v>
      </c>
      <c r="P2730" s="12">
        <v>29356.000000000004</v>
      </c>
      <c r="Q2730" s="12">
        <v>28640</v>
      </c>
      <c r="R2730" s="12">
        <v>716.00000000000364</v>
      </c>
      <c r="S2730" t="s">
        <v>1246</v>
      </c>
      <c r="T2730" t="s">
        <v>109</v>
      </c>
      <c r="U2730" t="s">
        <v>1199</v>
      </c>
    </row>
    <row r="2731" spans="1:21" x14ac:dyDescent="0.25">
      <c r="A2731" t="s">
        <v>4799</v>
      </c>
      <c r="B2731" s="8">
        <v>45776</v>
      </c>
      <c r="C2731" t="s">
        <v>2834</v>
      </c>
      <c r="D2731" t="s">
        <v>806</v>
      </c>
      <c r="E2731" t="s">
        <v>218</v>
      </c>
      <c r="F2731">
        <v>54</v>
      </c>
      <c r="G2731" t="s">
        <v>2</v>
      </c>
      <c r="H2731" t="s">
        <v>3</v>
      </c>
      <c r="I2731" t="s">
        <v>49</v>
      </c>
      <c r="J2731" t="s">
        <v>56</v>
      </c>
      <c r="K2731" t="s">
        <v>43</v>
      </c>
      <c r="L2731">
        <v>2</v>
      </c>
      <c r="M2731" s="12">
        <v>31999</v>
      </c>
      <c r="N2731" s="12">
        <v>25599.200000000001</v>
      </c>
      <c r="O2731">
        <v>10</v>
      </c>
      <c r="P2731" s="12">
        <v>57598.200000000004</v>
      </c>
      <c r="Q2731" s="12">
        <v>51198.400000000001</v>
      </c>
      <c r="R2731" s="12">
        <v>6399.8000000000029</v>
      </c>
      <c r="S2731" t="s">
        <v>1246</v>
      </c>
      <c r="T2731" t="s">
        <v>108</v>
      </c>
      <c r="U2731" t="s">
        <v>1201</v>
      </c>
    </row>
    <row r="2732" spans="1:21" x14ac:dyDescent="0.25">
      <c r="A2732" t="s">
        <v>4800</v>
      </c>
      <c r="B2732" s="8">
        <v>45739</v>
      </c>
      <c r="C2732" t="s">
        <v>2419</v>
      </c>
      <c r="D2732" t="s">
        <v>491</v>
      </c>
      <c r="E2732" t="s">
        <v>198</v>
      </c>
      <c r="F2732">
        <v>60</v>
      </c>
      <c r="G2732" t="s">
        <v>289</v>
      </c>
      <c r="H2732" t="s">
        <v>3</v>
      </c>
      <c r="I2732" t="s">
        <v>55</v>
      </c>
      <c r="J2732" t="s">
        <v>65</v>
      </c>
      <c r="K2732" t="s">
        <v>64</v>
      </c>
      <c r="L2732">
        <v>2</v>
      </c>
      <c r="M2732" s="12">
        <v>80</v>
      </c>
      <c r="N2732" s="12">
        <v>56</v>
      </c>
      <c r="O2732">
        <v>0</v>
      </c>
      <c r="P2732" s="12">
        <v>160</v>
      </c>
      <c r="Q2732" s="12">
        <v>112</v>
      </c>
      <c r="R2732" s="12">
        <v>48</v>
      </c>
      <c r="S2732" t="s">
        <v>1249</v>
      </c>
      <c r="T2732" t="s">
        <v>107</v>
      </c>
      <c r="U2732" t="s">
        <v>1201</v>
      </c>
    </row>
    <row r="2733" spans="1:21" x14ac:dyDescent="0.25">
      <c r="A2733" t="s">
        <v>4801</v>
      </c>
      <c r="B2733" s="8">
        <v>45798</v>
      </c>
      <c r="C2733" t="s">
        <v>2178</v>
      </c>
      <c r="D2733" t="s">
        <v>444</v>
      </c>
      <c r="E2733" t="s">
        <v>218</v>
      </c>
      <c r="F2733">
        <v>23</v>
      </c>
      <c r="G2733" t="s">
        <v>11</v>
      </c>
      <c r="H2733" t="s">
        <v>12</v>
      </c>
      <c r="I2733" t="s">
        <v>47</v>
      </c>
      <c r="J2733" t="s">
        <v>52</v>
      </c>
      <c r="K2733" t="s">
        <v>43</v>
      </c>
      <c r="L2733">
        <v>3</v>
      </c>
      <c r="M2733" s="12">
        <v>42999</v>
      </c>
      <c r="N2733" s="12">
        <v>33539.22</v>
      </c>
      <c r="O2733">
        <v>5</v>
      </c>
      <c r="P2733" s="12">
        <v>122547.15</v>
      </c>
      <c r="Q2733" s="12">
        <v>100617.66</v>
      </c>
      <c r="R2733" s="12">
        <v>21929.489999999991</v>
      </c>
      <c r="S2733" t="s">
        <v>113</v>
      </c>
      <c r="T2733" t="s">
        <v>110</v>
      </c>
      <c r="U2733" t="s">
        <v>1203</v>
      </c>
    </row>
    <row r="2734" spans="1:21" x14ac:dyDescent="0.25">
      <c r="A2734" t="s">
        <v>4802</v>
      </c>
      <c r="B2734" s="8">
        <v>45715</v>
      </c>
      <c r="C2734" t="s">
        <v>2464</v>
      </c>
      <c r="D2734" t="s">
        <v>432</v>
      </c>
      <c r="E2734" t="s">
        <v>218</v>
      </c>
      <c r="F2734">
        <v>54</v>
      </c>
      <c r="G2734" t="s">
        <v>17</v>
      </c>
      <c r="H2734" t="s">
        <v>15</v>
      </c>
      <c r="I2734" t="s">
        <v>30</v>
      </c>
      <c r="J2734" t="s">
        <v>41</v>
      </c>
      <c r="K2734" t="s">
        <v>22</v>
      </c>
      <c r="L2734">
        <v>5</v>
      </c>
      <c r="M2734" s="12">
        <v>13749</v>
      </c>
      <c r="N2734" s="12">
        <v>10999.2</v>
      </c>
      <c r="O2734">
        <v>4</v>
      </c>
      <c r="P2734" s="12">
        <v>65995.199999999997</v>
      </c>
      <c r="Q2734" s="12">
        <v>54996</v>
      </c>
      <c r="R2734" s="12">
        <v>10999.199999999997</v>
      </c>
      <c r="S2734" t="s">
        <v>1246</v>
      </c>
      <c r="T2734" t="s">
        <v>109</v>
      </c>
      <c r="U2734" t="s">
        <v>1201</v>
      </c>
    </row>
    <row r="2735" spans="1:21" x14ac:dyDescent="0.25">
      <c r="A2735" t="s">
        <v>4803</v>
      </c>
      <c r="B2735" s="8">
        <v>45728</v>
      </c>
      <c r="C2735" t="s">
        <v>1870</v>
      </c>
      <c r="D2735" t="s">
        <v>831</v>
      </c>
      <c r="E2735" t="s">
        <v>198</v>
      </c>
      <c r="F2735">
        <v>57</v>
      </c>
      <c r="G2735" t="s">
        <v>11</v>
      </c>
      <c r="H2735" t="s">
        <v>12</v>
      </c>
      <c r="I2735" t="s">
        <v>36</v>
      </c>
      <c r="J2735" t="s">
        <v>136</v>
      </c>
      <c r="K2735" t="s">
        <v>22</v>
      </c>
      <c r="L2735">
        <v>3</v>
      </c>
      <c r="M2735" s="12">
        <v>3590</v>
      </c>
      <c r="N2735" s="12">
        <v>2333.5</v>
      </c>
      <c r="O2735">
        <v>7</v>
      </c>
      <c r="P2735" s="12">
        <v>10016.099999999999</v>
      </c>
      <c r="Q2735" s="12">
        <v>7000.5</v>
      </c>
      <c r="R2735" s="12">
        <v>3015.5999999999985</v>
      </c>
      <c r="S2735" t="s">
        <v>1246</v>
      </c>
      <c r="T2735" t="s">
        <v>108</v>
      </c>
      <c r="U2735" t="s">
        <v>1199</v>
      </c>
    </row>
    <row r="2736" spans="1:21" x14ac:dyDescent="0.25">
      <c r="A2736" t="s">
        <v>4804</v>
      </c>
      <c r="B2736" s="8">
        <v>46007</v>
      </c>
      <c r="C2736" t="s">
        <v>2173</v>
      </c>
      <c r="D2736" t="s">
        <v>1076</v>
      </c>
      <c r="E2736" t="s">
        <v>198</v>
      </c>
      <c r="F2736">
        <v>30</v>
      </c>
      <c r="G2736" t="s">
        <v>2</v>
      </c>
      <c r="H2736" t="s">
        <v>3</v>
      </c>
      <c r="I2736" t="s">
        <v>32</v>
      </c>
      <c r="J2736" t="s">
        <v>29</v>
      </c>
      <c r="K2736" t="s">
        <v>22</v>
      </c>
      <c r="L2736">
        <v>1</v>
      </c>
      <c r="M2736" s="12">
        <v>9500</v>
      </c>
      <c r="N2736" s="12">
        <v>6650</v>
      </c>
      <c r="O2736">
        <v>10</v>
      </c>
      <c r="P2736" s="12">
        <v>8550</v>
      </c>
      <c r="Q2736" s="12">
        <v>6650</v>
      </c>
      <c r="R2736" s="12">
        <v>1900</v>
      </c>
      <c r="S2736" t="s">
        <v>1246</v>
      </c>
      <c r="T2736" t="s">
        <v>109</v>
      </c>
      <c r="U2736" t="s">
        <v>1196</v>
      </c>
    </row>
    <row r="2737" spans="1:21" x14ac:dyDescent="0.25">
      <c r="A2737" t="s">
        <v>4805</v>
      </c>
      <c r="B2737" s="8">
        <v>45717</v>
      </c>
      <c r="C2737" t="s">
        <v>1496</v>
      </c>
      <c r="D2737" t="s">
        <v>607</v>
      </c>
      <c r="E2737" t="s">
        <v>198</v>
      </c>
      <c r="F2737">
        <v>28</v>
      </c>
      <c r="G2737" t="s">
        <v>14</v>
      </c>
      <c r="H2737" t="s">
        <v>15</v>
      </c>
      <c r="I2737" t="s">
        <v>49</v>
      </c>
      <c r="J2737" t="s">
        <v>56</v>
      </c>
      <c r="K2737" t="s">
        <v>43</v>
      </c>
      <c r="L2737">
        <v>5</v>
      </c>
      <c r="M2737" s="12">
        <v>31999</v>
      </c>
      <c r="N2737" s="12">
        <v>25599.200000000001</v>
      </c>
      <c r="O2737">
        <v>9</v>
      </c>
      <c r="P2737" s="12">
        <v>145595.45000000001</v>
      </c>
      <c r="Q2737" s="12">
        <v>127996</v>
      </c>
      <c r="R2737" s="12">
        <v>17599.450000000012</v>
      </c>
      <c r="S2737" t="s">
        <v>1246</v>
      </c>
      <c r="T2737" t="s">
        <v>107</v>
      </c>
      <c r="U2737" t="s">
        <v>1211</v>
      </c>
    </row>
    <row r="2738" spans="1:21" x14ac:dyDescent="0.25">
      <c r="A2738" t="s">
        <v>4806</v>
      </c>
      <c r="B2738" s="8">
        <v>45987</v>
      </c>
      <c r="C2738" t="s">
        <v>1261</v>
      </c>
      <c r="D2738" t="s">
        <v>625</v>
      </c>
      <c r="E2738" t="s">
        <v>218</v>
      </c>
      <c r="F2738">
        <v>38</v>
      </c>
      <c r="G2738" t="s">
        <v>4</v>
      </c>
      <c r="H2738" t="s">
        <v>3</v>
      </c>
      <c r="I2738" t="s">
        <v>38</v>
      </c>
      <c r="J2738" t="s">
        <v>37</v>
      </c>
      <c r="K2738" t="s">
        <v>22</v>
      </c>
      <c r="L2738">
        <v>5</v>
      </c>
      <c r="M2738" s="12">
        <v>1650</v>
      </c>
      <c r="N2738" s="12">
        <v>990</v>
      </c>
      <c r="O2738">
        <v>10</v>
      </c>
      <c r="P2738" s="12">
        <v>7425</v>
      </c>
      <c r="Q2738" s="12">
        <v>4950</v>
      </c>
      <c r="R2738" s="12">
        <v>2475</v>
      </c>
      <c r="S2738" t="s">
        <v>1246</v>
      </c>
      <c r="T2738" t="s">
        <v>109</v>
      </c>
      <c r="U2738" t="s">
        <v>1211</v>
      </c>
    </row>
    <row r="2739" spans="1:21" x14ac:dyDescent="0.25">
      <c r="A2739" t="s">
        <v>4807</v>
      </c>
      <c r="B2739" s="8">
        <v>46015</v>
      </c>
      <c r="C2739" t="s">
        <v>2227</v>
      </c>
      <c r="D2739" t="s">
        <v>981</v>
      </c>
      <c r="E2739" t="s">
        <v>198</v>
      </c>
      <c r="F2739">
        <v>19</v>
      </c>
      <c r="G2739" t="s">
        <v>7</v>
      </c>
      <c r="H2739" t="s">
        <v>8</v>
      </c>
      <c r="I2739" t="s">
        <v>28</v>
      </c>
      <c r="J2739" t="s">
        <v>35</v>
      </c>
      <c r="K2739" t="s">
        <v>22</v>
      </c>
      <c r="L2739">
        <v>2</v>
      </c>
      <c r="M2739" s="12">
        <v>16499</v>
      </c>
      <c r="N2739" s="12">
        <v>14519.12</v>
      </c>
      <c r="O2739">
        <v>13</v>
      </c>
      <c r="P2739" s="12">
        <v>28708.26</v>
      </c>
      <c r="Q2739" s="12">
        <v>29038.240000000002</v>
      </c>
      <c r="R2739" s="12">
        <v>-329.9800000000032</v>
      </c>
      <c r="S2739" t="s">
        <v>113</v>
      </c>
      <c r="T2739" t="s">
        <v>111</v>
      </c>
      <c r="U2739" t="s">
        <v>1211</v>
      </c>
    </row>
    <row r="2740" spans="1:21" x14ac:dyDescent="0.25">
      <c r="A2740" t="s">
        <v>4808</v>
      </c>
      <c r="B2740" s="8">
        <v>45766</v>
      </c>
      <c r="C2740" t="s">
        <v>1454</v>
      </c>
      <c r="D2740" t="s">
        <v>1043</v>
      </c>
      <c r="E2740" t="s">
        <v>218</v>
      </c>
      <c r="F2740">
        <v>57</v>
      </c>
      <c r="G2740" t="s">
        <v>10</v>
      </c>
      <c r="H2740" t="s">
        <v>8</v>
      </c>
      <c r="I2740" t="s">
        <v>57</v>
      </c>
      <c r="J2740" t="s">
        <v>67</v>
      </c>
      <c r="K2740" t="s">
        <v>64</v>
      </c>
      <c r="L2740">
        <v>2</v>
      </c>
      <c r="M2740" s="12">
        <v>150</v>
      </c>
      <c r="N2740" s="12">
        <v>97.5</v>
      </c>
      <c r="O2740">
        <v>2</v>
      </c>
      <c r="P2740" s="12">
        <v>294</v>
      </c>
      <c r="Q2740" s="12">
        <v>195</v>
      </c>
      <c r="R2740" s="12">
        <v>99</v>
      </c>
      <c r="S2740" t="s">
        <v>113</v>
      </c>
      <c r="T2740" t="s">
        <v>107</v>
      </c>
      <c r="U2740" t="s">
        <v>1201</v>
      </c>
    </row>
    <row r="2741" spans="1:21" x14ac:dyDescent="0.25">
      <c r="A2741" t="s">
        <v>4809</v>
      </c>
      <c r="B2741" s="8">
        <v>45986</v>
      </c>
      <c r="C2741" t="s">
        <v>2682</v>
      </c>
      <c r="D2741" t="s">
        <v>375</v>
      </c>
      <c r="E2741" t="s">
        <v>198</v>
      </c>
      <c r="F2741">
        <v>55</v>
      </c>
      <c r="G2741" t="s">
        <v>5</v>
      </c>
      <c r="H2741" t="s">
        <v>3</v>
      </c>
      <c r="I2741" t="s">
        <v>47</v>
      </c>
      <c r="J2741" t="s">
        <v>52</v>
      </c>
      <c r="K2741" t="s">
        <v>43</v>
      </c>
      <c r="L2741">
        <v>4</v>
      </c>
      <c r="M2741" s="12">
        <v>42999</v>
      </c>
      <c r="N2741" s="12">
        <v>33539.22</v>
      </c>
      <c r="O2741">
        <v>15</v>
      </c>
      <c r="P2741" s="12">
        <v>146196.6</v>
      </c>
      <c r="Q2741" s="12">
        <v>134156.88</v>
      </c>
      <c r="R2741" s="12">
        <v>12039.720000000001</v>
      </c>
      <c r="S2741" t="s">
        <v>113</v>
      </c>
      <c r="T2741" t="s">
        <v>109</v>
      </c>
      <c r="U2741" t="s">
        <v>1207</v>
      </c>
    </row>
    <row r="2742" spans="1:21" x14ac:dyDescent="0.25">
      <c r="A2742" t="s">
        <v>4810</v>
      </c>
      <c r="B2742" s="8">
        <v>45741</v>
      </c>
      <c r="C2742" t="s">
        <v>1561</v>
      </c>
      <c r="D2742" t="s">
        <v>729</v>
      </c>
      <c r="E2742" t="s">
        <v>218</v>
      </c>
      <c r="F2742">
        <v>57</v>
      </c>
      <c r="G2742" t="s">
        <v>10</v>
      </c>
      <c r="H2742" t="s">
        <v>8</v>
      </c>
      <c r="I2742" t="s">
        <v>53</v>
      </c>
      <c r="J2742" t="s">
        <v>48</v>
      </c>
      <c r="K2742" t="s">
        <v>43</v>
      </c>
      <c r="L2742">
        <v>4</v>
      </c>
      <c r="M2742" s="12">
        <v>6499</v>
      </c>
      <c r="N2742" s="12">
        <v>4549.2999999999993</v>
      </c>
      <c r="O2742">
        <v>5</v>
      </c>
      <c r="P2742" s="12">
        <v>24696.199999999997</v>
      </c>
      <c r="Q2742" s="12">
        <v>18197.199999999997</v>
      </c>
      <c r="R2742" s="12">
        <v>6499</v>
      </c>
      <c r="S2742" t="s">
        <v>1246</v>
      </c>
      <c r="T2742" t="s">
        <v>109</v>
      </c>
      <c r="U2742" t="s">
        <v>1201</v>
      </c>
    </row>
    <row r="2743" spans="1:21" x14ac:dyDescent="0.25">
      <c r="A2743" t="s">
        <v>4811</v>
      </c>
      <c r="B2743" s="8">
        <v>45987</v>
      </c>
      <c r="C2743" t="s">
        <v>4957</v>
      </c>
      <c r="D2743" t="s">
        <v>581</v>
      </c>
      <c r="E2743" t="s">
        <v>198</v>
      </c>
      <c r="F2743">
        <v>48</v>
      </c>
      <c r="G2743" t="s">
        <v>289</v>
      </c>
      <c r="H2743" t="s">
        <v>3</v>
      </c>
      <c r="I2743" t="s">
        <v>40</v>
      </c>
      <c r="J2743" t="s">
        <v>39</v>
      </c>
      <c r="K2743" t="s">
        <v>22</v>
      </c>
      <c r="L2743">
        <v>1</v>
      </c>
      <c r="M2743" s="12">
        <v>1100</v>
      </c>
      <c r="N2743" s="12">
        <v>715</v>
      </c>
      <c r="O2743">
        <v>16</v>
      </c>
      <c r="P2743" s="12">
        <v>924</v>
      </c>
      <c r="Q2743" s="12">
        <v>715</v>
      </c>
      <c r="R2743" s="12">
        <v>209</v>
      </c>
      <c r="S2743" t="s">
        <v>1246</v>
      </c>
      <c r="T2743" t="s">
        <v>111</v>
      </c>
      <c r="U2743" t="s">
        <v>1203</v>
      </c>
    </row>
    <row r="2744" spans="1:21" x14ac:dyDescent="0.25">
      <c r="A2744" t="s">
        <v>4812</v>
      </c>
      <c r="B2744" s="8">
        <v>45828</v>
      </c>
      <c r="C2744" t="s">
        <v>4957</v>
      </c>
      <c r="D2744" t="s">
        <v>581</v>
      </c>
      <c r="E2744" t="s">
        <v>198</v>
      </c>
      <c r="F2744">
        <v>48</v>
      </c>
      <c r="G2744" t="s">
        <v>289</v>
      </c>
      <c r="H2744" t="s">
        <v>3</v>
      </c>
      <c r="I2744" t="s">
        <v>26</v>
      </c>
      <c r="J2744" t="s">
        <v>27</v>
      </c>
      <c r="K2744" t="s">
        <v>22</v>
      </c>
      <c r="L2744">
        <v>5</v>
      </c>
      <c r="M2744" s="12">
        <v>27499</v>
      </c>
      <c r="N2744" s="12">
        <v>23374.149999999998</v>
      </c>
      <c r="O2744">
        <v>9</v>
      </c>
      <c r="P2744" s="12">
        <v>125120.45</v>
      </c>
      <c r="Q2744" s="12">
        <v>116870.74999999999</v>
      </c>
      <c r="R2744" s="12">
        <v>8249.7000000000116</v>
      </c>
      <c r="S2744" t="s">
        <v>1246</v>
      </c>
      <c r="T2744" t="s">
        <v>107</v>
      </c>
      <c r="U2744" t="s">
        <v>1211</v>
      </c>
    </row>
    <row r="2745" spans="1:21" x14ac:dyDescent="0.25">
      <c r="A2745" t="s">
        <v>4813</v>
      </c>
      <c r="B2745" s="8">
        <v>45923</v>
      </c>
      <c r="C2745" t="s">
        <v>3929</v>
      </c>
      <c r="D2745" t="s">
        <v>953</v>
      </c>
      <c r="E2745" t="s">
        <v>198</v>
      </c>
      <c r="F2745">
        <v>51</v>
      </c>
      <c r="G2745" t="s">
        <v>289</v>
      </c>
      <c r="H2745" t="s">
        <v>3</v>
      </c>
      <c r="I2745" t="s">
        <v>45</v>
      </c>
      <c r="J2745" t="s">
        <v>46</v>
      </c>
      <c r="K2745" t="s">
        <v>43</v>
      </c>
      <c r="L2745">
        <v>4</v>
      </c>
      <c r="M2745" s="12">
        <v>11999</v>
      </c>
      <c r="N2745" s="12">
        <v>8999.25</v>
      </c>
      <c r="O2745">
        <v>10</v>
      </c>
      <c r="P2745" s="12">
        <v>43196.4</v>
      </c>
      <c r="Q2745" s="12">
        <v>35997</v>
      </c>
      <c r="R2745" s="12">
        <v>7199.4000000000015</v>
      </c>
      <c r="S2745" t="s">
        <v>1246</v>
      </c>
      <c r="T2745" t="s">
        <v>109</v>
      </c>
      <c r="U2745" t="s">
        <v>1198</v>
      </c>
    </row>
    <row r="2746" spans="1:21" x14ac:dyDescent="0.25">
      <c r="A2746" t="s">
        <v>4814</v>
      </c>
      <c r="B2746" s="8">
        <v>45887</v>
      </c>
      <c r="C2746" t="s">
        <v>1673</v>
      </c>
      <c r="D2746" t="s">
        <v>1064</v>
      </c>
      <c r="E2746" t="s">
        <v>198</v>
      </c>
      <c r="F2746">
        <v>51</v>
      </c>
      <c r="G2746" t="s">
        <v>17</v>
      </c>
      <c r="H2746" t="s">
        <v>15</v>
      </c>
      <c r="I2746" t="s">
        <v>53</v>
      </c>
      <c r="J2746" t="s">
        <v>48</v>
      </c>
      <c r="K2746" t="s">
        <v>43</v>
      </c>
      <c r="L2746">
        <v>5</v>
      </c>
      <c r="M2746" s="12">
        <v>6499</v>
      </c>
      <c r="N2746" s="12">
        <v>4549.2999999999993</v>
      </c>
      <c r="O2746">
        <v>9</v>
      </c>
      <c r="P2746" s="12">
        <v>29570.45</v>
      </c>
      <c r="Q2746" s="12">
        <v>22746.499999999996</v>
      </c>
      <c r="R2746" s="12">
        <v>6823.9500000000044</v>
      </c>
      <c r="S2746" t="s">
        <v>113</v>
      </c>
      <c r="T2746" t="s">
        <v>107</v>
      </c>
      <c r="U2746" t="s">
        <v>1203</v>
      </c>
    </row>
    <row r="2747" spans="1:21" x14ac:dyDescent="0.25">
      <c r="A2747" t="s">
        <v>4815</v>
      </c>
      <c r="B2747" s="8">
        <v>45893</v>
      </c>
      <c r="C2747" t="s">
        <v>2300</v>
      </c>
      <c r="D2747" t="s">
        <v>940</v>
      </c>
      <c r="E2747" t="s">
        <v>198</v>
      </c>
      <c r="F2747">
        <v>55</v>
      </c>
      <c r="G2747" t="s">
        <v>9</v>
      </c>
      <c r="H2747" t="s">
        <v>8</v>
      </c>
      <c r="I2747" t="s">
        <v>51</v>
      </c>
      <c r="J2747" t="s">
        <v>54</v>
      </c>
      <c r="K2747" t="s">
        <v>43</v>
      </c>
      <c r="L2747">
        <v>3</v>
      </c>
      <c r="M2747" s="12">
        <v>27499</v>
      </c>
      <c r="N2747" s="12">
        <v>21724.210000000003</v>
      </c>
      <c r="O2747">
        <v>6</v>
      </c>
      <c r="P2747" s="12">
        <v>77547.179999999993</v>
      </c>
      <c r="Q2747" s="12">
        <v>65172.630000000005</v>
      </c>
      <c r="R2747" s="12">
        <v>12374.549999999988</v>
      </c>
      <c r="S2747" t="s">
        <v>1246</v>
      </c>
      <c r="T2747" t="s">
        <v>110</v>
      </c>
      <c r="U2747" t="s">
        <v>1209</v>
      </c>
    </row>
    <row r="2748" spans="1:21" x14ac:dyDescent="0.25">
      <c r="A2748" t="s">
        <v>4816</v>
      </c>
      <c r="B2748" s="8">
        <v>45980</v>
      </c>
      <c r="C2748" t="s">
        <v>5105</v>
      </c>
      <c r="D2748" t="s">
        <v>885</v>
      </c>
      <c r="E2748" t="s">
        <v>218</v>
      </c>
      <c r="F2748">
        <v>56</v>
      </c>
      <c r="G2748" t="s">
        <v>290</v>
      </c>
      <c r="H2748" t="s">
        <v>3</v>
      </c>
      <c r="I2748" t="s">
        <v>42</v>
      </c>
      <c r="J2748" t="s">
        <v>44</v>
      </c>
      <c r="K2748" t="s">
        <v>43</v>
      </c>
      <c r="L2748">
        <v>1</v>
      </c>
      <c r="M2748" s="12">
        <v>8999</v>
      </c>
      <c r="N2748" s="12">
        <v>6479.28</v>
      </c>
      <c r="O2748">
        <v>15</v>
      </c>
      <c r="P2748" s="12">
        <v>7649.15</v>
      </c>
      <c r="Q2748" s="12">
        <v>6479.28</v>
      </c>
      <c r="R2748" s="12">
        <v>1169.8699999999999</v>
      </c>
      <c r="S2748" t="s">
        <v>1246</v>
      </c>
      <c r="T2748" t="s">
        <v>110</v>
      </c>
      <c r="U2748" t="s">
        <v>1194</v>
      </c>
    </row>
    <row r="2749" spans="1:21" x14ac:dyDescent="0.25">
      <c r="A2749" t="s">
        <v>4817</v>
      </c>
      <c r="B2749" s="8">
        <v>45686</v>
      </c>
      <c r="C2749" t="s">
        <v>3483</v>
      </c>
      <c r="D2749" t="s">
        <v>997</v>
      </c>
      <c r="E2749" t="s">
        <v>198</v>
      </c>
      <c r="F2749">
        <v>33</v>
      </c>
      <c r="G2749" t="s">
        <v>17</v>
      </c>
      <c r="H2749" t="s">
        <v>15</v>
      </c>
      <c r="I2749" t="s">
        <v>34</v>
      </c>
      <c r="J2749" t="s">
        <v>137</v>
      </c>
      <c r="K2749" t="s">
        <v>22</v>
      </c>
      <c r="L2749">
        <v>3</v>
      </c>
      <c r="M2749" s="12">
        <v>6900</v>
      </c>
      <c r="N2749" s="12">
        <v>5727</v>
      </c>
      <c r="O2749">
        <v>9</v>
      </c>
      <c r="P2749" s="12">
        <v>18837</v>
      </c>
      <c r="Q2749" s="12">
        <v>17181</v>
      </c>
      <c r="R2749" s="12">
        <v>1656</v>
      </c>
      <c r="S2749" t="s">
        <v>1246</v>
      </c>
      <c r="T2749" t="s">
        <v>107</v>
      </c>
      <c r="U2749" t="s">
        <v>1199</v>
      </c>
    </row>
    <row r="2750" spans="1:21" x14ac:dyDescent="0.25">
      <c r="A2750" t="s">
        <v>4818</v>
      </c>
      <c r="B2750" s="8">
        <v>45662</v>
      </c>
      <c r="C2750" t="s">
        <v>3107</v>
      </c>
      <c r="D2750" t="s">
        <v>579</v>
      </c>
      <c r="E2750" t="s">
        <v>198</v>
      </c>
      <c r="F2750">
        <v>36</v>
      </c>
      <c r="G2750" t="s">
        <v>7</v>
      </c>
      <c r="H2750" t="s">
        <v>8</v>
      </c>
      <c r="I2750" t="s">
        <v>38</v>
      </c>
      <c r="J2750" t="s">
        <v>37</v>
      </c>
      <c r="K2750" t="s">
        <v>22</v>
      </c>
      <c r="L2750">
        <v>5</v>
      </c>
      <c r="M2750" s="12">
        <v>1650</v>
      </c>
      <c r="N2750" s="12">
        <v>990</v>
      </c>
      <c r="O2750">
        <v>9</v>
      </c>
      <c r="P2750" s="12">
        <v>7507.5</v>
      </c>
      <c r="Q2750" s="12">
        <v>4950</v>
      </c>
      <c r="R2750" s="12">
        <v>2557.5</v>
      </c>
      <c r="S2750" t="s">
        <v>1246</v>
      </c>
      <c r="T2750" t="s">
        <v>107</v>
      </c>
      <c r="U2750" t="s">
        <v>1207</v>
      </c>
    </row>
    <row r="2751" spans="1:21" x14ac:dyDescent="0.25">
      <c r="A2751" t="s">
        <v>4819</v>
      </c>
      <c r="B2751" s="8">
        <v>45918</v>
      </c>
      <c r="C2751" t="s">
        <v>1673</v>
      </c>
      <c r="D2751" t="s">
        <v>1064</v>
      </c>
      <c r="E2751" t="s">
        <v>198</v>
      </c>
      <c r="F2751">
        <v>51</v>
      </c>
      <c r="G2751" t="s">
        <v>17</v>
      </c>
      <c r="H2751" t="s">
        <v>15</v>
      </c>
      <c r="I2751" t="s">
        <v>42</v>
      </c>
      <c r="J2751" t="s">
        <v>44</v>
      </c>
      <c r="K2751" t="s">
        <v>43</v>
      </c>
      <c r="L2751">
        <v>4</v>
      </c>
      <c r="M2751" s="12">
        <v>8999</v>
      </c>
      <c r="N2751" s="12">
        <v>6479.28</v>
      </c>
      <c r="O2751">
        <v>8</v>
      </c>
      <c r="P2751" s="12">
        <v>33116.32</v>
      </c>
      <c r="Q2751" s="12">
        <v>25917.119999999999</v>
      </c>
      <c r="R2751" s="12">
        <v>7199.2000000000007</v>
      </c>
      <c r="S2751" t="s">
        <v>1246</v>
      </c>
      <c r="T2751" t="s">
        <v>109</v>
      </c>
      <c r="U2751" t="s">
        <v>1207</v>
      </c>
    </row>
    <row r="2752" spans="1:21" x14ac:dyDescent="0.25">
      <c r="A2752" t="s">
        <v>4820</v>
      </c>
      <c r="B2752" s="8">
        <v>45897</v>
      </c>
      <c r="C2752" t="s">
        <v>2501</v>
      </c>
      <c r="D2752" t="s">
        <v>1027</v>
      </c>
      <c r="E2752" t="s">
        <v>198</v>
      </c>
      <c r="F2752">
        <v>60</v>
      </c>
      <c r="G2752" t="s">
        <v>16</v>
      </c>
      <c r="H2752" t="s">
        <v>15</v>
      </c>
      <c r="I2752" t="s">
        <v>51</v>
      </c>
      <c r="J2752" t="s">
        <v>54</v>
      </c>
      <c r="K2752" t="s">
        <v>43</v>
      </c>
      <c r="L2752">
        <v>5</v>
      </c>
      <c r="M2752" s="12">
        <v>27499</v>
      </c>
      <c r="N2752" s="12">
        <v>21724.210000000003</v>
      </c>
      <c r="O2752">
        <v>6</v>
      </c>
      <c r="P2752" s="12">
        <v>129245.29999999999</v>
      </c>
      <c r="Q2752" s="12">
        <v>108621.05000000002</v>
      </c>
      <c r="R2752" s="12">
        <v>20624.249999999971</v>
      </c>
      <c r="S2752" t="s">
        <v>1246</v>
      </c>
      <c r="T2752" t="s">
        <v>109</v>
      </c>
      <c r="U2752" t="s">
        <v>1196</v>
      </c>
    </row>
    <row r="2753" spans="1:21" x14ac:dyDescent="0.25">
      <c r="A2753" t="s">
        <v>4821</v>
      </c>
      <c r="B2753" s="8">
        <v>45840</v>
      </c>
      <c r="C2753" t="s">
        <v>2265</v>
      </c>
      <c r="D2753" t="s">
        <v>878</v>
      </c>
      <c r="E2753" t="s">
        <v>218</v>
      </c>
      <c r="F2753">
        <v>34</v>
      </c>
      <c r="G2753" t="s">
        <v>17</v>
      </c>
      <c r="H2753" t="s">
        <v>15</v>
      </c>
      <c r="I2753" t="s">
        <v>53</v>
      </c>
      <c r="J2753" t="s">
        <v>48</v>
      </c>
      <c r="K2753" t="s">
        <v>43</v>
      </c>
      <c r="L2753">
        <v>1</v>
      </c>
      <c r="M2753" s="12">
        <v>6499</v>
      </c>
      <c r="N2753" s="12">
        <v>4549.2999999999993</v>
      </c>
      <c r="O2753">
        <v>6</v>
      </c>
      <c r="P2753" s="12">
        <v>6109.0599999999995</v>
      </c>
      <c r="Q2753" s="12">
        <v>4549.2999999999993</v>
      </c>
      <c r="R2753" s="12">
        <v>1559.7600000000002</v>
      </c>
      <c r="S2753" t="s">
        <v>113</v>
      </c>
      <c r="T2753" t="s">
        <v>108</v>
      </c>
      <c r="U2753" t="s">
        <v>1207</v>
      </c>
    </row>
    <row r="2754" spans="1:21" x14ac:dyDescent="0.25">
      <c r="A2754" t="s">
        <v>4822</v>
      </c>
      <c r="B2754" s="8">
        <v>45965</v>
      </c>
      <c r="C2754" t="s">
        <v>5001</v>
      </c>
      <c r="D2754" t="s">
        <v>772</v>
      </c>
      <c r="E2754" t="s">
        <v>198</v>
      </c>
      <c r="F2754">
        <v>34</v>
      </c>
      <c r="G2754" t="s">
        <v>2</v>
      </c>
      <c r="H2754" t="s">
        <v>3</v>
      </c>
      <c r="I2754" t="s">
        <v>21</v>
      </c>
      <c r="J2754" t="s">
        <v>23</v>
      </c>
      <c r="K2754" t="s">
        <v>22</v>
      </c>
      <c r="L2754">
        <v>3</v>
      </c>
      <c r="M2754" s="12">
        <v>54999</v>
      </c>
      <c r="N2754" s="12">
        <v>45099.18</v>
      </c>
      <c r="O2754">
        <v>17</v>
      </c>
      <c r="P2754" s="12">
        <v>136947.50999999998</v>
      </c>
      <c r="Q2754" s="12">
        <v>135297.54</v>
      </c>
      <c r="R2754" s="12">
        <v>1649.9699999999721</v>
      </c>
      <c r="S2754" t="s">
        <v>1246</v>
      </c>
      <c r="T2754" t="s">
        <v>108</v>
      </c>
      <c r="U2754" t="s">
        <v>1203</v>
      </c>
    </row>
    <row r="2755" spans="1:21" x14ac:dyDescent="0.25">
      <c r="A2755" t="s">
        <v>4823</v>
      </c>
      <c r="B2755" s="8">
        <v>45791</v>
      </c>
      <c r="C2755" t="s">
        <v>3143</v>
      </c>
      <c r="D2755" t="s">
        <v>776</v>
      </c>
      <c r="E2755" t="s">
        <v>198</v>
      </c>
      <c r="F2755">
        <v>21</v>
      </c>
      <c r="G2755" t="s">
        <v>4</v>
      </c>
      <c r="H2755" t="s">
        <v>3</v>
      </c>
      <c r="I2755" t="s">
        <v>38</v>
      </c>
      <c r="J2755" t="s">
        <v>37</v>
      </c>
      <c r="K2755" t="s">
        <v>22</v>
      </c>
      <c r="L2755">
        <v>4</v>
      </c>
      <c r="M2755" s="12">
        <v>1650</v>
      </c>
      <c r="N2755" s="12">
        <v>990</v>
      </c>
      <c r="O2755">
        <v>5</v>
      </c>
      <c r="P2755" s="12">
        <v>6270</v>
      </c>
      <c r="Q2755" s="12">
        <v>3960</v>
      </c>
      <c r="R2755" s="12">
        <v>2310</v>
      </c>
      <c r="S2755" t="s">
        <v>1246</v>
      </c>
      <c r="T2755" t="s">
        <v>107</v>
      </c>
      <c r="U2755" t="s">
        <v>1211</v>
      </c>
    </row>
    <row r="2756" spans="1:21" x14ac:dyDescent="0.25">
      <c r="A2756" t="s">
        <v>4824</v>
      </c>
      <c r="B2756" s="8">
        <v>45706</v>
      </c>
      <c r="C2756" t="s">
        <v>2349</v>
      </c>
      <c r="D2756" t="s">
        <v>626</v>
      </c>
      <c r="E2756" t="s">
        <v>198</v>
      </c>
      <c r="F2756">
        <v>40</v>
      </c>
      <c r="G2756" t="s">
        <v>290</v>
      </c>
      <c r="H2756" t="s">
        <v>3</v>
      </c>
      <c r="I2756" t="s">
        <v>53</v>
      </c>
      <c r="J2756" t="s">
        <v>48</v>
      </c>
      <c r="K2756" t="s">
        <v>43</v>
      </c>
      <c r="L2756">
        <v>1</v>
      </c>
      <c r="M2756" s="12">
        <v>6499</v>
      </c>
      <c r="N2756" s="12">
        <v>4549.2999999999993</v>
      </c>
      <c r="O2756">
        <v>10</v>
      </c>
      <c r="P2756" s="12">
        <v>5849.1</v>
      </c>
      <c r="Q2756" s="12">
        <v>4549.2999999999993</v>
      </c>
      <c r="R2756" s="12">
        <v>1299.8000000000011</v>
      </c>
      <c r="S2756" t="s">
        <v>1246</v>
      </c>
      <c r="T2756" t="s">
        <v>108</v>
      </c>
      <c r="U2756" t="s">
        <v>1196</v>
      </c>
    </row>
    <row r="2757" spans="1:21" x14ac:dyDescent="0.25">
      <c r="A2757" t="s">
        <v>4825</v>
      </c>
      <c r="B2757" s="8">
        <v>45941</v>
      </c>
      <c r="C2757" t="s">
        <v>4617</v>
      </c>
      <c r="D2757" t="s">
        <v>617</v>
      </c>
      <c r="E2757" t="s">
        <v>198</v>
      </c>
      <c r="F2757">
        <v>42</v>
      </c>
      <c r="G2757" t="s">
        <v>16</v>
      </c>
      <c r="H2757" t="s">
        <v>15</v>
      </c>
      <c r="I2757" t="s">
        <v>55</v>
      </c>
      <c r="J2757" t="s">
        <v>65</v>
      </c>
      <c r="K2757" t="s">
        <v>64</v>
      </c>
      <c r="L2757">
        <v>4</v>
      </c>
      <c r="M2757" s="12">
        <v>80</v>
      </c>
      <c r="N2757" s="12">
        <v>56</v>
      </c>
      <c r="O2757">
        <v>3</v>
      </c>
      <c r="P2757" s="12">
        <v>310.39999999999998</v>
      </c>
      <c r="Q2757" s="12">
        <v>224</v>
      </c>
      <c r="R2757" s="12">
        <v>86.399999999999977</v>
      </c>
      <c r="S2757" t="s">
        <v>1246</v>
      </c>
      <c r="T2757" t="s">
        <v>110</v>
      </c>
      <c r="U2757" t="s">
        <v>1211</v>
      </c>
    </row>
    <row r="2758" spans="1:21" x14ac:dyDescent="0.25">
      <c r="A2758" t="s">
        <v>4826</v>
      </c>
      <c r="B2758" s="8">
        <v>45845</v>
      </c>
      <c r="C2758" t="s">
        <v>2042</v>
      </c>
      <c r="D2758" t="s">
        <v>509</v>
      </c>
      <c r="E2758" t="s">
        <v>198</v>
      </c>
      <c r="F2758">
        <v>32</v>
      </c>
      <c r="G2758" t="s">
        <v>7</v>
      </c>
      <c r="H2758" t="s">
        <v>8</v>
      </c>
      <c r="I2758" t="s">
        <v>28</v>
      </c>
      <c r="J2758" t="s">
        <v>35</v>
      </c>
      <c r="K2758" t="s">
        <v>22</v>
      </c>
      <c r="L2758">
        <v>1</v>
      </c>
      <c r="M2758" s="12">
        <v>16499</v>
      </c>
      <c r="N2758" s="12">
        <v>14519.12</v>
      </c>
      <c r="O2758">
        <v>4</v>
      </c>
      <c r="P2758" s="12">
        <v>15839.039999999999</v>
      </c>
      <c r="Q2758" s="12">
        <v>14519.12</v>
      </c>
      <c r="R2758" s="12">
        <v>1319.9199999999983</v>
      </c>
      <c r="S2758" t="s">
        <v>113</v>
      </c>
      <c r="T2758" t="s">
        <v>108</v>
      </c>
      <c r="U2758" t="s">
        <v>1199</v>
      </c>
    </row>
    <row r="2759" spans="1:21" x14ac:dyDescent="0.25">
      <c r="A2759" t="s">
        <v>4827</v>
      </c>
      <c r="B2759" s="8">
        <v>45825</v>
      </c>
      <c r="C2759" t="s">
        <v>2634</v>
      </c>
      <c r="D2759" t="s">
        <v>419</v>
      </c>
      <c r="E2759" t="s">
        <v>198</v>
      </c>
      <c r="F2759">
        <v>18</v>
      </c>
      <c r="G2759" t="s">
        <v>290</v>
      </c>
      <c r="H2759" t="s">
        <v>3</v>
      </c>
      <c r="I2759" t="s">
        <v>57</v>
      </c>
      <c r="J2759" t="s">
        <v>67</v>
      </c>
      <c r="K2759" t="s">
        <v>64</v>
      </c>
      <c r="L2759">
        <v>5</v>
      </c>
      <c r="M2759" s="12">
        <v>150</v>
      </c>
      <c r="N2759" s="12">
        <v>97.5</v>
      </c>
      <c r="O2759">
        <v>9</v>
      </c>
      <c r="P2759" s="12">
        <v>682.5</v>
      </c>
      <c r="Q2759" s="12">
        <v>487.5</v>
      </c>
      <c r="R2759" s="12">
        <v>195</v>
      </c>
      <c r="S2759" t="s">
        <v>113</v>
      </c>
      <c r="T2759" t="s">
        <v>107</v>
      </c>
      <c r="U2759" t="s">
        <v>1205</v>
      </c>
    </row>
    <row r="2760" spans="1:21" x14ac:dyDescent="0.25">
      <c r="A2760" t="s">
        <v>4828</v>
      </c>
      <c r="B2760" s="8">
        <v>45980</v>
      </c>
      <c r="C2760" t="s">
        <v>5081</v>
      </c>
      <c r="D2760" t="s">
        <v>971</v>
      </c>
      <c r="E2760" t="s">
        <v>218</v>
      </c>
      <c r="F2760">
        <v>58</v>
      </c>
      <c r="G2760" t="s">
        <v>10</v>
      </c>
      <c r="H2760" t="s">
        <v>8</v>
      </c>
      <c r="I2760" t="s">
        <v>59</v>
      </c>
      <c r="J2760" t="s">
        <v>73</v>
      </c>
      <c r="K2760" t="s">
        <v>64</v>
      </c>
      <c r="L2760">
        <v>2</v>
      </c>
      <c r="M2760" s="12">
        <v>120</v>
      </c>
      <c r="N2760" s="12">
        <v>81.599999999999994</v>
      </c>
      <c r="O2760">
        <v>7</v>
      </c>
      <c r="P2760" s="12">
        <v>223.2</v>
      </c>
      <c r="Q2760" s="12">
        <v>163.19999999999999</v>
      </c>
      <c r="R2760" s="12">
        <v>60</v>
      </c>
      <c r="S2760" t="s">
        <v>1246</v>
      </c>
      <c r="T2760" t="s">
        <v>109</v>
      </c>
      <c r="U2760" t="s">
        <v>1201</v>
      </c>
    </row>
    <row r="2761" spans="1:21" x14ac:dyDescent="0.25">
      <c r="A2761" t="s">
        <v>4829</v>
      </c>
      <c r="B2761" s="8">
        <v>45838</v>
      </c>
      <c r="C2761" t="s">
        <v>1460</v>
      </c>
      <c r="D2761" t="s">
        <v>1039</v>
      </c>
      <c r="E2761" t="s">
        <v>218</v>
      </c>
      <c r="F2761">
        <v>48</v>
      </c>
      <c r="G2761" t="s">
        <v>5</v>
      </c>
      <c r="H2761" t="s">
        <v>3</v>
      </c>
      <c r="I2761" t="s">
        <v>45</v>
      </c>
      <c r="J2761" t="s">
        <v>46</v>
      </c>
      <c r="K2761" t="s">
        <v>43</v>
      </c>
      <c r="L2761">
        <v>3</v>
      </c>
      <c r="M2761" s="12">
        <v>11999</v>
      </c>
      <c r="N2761" s="12">
        <v>8999.25</v>
      </c>
      <c r="O2761">
        <v>5</v>
      </c>
      <c r="P2761" s="12">
        <v>34197.15</v>
      </c>
      <c r="Q2761" s="12">
        <v>26997.75</v>
      </c>
      <c r="R2761" s="12">
        <v>7199.4000000000015</v>
      </c>
      <c r="S2761" t="s">
        <v>1246</v>
      </c>
      <c r="T2761" t="s">
        <v>108</v>
      </c>
      <c r="U2761" t="s">
        <v>1198</v>
      </c>
    </row>
    <row r="2762" spans="1:21" x14ac:dyDescent="0.25">
      <c r="A2762" t="s">
        <v>4830</v>
      </c>
      <c r="B2762" s="8">
        <v>45855</v>
      </c>
      <c r="C2762" t="s">
        <v>1596</v>
      </c>
      <c r="D2762" t="s">
        <v>1120</v>
      </c>
      <c r="E2762" t="s">
        <v>218</v>
      </c>
      <c r="F2762">
        <v>50</v>
      </c>
      <c r="G2762" t="s">
        <v>5</v>
      </c>
      <c r="H2762" t="s">
        <v>3</v>
      </c>
      <c r="I2762" t="s">
        <v>61</v>
      </c>
      <c r="J2762" t="s">
        <v>146</v>
      </c>
      <c r="K2762" t="s">
        <v>64</v>
      </c>
      <c r="L2762">
        <v>1</v>
      </c>
      <c r="M2762" s="12">
        <v>250</v>
      </c>
      <c r="N2762" s="12">
        <v>155</v>
      </c>
      <c r="O2762">
        <v>3</v>
      </c>
      <c r="P2762" s="12">
        <v>242.5</v>
      </c>
      <c r="Q2762" s="12">
        <v>155</v>
      </c>
      <c r="R2762" s="12">
        <v>87.5</v>
      </c>
      <c r="S2762" t="s">
        <v>113</v>
      </c>
      <c r="T2762" t="s">
        <v>108</v>
      </c>
      <c r="U2762" t="s">
        <v>1201</v>
      </c>
    </row>
    <row r="2763" spans="1:21" x14ac:dyDescent="0.25">
      <c r="A2763" t="s">
        <v>4831</v>
      </c>
      <c r="B2763" s="8">
        <v>45867</v>
      </c>
      <c r="C2763" t="s">
        <v>1530</v>
      </c>
      <c r="D2763" t="s">
        <v>456</v>
      </c>
      <c r="E2763" t="s">
        <v>218</v>
      </c>
      <c r="F2763">
        <v>31</v>
      </c>
      <c r="G2763" t="s">
        <v>10</v>
      </c>
      <c r="H2763" t="s">
        <v>8</v>
      </c>
      <c r="I2763" t="s">
        <v>57</v>
      </c>
      <c r="J2763" t="s">
        <v>67</v>
      </c>
      <c r="K2763" t="s">
        <v>64</v>
      </c>
      <c r="L2763">
        <v>1</v>
      </c>
      <c r="M2763" s="12">
        <v>150</v>
      </c>
      <c r="N2763" s="12">
        <v>97.5</v>
      </c>
      <c r="O2763">
        <v>0</v>
      </c>
      <c r="P2763" s="12">
        <v>150</v>
      </c>
      <c r="Q2763" s="12">
        <v>97.5</v>
      </c>
      <c r="R2763" s="12">
        <v>52.5</v>
      </c>
      <c r="S2763" t="s">
        <v>113</v>
      </c>
      <c r="T2763" t="s">
        <v>108</v>
      </c>
      <c r="U2763" t="s">
        <v>1201</v>
      </c>
    </row>
    <row r="2764" spans="1:21" x14ac:dyDescent="0.25">
      <c r="A2764" t="s">
        <v>4832</v>
      </c>
      <c r="B2764" s="8">
        <v>45892</v>
      </c>
      <c r="C2764" t="s">
        <v>1366</v>
      </c>
      <c r="D2764" t="s">
        <v>381</v>
      </c>
      <c r="E2764" t="s">
        <v>218</v>
      </c>
      <c r="F2764">
        <v>55</v>
      </c>
      <c r="G2764" t="s">
        <v>2</v>
      </c>
      <c r="H2764" t="s">
        <v>3</v>
      </c>
      <c r="I2764" t="s">
        <v>21</v>
      </c>
      <c r="J2764" t="s">
        <v>23</v>
      </c>
      <c r="K2764" t="s">
        <v>22</v>
      </c>
      <c r="L2764">
        <v>4</v>
      </c>
      <c r="M2764" s="12">
        <v>54999</v>
      </c>
      <c r="N2764" s="12">
        <v>45099.18</v>
      </c>
      <c r="O2764">
        <v>7</v>
      </c>
      <c r="P2764" s="12">
        <v>204596.28</v>
      </c>
      <c r="Q2764" s="12">
        <v>180396.72</v>
      </c>
      <c r="R2764" s="12">
        <v>24199.559999999998</v>
      </c>
      <c r="S2764" t="s">
        <v>1246</v>
      </c>
      <c r="T2764" t="s">
        <v>107</v>
      </c>
      <c r="U2764" t="s">
        <v>1196</v>
      </c>
    </row>
    <row r="2765" spans="1:21" x14ac:dyDescent="0.25">
      <c r="A2765" t="s">
        <v>4833</v>
      </c>
      <c r="B2765" s="8">
        <v>45845</v>
      </c>
      <c r="C2765" t="s">
        <v>2784</v>
      </c>
      <c r="D2765" t="s">
        <v>645</v>
      </c>
      <c r="E2765" t="s">
        <v>198</v>
      </c>
      <c r="F2765">
        <v>50</v>
      </c>
      <c r="G2765" t="s">
        <v>17</v>
      </c>
      <c r="H2765" t="s">
        <v>15</v>
      </c>
      <c r="I2765" t="s">
        <v>24</v>
      </c>
      <c r="J2765" t="s">
        <v>25</v>
      </c>
      <c r="K2765" t="s">
        <v>22</v>
      </c>
      <c r="L2765">
        <v>4</v>
      </c>
      <c r="M2765" s="12">
        <v>35800</v>
      </c>
      <c r="N2765" s="12">
        <v>28640</v>
      </c>
      <c r="O2765">
        <v>8</v>
      </c>
      <c r="P2765" s="12">
        <v>131744</v>
      </c>
      <c r="Q2765" s="12">
        <v>114560</v>
      </c>
      <c r="R2765" s="12">
        <v>17184</v>
      </c>
      <c r="S2765" t="s">
        <v>1246</v>
      </c>
      <c r="T2765" t="s">
        <v>108</v>
      </c>
      <c r="U2765" t="s">
        <v>1207</v>
      </c>
    </row>
    <row r="2766" spans="1:21" x14ac:dyDescent="0.25">
      <c r="A2766" t="s">
        <v>4834</v>
      </c>
      <c r="B2766" s="8">
        <v>45677</v>
      </c>
      <c r="C2766" t="s">
        <v>1981</v>
      </c>
      <c r="D2766" t="s">
        <v>1137</v>
      </c>
      <c r="E2766" t="s">
        <v>218</v>
      </c>
      <c r="F2766">
        <v>36</v>
      </c>
      <c r="G2766" t="s">
        <v>5</v>
      </c>
      <c r="H2766" t="s">
        <v>3</v>
      </c>
      <c r="I2766" t="s">
        <v>55</v>
      </c>
      <c r="J2766" t="s">
        <v>65</v>
      </c>
      <c r="K2766" t="s">
        <v>64</v>
      </c>
      <c r="L2766">
        <v>5</v>
      </c>
      <c r="M2766" s="12">
        <v>80</v>
      </c>
      <c r="N2766" s="12">
        <v>56</v>
      </c>
      <c r="O2766">
        <v>8</v>
      </c>
      <c r="P2766" s="12">
        <v>368</v>
      </c>
      <c r="Q2766" s="12">
        <v>280</v>
      </c>
      <c r="R2766" s="12">
        <v>88</v>
      </c>
      <c r="S2766" t="s">
        <v>1246</v>
      </c>
      <c r="T2766" t="s">
        <v>107</v>
      </c>
      <c r="U2766" t="s">
        <v>1201</v>
      </c>
    </row>
    <row r="2767" spans="1:21" x14ac:dyDescent="0.25">
      <c r="A2767" t="s">
        <v>4835</v>
      </c>
      <c r="B2767" s="8">
        <v>45727</v>
      </c>
      <c r="C2767" t="s">
        <v>2308</v>
      </c>
      <c r="D2767" t="s">
        <v>95</v>
      </c>
      <c r="E2767" t="s">
        <v>198</v>
      </c>
      <c r="F2767">
        <v>57</v>
      </c>
      <c r="G2767" t="s">
        <v>4</v>
      </c>
      <c r="H2767" t="s">
        <v>3</v>
      </c>
      <c r="I2767" t="s">
        <v>51</v>
      </c>
      <c r="J2767" t="s">
        <v>54</v>
      </c>
      <c r="K2767" t="s">
        <v>43</v>
      </c>
      <c r="L2767">
        <v>1</v>
      </c>
      <c r="M2767" s="12">
        <v>27499</v>
      </c>
      <c r="N2767" s="12">
        <v>21724.210000000003</v>
      </c>
      <c r="O2767">
        <v>8</v>
      </c>
      <c r="P2767" s="12">
        <v>25299.08</v>
      </c>
      <c r="Q2767" s="12">
        <v>21724.210000000003</v>
      </c>
      <c r="R2767" s="12">
        <v>3574.869999999999</v>
      </c>
      <c r="S2767" t="s">
        <v>1246</v>
      </c>
      <c r="T2767" t="s">
        <v>110</v>
      </c>
      <c r="U2767" t="s">
        <v>1194</v>
      </c>
    </row>
    <row r="2768" spans="1:21" x14ac:dyDescent="0.25">
      <c r="A2768" t="s">
        <v>4836</v>
      </c>
      <c r="B2768" s="8">
        <v>45757</v>
      </c>
      <c r="C2768" t="s">
        <v>1302</v>
      </c>
      <c r="D2768" t="s">
        <v>415</v>
      </c>
      <c r="E2768" t="s">
        <v>198</v>
      </c>
      <c r="F2768">
        <v>48</v>
      </c>
      <c r="G2768" t="s">
        <v>4</v>
      </c>
      <c r="H2768" t="s">
        <v>3</v>
      </c>
      <c r="I2768" t="s">
        <v>24</v>
      </c>
      <c r="J2768" t="s">
        <v>25</v>
      </c>
      <c r="K2768" t="s">
        <v>22</v>
      </c>
      <c r="L2768">
        <v>4</v>
      </c>
      <c r="M2768" s="12">
        <v>35800</v>
      </c>
      <c r="N2768" s="12">
        <v>28640</v>
      </c>
      <c r="O2768">
        <v>4</v>
      </c>
      <c r="P2768" s="12">
        <v>137472</v>
      </c>
      <c r="Q2768" s="12">
        <v>114560</v>
      </c>
      <c r="R2768" s="12">
        <v>22912</v>
      </c>
      <c r="S2768" t="s">
        <v>1246</v>
      </c>
      <c r="T2768" t="s">
        <v>109</v>
      </c>
      <c r="U2768" t="s">
        <v>1198</v>
      </c>
    </row>
    <row r="2769" spans="1:21" x14ac:dyDescent="0.25">
      <c r="A2769" t="s">
        <v>4837</v>
      </c>
      <c r="B2769" s="8">
        <v>45886</v>
      </c>
      <c r="C2769" t="s">
        <v>4219</v>
      </c>
      <c r="D2769" t="s">
        <v>553</v>
      </c>
      <c r="E2769" t="s">
        <v>198</v>
      </c>
      <c r="F2769">
        <v>42</v>
      </c>
      <c r="G2769" t="s">
        <v>16</v>
      </c>
      <c r="H2769" t="s">
        <v>15</v>
      </c>
      <c r="I2769" t="s">
        <v>36</v>
      </c>
      <c r="J2769" t="s">
        <v>136</v>
      </c>
      <c r="K2769" t="s">
        <v>22</v>
      </c>
      <c r="L2769">
        <v>3</v>
      </c>
      <c r="M2769" s="12">
        <v>3590</v>
      </c>
      <c r="N2769" s="12">
        <v>2333.5</v>
      </c>
      <c r="O2769">
        <v>3</v>
      </c>
      <c r="P2769" s="12">
        <v>10446.9</v>
      </c>
      <c r="Q2769" s="12">
        <v>7000.5</v>
      </c>
      <c r="R2769" s="12">
        <v>3446.3999999999996</v>
      </c>
      <c r="S2769" t="s">
        <v>113</v>
      </c>
      <c r="T2769" t="s">
        <v>110</v>
      </c>
      <c r="U2769" t="s">
        <v>1199</v>
      </c>
    </row>
    <row r="2770" spans="1:21" x14ac:dyDescent="0.25">
      <c r="A2770" t="s">
        <v>4838</v>
      </c>
      <c r="B2770" s="8">
        <v>45855</v>
      </c>
      <c r="C2770" t="s">
        <v>3454</v>
      </c>
      <c r="D2770" t="s">
        <v>939</v>
      </c>
      <c r="E2770" t="s">
        <v>198</v>
      </c>
      <c r="F2770">
        <v>51</v>
      </c>
      <c r="G2770" t="s">
        <v>9</v>
      </c>
      <c r="H2770" t="s">
        <v>8</v>
      </c>
      <c r="I2770" t="s">
        <v>49</v>
      </c>
      <c r="J2770" t="s">
        <v>56</v>
      </c>
      <c r="K2770" t="s">
        <v>43</v>
      </c>
      <c r="L2770">
        <v>2</v>
      </c>
      <c r="M2770" s="12">
        <v>31999</v>
      </c>
      <c r="N2770" s="12">
        <v>25599.200000000001</v>
      </c>
      <c r="O2770">
        <v>6</v>
      </c>
      <c r="P2770" s="12">
        <v>60158.119999999995</v>
      </c>
      <c r="Q2770" s="12">
        <v>51198.400000000001</v>
      </c>
      <c r="R2770" s="12">
        <v>8959.7199999999939</v>
      </c>
      <c r="S2770" t="s">
        <v>113</v>
      </c>
      <c r="T2770" t="s">
        <v>107</v>
      </c>
      <c r="U2770" t="s">
        <v>1201</v>
      </c>
    </row>
    <row r="2771" spans="1:21" x14ac:dyDescent="0.25">
      <c r="A2771" t="s">
        <v>4839</v>
      </c>
      <c r="B2771" s="8">
        <v>45673</v>
      </c>
      <c r="C2771" t="s">
        <v>1837</v>
      </c>
      <c r="D2771" t="s">
        <v>449</v>
      </c>
      <c r="E2771" t="s">
        <v>198</v>
      </c>
      <c r="F2771">
        <v>24</v>
      </c>
      <c r="G2771" t="s">
        <v>14</v>
      </c>
      <c r="H2771" t="s">
        <v>15</v>
      </c>
      <c r="I2771" t="s">
        <v>26</v>
      </c>
      <c r="J2771" t="s">
        <v>27</v>
      </c>
      <c r="K2771" t="s">
        <v>22</v>
      </c>
      <c r="L2771">
        <v>4</v>
      </c>
      <c r="M2771" s="12">
        <v>27499</v>
      </c>
      <c r="N2771" s="12">
        <v>23374.149999999998</v>
      </c>
      <c r="O2771">
        <v>10</v>
      </c>
      <c r="P2771" s="12">
        <v>98996.400000000009</v>
      </c>
      <c r="Q2771" s="12">
        <v>93496.599999999991</v>
      </c>
      <c r="R2771" s="12">
        <v>5499.8000000000175</v>
      </c>
      <c r="S2771" t="s">
        <v>1246</v>
      </c>
      <c r="T2771" t="s">
        <v>107</v>
      </c>
      <c r="U2771" t="s">
        <v>1194</v>
      </c>
    </row>
    <row r="2772" spans="1:21" x14ac:dyDescent="0.25">
      <c r="A2772" t="s">
        <v>4840</v>
      </c>
      <c r="B2772" s="8">
        <v>45758</v>
      </c>
      <c r="C2772" t="s">
        <v>3429</v>
      </c>
      <c r="D2772" t="s">
        <v>530</v>
      </c>
      <c r="E2772" t="s">
        <v>218</v>
      </c>
      <c r="F2772">
        <v>52</v>
      </c>
      <c r="G2772" t="s">
        <v>11</v>
      </c>
      <c r="H2772" t="s">
        <v>12</v>
      </c>
      <c r="I2772" t="s">
        <v>38</v>
      </c>
      <c r="J2772" t="s">
        <v>37</v>
      </c>
      <c r="K2772" t="s">
        <v>22</v>
      </c>
      <c r="L2772">
        <v>5</v>
      </c>
      <c r="M2772" s="12">
        <v>1650</v>
      </c>
      <c r="N2772" s="12">
        <v>990</v>
      </c>
      <c r="O2772">
        <v>8</v>
      </c>
      <c r="P2772" s="12">
        <v>7590</v>
      </c>
      <c r="Q2772" s="12">
        <v>4950</v>
      </c>
      <c r="R2772" s="12">
        <v>2640</v>
      </c>
      <c r="S2772" t="s">
        <v>1246</v>
      </c>
      <c r="T2772" t="s">
        <v>111</v>
      </c>
      <c r="U2772" t="s">
        <v>1198</v>
      </c>
    </row>
    <row r="2773" spans="1:21" x14ac:dyDescent="0.25">
      <c r="A2773" t="s">
        <v>4841</v>
      </c>
      <c r="B2773" s="8">
        <v>46002</v>
      </c>
      <c r="C2773" t="s">
        <v>5083</v>
      </c>
      <c r="D2773" t="s">
        <v>405</v>
      </c>
      <c r="E2773" t="s">
        <v>198</v>
      </c>
      <c r="F2773">
        <v>21</v>
      </c>
      <c r="G2773" t="s">
        <v>11</v>
      </c>
      <c r="H2773" t="s">
        <v>12</v>
      </c>
      <c r="I2773" t="s">
        <v>38</v>
      </c>
      <c r="J2773" t="s">
        <v>37</v>
      </c>
      <c r="K2773" t="s">
        <v>22</v>
      </c>
      <c r="L2773">
        <v>3</v>
      </c>
      <c r="M2773" s="12">
        <v>1650</v>
      </c>
      <c r="N2773" s="12">
        <v>990</v>
      </c>
      <c r="O2773">
        <v>17</v>
      </c>
      <c r="P2773" s="12">
        <v>4108.5</v>
      </c>
      <c r="Q2773" s="12">
        <v>2970</v>
      </c>
      <c r="R2773" s="12">
        <v>1138.5</v>
      </c>
      <c r="S2773" t="s">
        <v>1246</v>
      </c>
      <c r="T2773" t="s">
        <v>107</v>
      </c>
      <c r="U2773" t="s">
        <v>1209</v>
      </c>
    </row>
    <row r="2774" spans="1:21" x14ac:dyDescent="0.25">
      <c r="A2774" t="s">
        <v>4842</v>
      </c>
      <c r="B2774" s="8">
        <v>45769</v>
      </c>
      <c r="C2774" t="s">
        <v>1587</v>
      </c>
      <c r="D2774" t="s">
        <v>526</v>
      </c>
      <c r="E2774" t="s">
        <v>198</v>
      </c>
      <c r="F2774">
        <v>48</v>
      </c>
      <c r="G2774" t="s">
        <v>14</v>
      </c>
      <c r="H2774" t="s">
        <v>15</v>
      </c>
      <c r="I2774" t="s">
        <v>42</v>
      </c>
      <c r="J2774" t="s">
        <v>44</v>
      </c>
      <c r="K2774" t="s">
        <v>43</v>
      </c>
      <c r="L2774">
        <v>2</v>
      </c>
      <c r="M2774" s="12">
        <v>8999</v>
      </c>
      <c r="N2774" s="12">
        <v>6479.28</v>
      </c>
      <c r="O2774">
        <v>9</v>
      </c>
      <c r="P2774" s="12">
        <v>16378.18</v>
      </c>
      <c r="Q2774" s="12">
        <v>12958.56</v>
      </c>
      <c r="R2774" s="12">
        <v>3419.6200000000008</v>
      </c>
      <c r="S2774" t="s">
        <v>113</v>
      </c>
      <c r="T2774" t="s">
        <v>111</v>
      </c>
      <c r="U2774" t="s">
        <v>1194</v>
      </c>
    </row>
    <row r="2775" spans="1:21" x14ac:dyDescent="0.25">
      <c r="A2775" t="s">
        <v>4843</v>
      </c>
      <c r="B2775" s="8">
        <v>45904</v>
      </c>
      <c r="C2775" t="s">
        <v>3197</v>
      </c>
      <c r="D2775" t="s">
        <v>648</v>
      </c>
      <c r="E2775" t="s">
        <v>218</v>
      </c>
      <c r="F2775">
        <v>20</v>
      </c>
      <c r="G2775" t="s">
        <v>290</v>
      </c>
      <c r="H2775" t="s">
        <v>3</v>
      </c>
      <c r="I2775" t="s">
        <v>49</v>
      </c>
      <c r="J2775" t="s">
        <v>56</v>
      </c>
      <c r="K2775" t="s">
        <v>43</v>
      </c>
      <c r="L2775">
        <v>3</v>
      </c>
      <c r="M2775" s="12">
        <v>31999</v>
      </c>
      <c r="N2775" s="12">
        <v>25599.200000000001</v>
      </c>
      <c r="O2775">
        <v>8</v>
      </c>
      <c r="P2775" s="12">
        <v>88317.24</v>
      </c>
      <c r="Q2775" s="12">
        <v>76797.600000000006</v>
      </c>
      <c r="R2775" s="12">
        <v>11519.64</v>
      </c>
      <c r="S2775" t="s">
        <v>1246</v>
      </c>
      <c r="T2775" t="s">
        <v>108</v>
      </c>
      <c r="U2775" t="s">
        <v>1203</v>
      </c>
    </row>
    <row r="2776" spans="1:21" x14ac:dyDescent="0.25">
      <c r="A2776" t="s">
        <v>4844</v>
      </c>
      <c r="B2776" s="8">
        <v>45920</v>
      </c>
      <c r="C2776" t="s">
        <v>4001</v>
      </c>
      <c r="D2776" t="s">
        <v>777</v>
      </c>
      <c r="E2776" t="s">
        <v>218</v>
      </c>
      <c r="F2776">
        <v>19</v>
      </c>
      <c r="G2776" t="s">
        <v>4</v>
      </c>
      <c r="H2776" t="s">
        <v>3</v>
      </c>
      <c r="I2776" t="s">
        <v>38</v>
      </c>
      <c r="J2776" t="s">
        <v>37</v>
      </c>
      <c r="K2776" t="s">
        <v>22</v>
      </c>
      <c r="L2776">
        <v>3</v>
      </c>
      <c r="M2776" s="12">
        <v>1650</v>
      </c>
      <c r="N2776" s="12">
        <v>990</v>
      </c>
      <c r="O2776">
        <v>3</v>
      </c>
      <c r="P2776" s="12">
        <v>4801.5</v>
      </c>
      <c r="Q2776" s="12">
        <v>2970</v>
      </c>
      <c r="R2776" s="12">
        <v>1831.5</v>
      </c>
      <c r="S2776" t="s">
        <v>1246</v>
      </c>
      <c r="T2776" t="s">
        <v>110</v>
      </c>
      <c r="U2776" t="s">
        <v>1207</v>
      </c>
    </row>
    <row r="2777" spans="1:21" x14ac:dyDescent="0.25">
      <c r="A2777" t="s">
        <v>4845</v>
      </c>
      <c r="B2777" s="8">
        <v>45990</v>
      </c>
      <c r="C2777" t="s">
        <v>1590</v>
      </c>
      <c r="D2777" t="s">
        <v>562</v>
      </c>
      <c r="E2777" t="s">
        <v>218</v>
      </c>
      <c r="F2777">
        <v>44</v>
      </c>
      <c r="G2777" t="s">
        <v>290</v>
      </c>
      <c r="H2777" t="s">
        <v>3</v>
      </c>
      <c r="I2777" t="s">
        <v>47</v>
      </c>
      <c r="J2777" t="s">
        <v>52</v>
      </c>
      <c r="K2777" t="s">
        <v>43</v>
      </c>
      <c r="L2777">
        <v>5</v>
      </c>
      <c r="M2777" s="12">
        <v>42999</v>
      </c>
      <c r="N2777" s="12">
        <v>33539.22</v>
      </c>
      <c r="O2777">
        <v>12</v>
      </c>
      <c r="P2777" s="12">
        <v>189195.6</v>
      </c>
      <c r="Q2777" s="12">
        <v>167696.1</v>
      </c>
      <c r="R2777" s="12">
        <v>21499.5</v>
      </c>
      <c r="S2777" t="s">
        <v>1246</v>
      </c>
      <c r="T2777" t="s">
        <v>107</v>
      </c>
      <c r="U2777" t="s">
        <v>1207</v>
      </c>
    </row>
    <row r="2778" spans="1:21" x14ac:dyDescent="0.25">
      <c r="A2778" t="s">
        <v>4846</v>
      </c>
      <c r="B2778" s="8">
        <v>45870</v>
      </c>
      <c r="C2778" t="s">
        <v>1295</v>
      </c>
      <c r="D2778" t="s">
        <v>404</v>
      </c>
      <c r="E2778" t="s">
        <v>198</v>
      </c>
      <c r="F2778">
        <v>31</v>
      </c>
      <c r="G2778" t="s">
        <v>289</v>
      </c>
      <c r="H2778" t="s">
        <v>3</v>
      </c>
      <c r="I2778" t="s">
        <v>40</v>
      </c>
      <c r="J2778" t="s">
        <v>39</v>
      </c>
      <c r="K2778" t="s">
        <v>22</v>
      </c>
      <c r="L2778">
        <v>3</v>
      </c>
      <c r="M2778" s="12">
        <v>1100</v>
      </c>
      <c r="N2778" s="12">
        <v>715</v>
      </c>
      <c r="O2778">
        <v>5</v>
      </c>
      <c r="P2778" s="12">
        <v>3135</v>
      </c>
      <c r="Q2778" s="12">
        <v>2145</v>
      </c>
      <c r="R2778" s="12">
        <v>990</v>
      </c>
      <c r="S2778" t="s">
        <v>1246</v>
      </c>
      <c r="T2778" t="s">
        <v>107</v>
      </c>
      <c r="U2778" t="s">
        <v>1198</v>
      </c>
    </row>
    <row r="2779" spans="1:21" x14ac:dyDescent="0.25">
      <c r="A2779" t="s">
        <v>4847</v>
      </c>
      <c r="B2779" s="8">
        <v>45939</v>
      </c>
      <c r="C2779" t="s">
        <v>2219</v>
      </c>
      <c r="D2779" t="s">
        <v>1160</v>
      </c>
      <c r="E2779" t="s">
        <v>198</v>
      </c>
      <c r="F2779">
        <v>49</v>
      </c>
      <c r="G2779" t="s">
        <v>14</v>
      </c>
      <c r="H2779" t="s">
        <v>15</v>
      </c>
      <c r="I2779" t="s">
        <v>59</v>
      </c>
      <c r="J2779" t="s">
        <v>73</v>
      </c>
      <c r="K2779" t="s">
        <v>64</v>
      </c>
      <c r="L2779">
        <v>5</v>
      </c>
      <c r="M2779" s="12">
        <v>120</v>
      </c>
      <c r="N2779" s="12">
        <v>81.599999999999994</v>
      </c>
      <c r="O2779">
        <v>3</v>
      </c>
      <c r="P2779" s="12">
        <v>582</v>
      </c>
      <c r="Q2779" s="12">
        <v>408</v>
      </c>
      <c r="R2779" s="12">
        <v>174</v>
      </c>
      <c r="S2779" t="s">
        <v>113</v>
      </c>
      <c r="T2779" t="s">
        <v>108</v>
      </c>
      <c r="U2779" t="s">
        <v>1194</v>
      </c>
    </row>
    <row r="2780" spans="1:21" x14ac:dyDescent="0.25">
      <c r="A2780" t="s">
        <v>4848</v>
      </c>
      <c r="B2780" s="8">
        <v>45851</v>
      </c>
      <c r="C2780" t="s">
        <v>2027</v>
      </c>
      <c r="D2780" t="s">
        <v>369</v>
      </c>
      <c r="E2780" t="s">
        <v>198</v>
      </c>
      <c r="F2780">
        <v>24</v>
      </c>
      <c r="G2780" t="s">
        <v>9</v>
      </c>
      <c r="H2780" t="s">
        <v>8</v>
      </c>
      <c r="I2780" t="s">
        <v>21</v>
      </c>
      <c r="J2780" t="s">
        <v>23</v>
      </c>
      <c r="K2780" t="s">
        <v>22</v>
      </c>
      <c r="L2780">
        <v>5</v>
      </c>
      <c r="M2780" s="12">
        <v>54999</v>
      </c>
      <c r="N2780" s="12">
        <v>45099.18</v>
      </c>
      <c r="O2780">
        <v>6</v>
      </c>
      <c r="P2780" s="12">
        <v>258495.3</v>
      </c>
      <c r="Q2780" s="12">
        <v>225495.9</v>
      </c>
      <c r="R2780" s="12">
        <v>32999.399999999994</v>
      </c>
      <c r="S2780" t="s">
        <v>1246</v>
      </c>
      <c r="T2780" t="s">
        <v>109</v>
      </c>
      <c r="U2780" t="s">
        <v>1209</v>
      </c>
    </row>
    <row r="2781" spans="1:21" x14ac:dyDescent="0.25">
      <c r="A2781" t="s">
        <v>4849</v>
      </c>
      <c r="B2781" s="8">
        <v>45719</v>
      </c>
      <c r="C2781" t="s">
        <v>1304</v>
      </c>
      <c r="D2781" t="s">
        <v>1152</v>
      </c>
      <c r="E2781" t="s">
        <v>198</v>
      </c>
      <c r="F2781">
        <v>21</v>
      </c>
      <c r="G2781" t="s">
        <v>5</v>
      </c>
      <c r="H2781" t="s">
        <v>3</v>
      </c>
      <c r="I2781" t="s">
        <v>61</v>
      </c>
      <c r="J2781" t="s">
        <v>146</v>
      </c>
      <c r="K2781" t="s">
        <v>64</v>
      </c>
      <c r="L2781">
        <v>1</v>
      </c>
      <c r="M2781" s="12">
        <v>250</v>
      </c>
      <c r="N2781" s="12">
        <v>155</v>
      </c>
      <c r="O2781">
        <v>5</v>
      </c>
      <c r="P2781" s="12">
        <v>237.5</v>
      </c>
      <c r="Q2781" s="12">
        <v>155</v>
      </c>
      <c r="R2781" s="12">
        <v>82.5</v>
      </c>
      <c r="S2781" t="s">
        <v>1246</v>
      </c>
      <c r="T2781" t="s">
        <v>109</v>
      </c>
      <c r="U2781" t="s">
        <v>1207</v>
      </c>
    </row>
    <row r="2782" spans="1:21" x14ac:dyDescent="0.25">
      <c r="A2782" t="s">
        <v>4850</v>
      </c>
      <c r="B2782" s="8">
        <v>45702</v>
      </c>
      <c r="C2782" t="s">
        <v>2066</v>
      </c>
      <c r="D2782" t="s">
        <v>445</v>
      </c>
      <c r="E2782" t="s">
        <v>218</v>
      </c>
      <c r="F2782">
        <v>22</v>
      </c>
      <c r="G2782" t="s">
        <v>290</v>
      </c>
      <c r="H2782" t="s">
        <v>3</v>
      </c>
      <c r="I2782" t="s">
        <v>59</v>
      </c>
      <c r="J2782" t="s">
        <v>73</v>
      </c>
      <c r="K2782" t="s">
        <v>64</v>
      </c>
      <c r="L2782">
        <v>2</v>
      </c>
      <c r="M2782" s="12">
        <v>120</v>
      </c>
      <c r="N2782" s="12">
        <v>81.599999999999994</v>
      </c>
      <c r="O2782">
        <v>4</v>
      </c>
      <c r="P2782" s="12">
        <v>230.39999999999998</v>
      </c>
      <c r="Q2782" s="12">
        <v>163.19999999999999</v>
      </c>
      <c r="R2782" s="12">
        <v>67.199999999999989</v>
      </c>
      <c r="S2782" t="s">
        <v>1246</v>
      </c>
      <c r="T2782" t="s">
        <v>108</v>
      </c>
      <c r="U2782" t="s">
        <v>1194</v>
      </c>
    </row>
    <row r="2783" spans="1:21" x14ac:dyDescent="0.25">
      <c r="A2783" t="s">
        <v>4851</v>
      </c>
      <c r="B2783" s="8">
        <v>45846</v>
      </c>
      <c r="C2783" t="s">
        <v>2548</v>
      </c>
      <c r="D2783" t="s">
        <v>734</v>
      </c>
      <c r="E2783" t="s">
        <v>218</v>
      </c>
      <c r="F2783">
        <v>38</v>
      </c>
      <c r="G2783" t="s">
        <v>16</v>
      </c>
      <c r="H2783" t="s">
        <v>15</v>
      </c>
      <c r="I2783" t="s">
        <v>21</v>
      </c>
      <c r="J2783" t="s">
        <v>23</v>
      </c>
      <c r="K2783" t="s">
        <v>22</v>
      </c>
      <c r="L2783">
        <v>1</v>
      </c>
      <c r="M2783" s="12">
        <v>54999</v>
      </c>
      <c r="N2783" s="12">
        <v>45099.18</v>
      </c>
      <c r="O2783">
        <v>8</v>
      </c>
      <c r="P2783" s="12">
        <v>50599.08</v>
      </c>
      <c r="Q2783" s="12">
        <v>45099.18</v>
      </c>
      <c r="R2783" s="12">
        <v>5499.9000000000015</v>
      </c>
      <c r="S2783" t="s">
        <v>1246</v>
      </c>
      <c r="T2783" t="s">
        <v>107</v>
      </c>
      <c r="U2783" t="s">
        <v>1201</v>
      </c>
    </row>
    <row r="2784" spans="1:21" x14ac:dyDescent="0.25">
      <c r="A2784" t="s">
        <v>4852</v>
      </c>
      <c r="B2784" s="8">
        <v>45683</v>
      </c>
      <c r="C2784" t="s">
        <v>2250</v>
      </c>
      <c r="D2784" t="s">
        <v>983</v>
      </c>
      <c r="E2784" t="s">
        <v>198</v>
      </c>
      <c r="F2784">
        <v>25</v>
      </c>
      <c r="G2784" t="s">
        <v>289</v>
      </c>
      <c r="H2784" t="s">
        <v>3</v>
      </c>
      <c r="I2784" t="s">
        <v>28</v>
      </c>
      <c r="J2784" t="s">
        <v>35</v>
      </c>
      <c r="K2784" t="s">
        <v>22</v>
      </c>
      <c r="L2784">
        <v>5</v>
      </c>
      <c r="M2784" s="12">
        <v>16499</v>
      </c>
      <c r="N2784" s="12">
        <v>14519.12</v>
      </c>
      <c r="O2784">
        <v>8</v>
      </c>
      <c r="P2784" s="12">
        <v>75895.400000000009</v>
      </c>
      <c r="Q2784" s="12">
        <v>72595.600000000006</v>
      </c>
      <c r="R2784" s="12">
        <v>3299.8000000000029</v>
      </c>
      <c r="S2784" t="s">
        <v>1246</v>
      </c>
      <c r="T2784" t="s">
        <v>108</v>
      </c>
      <c r="U2784" t="s">
        <v>1196</v>
      </c>
    </row>
    <row r="2785" spans="1:21" x14ac:dyDescent="0.25">
      <c r="A2785" t="s">
        <v>4853</v>
      </c>
      <c r="B2785" s="8">
        <v>45960</v>
      </c>
      <c r="C2785" t="s">
        <v>1363</v>
      </c>
      <c r="D2785" t="s">
        <v>1117</v>
      </c>
      <c r="E2785" t="s">
        <v>198</v>
      </c>
      <c r="F2785">
        <v>36</v>
      </c>
      <c r="G2785" t="s">
        <v>17</v>
      </c>
      <c r="H2785" t="s">
        <v>15</v>
      </c>
      <c r="I2785" t="s">
        <v>53</v>
      </c>
      <c r="J2785" t="s">
        <v>48</v>
      </c>
      <c r="K2785" t="s">
        <v>43</v>
      </c>
      <c r="L2785">
        <v>1</v>
      </c>
      <c r="M2785" s="12">
        <v>6499</v>
      </c>
      <c r="N2785" s="12">
        <v>4549.2999999999993</v>
      </c>
      <c r="O2785">
        <v>6</v>
      </c>
      <c r="P2785" s="12">
        <v>6109.0599999999995</v>
      </c>
      <c r="Q2785" s="12">
        <v>4549.2999999999993</v>
      </c>
      <c r="R2785" s="12">
        <v>1559.7600000000002</v>
      </c>
      <c r="S2785" t="s">
        <v>1246</v>
      </c>
      <c r="T2785" t="s">
        <v>111</v>
      </c>
      <c r="U2785" t="s">
        <v>1211</v>
      </c>
    </row>
    <row r="2786" spans="1:21" x14ac:dyDescent="0.25">
      <c r="A2786" t="s">
        <v>4854</v>
      </c>
      <c r="B2786" s="8">
        <v>45682</v>
      </c>
      <c r="C2786" t="s">
        <v>3296</v>
      </c>
      <c r="D2786" t="s">
        <v>430</v>
      </c>
      <c r="E2786" t="s">
        <v>218</v>
      </c>
      <c r="F2786">
        <v>54</v>
      </c>
      <c r="G2786" t="s">
        <v>7</v>
      </c>
      <c r="H2786" t="s">
        <v>8</v>
      </c>
      <c r="I2786" t="s">
        <v>36</v>
      </c>
      <c r="J2786" t="s">
        <v>136</v>
      </c>
      <c r="K2786" t="s">
        <v>22</v>
      </c>
      <c r="L2786">
        <v>3</v>
      </c>
      <c r="M2786" s="12">
        <v>3590</v>
      </c>
      <c r="N2786" s="12">
        <v>2333.5</v>
      </c>
      <c r="O2786">
        <v>9</v>
      </c>
      <c r="P2786" s="12">
        <v>9800.7000000000007</v>
      </c>
      <c r="Q2786" s="12">
        <v>7000.5</v>
      </c>
      <c r="R2786" s="12">
        <v>2800.2000000000007</v>
      </c>
      <c r="S2786" t="s">
        <v>113</v>
      </c>
      <c r="T2786" t="s">
        <v>109</v>
      </c>
      <c r="U2786" t="s">
        <v>1203</v>
      </c>
    </row>
    <row r="2787" spans="1:21" x14ac:dyDescent="0.25">
      <c r="A2787" t="s">
        <v>4855</v>
      </c>
      <c r="B2787" s="8">
        <v>45849</v>
      </c>
      <c r="C2787" t="s">
        <v>2809</v>
      </c>
      <c r="D2787" t="s">
        <v>1123</v>
      </c>
      <c r="E2787" t="s">
        <v>218</v>
      </c>
      <c r="F2787">
        <v>57</v>
      </c>
      <c r="G2787" t="s">
        <v>10</v>
      </c>
      <c r="H2787" t="s">
        <v>8</v>
      </c>
      <c r="I2787" t="s">
        <v>42</v>
      </c>
      <c r="J2787" t="s">
        <v>44</v>
      </c>
      <c r="K2787" t="s">
        <v>43</v>
      </c>
      <c r="L2787">
        <v>1</v>
      </c>
      <c r="M2787" s="12">
        <v>8999</v>
      </c>
      <c r="N2787" s="12">
        <v>6479.28</v>
      </c>
      <c r="O2787">
        <v>9</v>
      </c>
      <c r="P2787" s="12">
        <v>8189.09</v>
      </c>
      <c r="Q2787" s="12">
        <v>6479.28</v>
      </c>
      <c r="R2787" s="12">
        <v>1709.8100000000004</v>
      </c>
      <c r="S2787" t="s">
        <v>113</v>
      </c>
      <c r="T2787" t="s">
        <v>109</v>
      </c>
      <c r="U2787" t="s">
        <v>1203</v>
      </c>
    </row>
    <row r="2788" spans="1:21" x14ac:dyDescent="0.25">
      <c r="A2788" t="s">
        <v>4856</v>
      </c>
      <c r="B2788" s="8">
        <v>45820</v>
      </c>
      <c r="C2788" t="s">
        <v>1522</v>
      </c>
      <c r="D2788" t="s">
        <v>964</v>
      </c>
      <c r="E2788" t="s">
        <v>198</v>
      </c>
      <c r="F2788">
        <v>40</v>
      </c>
      <c r="G2788" t="s">
        <v>11</v>
      </c>
      <c r="H2788" t="s">
        <v>12</v>
      </c>
      <c r="I2788" t="s">
        <v>21</v>
      </c>
      <c r="J2788" t="s">
        <v>23</v>
      </c>
      <c r="K2788" t="s">
        <v>22</v>
      </c>
      <c r="L2788">
        <v>3</v>
      </c>
      <c r="M2788" s="12">
        <v>54999</v>
      </c>
      <c r="N2788" s="12">
        <v>45099.18</v>
      </c>
      <c r="O2788">
        <v>9</v>
      </c>
      <c r="P2788" s="12">
        <v>150147.27000000002</v>
      </c>
      <c r="Q2788" s="12">
        <v>135297.54</v>
      </c>
      <c r="R2788" s="12">
        <v>14849.73000000001</v>
      </c>
      <c r="S2788" t="s">
        <v>1246</v>
      </c>
      <c r="T2788" t="s">
        <v>107</v>
      </c>
      <c r="U2788" t="s">
        <v>1201</v>
      </c>
    </row>
    <row r="2789" spans="1:21" x14ac:dyDescent="0.25">
      <c r="A2789" t="s">
        <v>4857</v>
      </c>
      <c r="B2789" s="8">
        <v>45947</v>
      </c>
      <c r="C2789" t="s">
        <v>4095</v>
      </c>
      <c r="D2789" t="s">
        <v>1014</v>
      </c>
      <c r="E2789" t="s">
        <v>218</v>
      </c>
      <c r="F2789">
        <v>63</v>
      </c>
      <c r="G2789" t="s">
        <v>290</v>
      </c>
      <c r="H2789" t="s">
        <v>3</v>
      </c>
      <c r="I2789" t="s">
        <v>32</v>
      </c>
      <c r="J2789" t="s">
        <v>29</v>
      </c>
      <c r="K2789" t="s">
        <v>22</v>
      </c>
      <c r="L2789">
        <v>2</v>
      </c>
      <c r="M2789" s="12">
        <v>9500</v>
      </c>
      <c r="N2789" s="12">
        <v>6650</v>
      </c>
      <c r="O2789">
        <v>5</v>
      </c>
      <c r="P2789" s="12">
        <v>18050</v>
      </c>
      <c r="Q2789" s="12">
        <v>13300</v>
      </c>
      <c r="R2789" s="12">
        <v>4750</v>
      </c>
      <c r="S2789" t="s">
        <v>1249</v>
      </c>
      <c r="T2789" t="s">
        <v>107</v>
      </c>
      <c r="U2789" t="s">
        <v>1201</v>
      </c>
    </row>
    <row r="2790" spans="1:21" x14ac:dyDescent="0.25">
      <c r="A2790" t="s">
        <v>4858</v>
      </c>
      <c r="B2790" s="8">
        <v>45724</v>
      </c>
      <c r="C2790" t="s">
        <v>1308</v>
      </c>
      <c r="D2790" t="s">
        <v>1067</v>
      </c>
      <c r="E2790" t="s">
        <v>218</v>
      </c>
      <c r="F2790">
        <v>24</v>
      </c>
      <c r="G2790" t="s">
        <v>4</v>
      </c>
      <c r="H2790" t="s">
        <v>3</v>
      </c>
      <c r="I2790" t="s">
        <v>45</v>
      </c>
      <c r="J2790" t="s">
        <v>46</v>
      </c>
      <c r="K2790" t="s">
        <v>43</v>
      </c>
      <c r="L2790">
        <v>1</v>
      </c>
      <c r="M2790" s="12">
        <v>11999</v>
      </c>
      <c r="N2790" s="12">
        <v>8999.25</v>
      </c>
      <c r="O2790">
        <v>9</v>
      </c>
      <c r="P2790" s="12">
        <v>10919.09</v>
      </c>
      <c r="Q2790" s="12">
        <v>8999.25</v>
      </c>
      <c r="R2790" s="12">
        <v>1919.8400000000001</v>
      </c>
      <c r="S2790" t="s">
        <v>1246</v>
      </c>
      <c r="T2790" t="s">
        <v>109</v>
      </c>
      <c r="U2790" t="s">
        <v>1199</v>
      </c>
    </row>
    <row r="2791" spans="1:21" x14ac:dyDescent="0.25">
      <c r="A2791" t="s">
        <v>4859</v>
      </c>
      <c r="B2791" s="8">
        <v>46013</v>
      </c>
      <c r="C2791" t="s">
        <v>1623</v>
      </c>
      <c r="D2791" t="s">
        <v>723</v>
      </c>
      <c r="E2791" t="s">
        <v>218</v>
      </c>
      <c r="F2791">
        <v>46</v>
      </c>
      <c r="G2791" t="s">
        <v>7</v>
      </c>
      <c r="H2791" t="s">
        <v>8</v>
      </c>
      <c r="I2791" t="s">
        <v>32</v>
      </c>
      <c r="J2791" t="s">
        <v>29</v>
      </c>
      <c r="K2791" t="s">
        <v>22</v>
      </c>
      <c r="L2791">
        <v>3</v>
      </c>
      <c r="M2791" s="12">
        <v>9500</v>
      </c>
      <c r="N2791" s="12">
        <v>6650</v>
      </c>
      <c r="O2791">
        <v>17</v>
      </c>
      <c r="P2791" s="12">
        <v>23655</v>
      </c>
      <c r="Q2791" s="12">
        <v>19950</v>
      </c>
      <c r="R2791" s="12">
        <v>3705</v>
      </c>
      <c r="S2791" t="s">
        <v>1246</v>
      </c>
      <c r="T2791" t="s">
        <v>107</v>
      </c>
      <c r="U2791" t="s">
        <v>1211</v>
      </c>
    </row>
    <row r="2792" spans="1:21" x14ac:dyDescent="0.25">
      <c r="A2792" t="s">
        <v>4860</v>
      </c>
      <c r="B2792" s="8">
        <v>45688</v>
      </c>
      <c r="C2792" t="s">
        <v>1324</v>
      </c>
      <c r="D2792" t="s">
        <v>727</v>
      </c>
      <c r="E2792" t="s">
        <v>218</v>
      </c>
      <c r="F2792">
        <v>44</v>
      </c>
      <c r="G2792" t="s">
        <v>7</v>
      </c>
      <c r="H2792" t="s">
        <v>8</v>
      </c>
      <c r="I2792" t="s">
        <v>53</v>
      </c>
      <c r="J2792" t="s">
        <v>48</v>
      </c>
      <c r="K2792" t="s">
        <v>43</v>
      </c>
      <c r="L2792">
        <v>2</v>
      </c>
      <c r="M2792" s="12">
        <v>6499</v>
      </c>
      <c r="N2792" s="12">
        <v>4549.2999999999993</v>
      </c>
      <c r="O2792">
        <v>3</v>
      </c>
      <c r="P2792" s="12">
        <v>12608.06</v>
      </c>
      <c r="Q2792" s="12">
        <v>9098.5999999999985</v>
      </c>
      <c r="R2792" s="12">
        <v>3509.4600000000009</v>
      </c>
      <c r="S2792" t="s">
        <v>1246</v>
      </c>
      <c r="T2792" t="s">
        <v>107</v>
      </c>
      <c r="U2792" t="s">
        <v>1207</v>
      </c>
    </row>
    <row r="2793" spans="1:21" x14ac:dyDescent="0.25">
      <c r="A2793" t="s">
        <v>4861</v>
      </c>
      <c r="B2793" s="8">
        <v>45885</v>
      </c>
      <c r="C2793" t="s">
        <v>5082</v>
      </c>
      <c r="D2793" t="s">
        <v>628</v>
      </c>
      <c r="E2793" t="s">
        <v>198</v>
      </c>
      <c r="F2793">
        <v>42</v>
      </c>
      <c r="G2793" t="s">
        <v>16</v>
      </c>
      <c r="H2793" t="s">
        <v>15</v>
      </c>
      <c r="I2793" t="s">
        <v>24</v>
      </c>
      <c r="J2793" t="s">
        <v>25</v>
      </c>
      <c r="K2793" t="s">
        <v>22</v>
      </c>
      <c r="L2793">
        <v>5</v>
      </c>
      <c r="M2793" s="12">
        <v>35800</v>
      </c>
      <c r="N2793" s="12">
        <v>28640</v>
      </c>
      <c r="O2793">
        <v>4</v>
      </c>
      <c r="P2793" s="12">
        <v>171840</v>
      </c>
      <c r="Q2793" s="12">
        <v>143200</v>
      </c>
      <c r="R2793" s="12">
        <v>28640</v>
      </c>
      <c r="S2793" t="s">
        <v>1246</v>
      </c>
      <c r="T2793" t="s">
        <v>108</v>
      </c>
      <c r="U2793" t="s">
        <v>1198</v>
      </c>
    </row>
    <row r="2794" spans="1:21" x14ac:dyDescent="0.25">
      <c r="A2794" t="s">
        <v>4862</v>
      </c>
      <c r="B2794" s="8">
        <v>45937</v>
      </c>
      <c r="C2794" t="s">
        <v>2029</v>
      </c>
      <c r="D2794" t="s">
        <v>1143</v>
      </c>
      <c r="E2794" t="s">
        <v>218</v>
      </c>
      <c r="F2794">
        <v>49</v>
      </c>
      <c r="G2794" t="s">
        <v>10</v>
      </c>
      <c r="H2794" t="s">
        <v>8</v>
      </c>
      <c r="I2794" t="s">
        <v>26</v>
      </c>
      <c r="J2794" t="s">
        <v>27</v>
      </c>
      <c r="K2794" t="s">
        <v>22</v>
      </c>
      <c r="L2794">
        <v>3</v>
      </c>
      <c r="M2794" s="12">
        <v>27499</v>
      </c>
      <c r="N2794" s="12">
        <v>23374.149999999998</v>
      </c>
      <c r="O2794">
        <v>4</v>
      </c>
      <c r="P2794" s="12">
        <v>79197.119999999995</v>
      </c>
      <c r="Q2794" s="12">
        <v>70122.45</v>
      </c>
      <c r="R2794" s="12">
        <v>9074.6699999999983</v>
      </c>
      <c r="S2794" t="s">
        <v>113</v>
      </c>
      <c r="T2794" t="s">
        <v>109</v>
      </c>
      <c r="U2794" t="s">
        <v>1194</v>
      </c>
    </row>
    <row r="2795" spans="1:21" x14ac:dyDescent="0.25">
      <c r="A2795" t="s">
        <v>4863</v>
      </c>
      <c r="B2795" s="8">
        <v>45716</v>
      </c>
      <c r="C2795" t="s">
        <v>2019</v>
      </c>
      <c r="D2795" t="s">
        <v>639</v>
      </c>
      <c r="E2795" t="s">
        <v>218</v>
      </c>
      <c r="F2795">
        <v>52</v>
      </c>
      <c r="G2795" t="s">
        <v>17</v>
      </c>
      <c r="H2795" t="s">
        <v>15</v>
      </c>
      <c r="I2795" t="s">
        <v>38</v>
      </c>
      <c r="J2795" t="s">
        <v>37</v>
      </c>
      <c r="K2795" t="s">
        <v>22</v>
      </c>
      <c r="L2795">
        <v>2</v>
      </c>
      <c r="M2795" s="12">
        <v>1650</v>
      </c>
      <c r="N2795" s="12">
        <v>990</v>
      </c>
      <c r="O2795">
        <v>5</v>
      </c>
      <c r="P2795" s="12">
        <v>3135</v>
      </c>
      <c r="Q2795" s="12">
        <v>1980</v>
      </c>
      <c r="R2795" s="12">
        <v>1155</v>
      </c>
      <c r="S2795" t="s">
        <v>1246</v>
      </c>
      <c r="T2795" t="s">
        <v>109</v>
      </c>
      <c r="U2795" t="s">
        <v>1205</v>
      </c>
    </row>
    <row r="2796" spans="1:21" x14ac:dyDescent="0.25">
      <c r="A2796" t="s">
        <v>4864</v>
      </c>
      <c r="B2796" s="8">
        <v>45740</v>
      </c>
      <c r="C2796" t="s">
        <v>2658</v>
      </c>
      <c r="D2796" t="s">
        <v>1139</v>
      </c>
      <c r="E2796" t="s">
        <v>198</v>
      </c>
      <c r="F2796">
        <v>47</v>
      </c>
      <c r="G2796" t="s">
        <v>17</v>
      </c>
      <c r="H2796" t="s">
        <v>15</v>
      </c>
      <c r="I2796" t="s">
        <v>36</v>
      </c>
      <c r="J2796" t="s">
        <v>136</v>
      </c>
      <c r="K2796" t="s">
        <v>22</v>
      </c>
      <c r="L2796">
        <v>3</v>
      </c>
      <c r="M2796" s="12">
        <v>3590</v>
      </c>
      <c r="N2796" s="12">
        <v>2333.5</v>
      </c>
      <c r="O2796">
        <v>3</v>
      </c>
      <c r="P2796" s="12">
        <v>10446.9</v>
      </c>
      <c r="Q2796" s="12">
        <v>7000.5</v>
      </c>
      <c r="R2796" s="12">
        <v>3446.3999999999996</v>
      </c>
      <c r="S2796" t="s">
        <v>1246</v>
      </c>
      <c r="T2796" t="s">
        <v>107</v>
      </c>
      <c r="U2796" t="s">
        <v>1205</v>
      </c>
    </row>
    <row r="2797" spans="1:21" x14ac:dyDescent="0.25">
      <c r="A2797" t="s">
        <v>4865</v>
      </c>
      <c r="B2797" s="8">
        <v>45911</v>
      </c>
      <c r="C2797" t="s">
        <v>1973</v>
      </c>
      <c r="D2797" t="s">
        <v>997</v>
      </c>
      <c r="E2797" t="s">
        <v>198</v>
      </c>
      <c r="F2797">
        <v>42</v>
      </c>
      <c r="G2797" t="s">
        <v>11</v>
      </c>
      <c r="H2797" t="s">
        <v>12</v>
      </c>
      <c r="I2797" t="s">
        <v>32</v>
      </c>
      <c r="J2797" t="s">
        <v>29</v>
      </c>
      <c r="K2797" t="s">
        <v>22</v>
      </c>
      <c r="L2797">
        <v>1</v>
      </c>
      <c r="M2797" s="12">
        <v>9500</v>
      </c>
      <c r="N2797" s="12">
        <v>6650</v>
      </c>
      <c r="O2797">
        <v>5</v>
      </c>
      <c r="P2797" s="12">
        <v>9025</v>
      </c>
      <c r="Q2797" s="12">
        <v>6650</v>
      </c>
      <c r="R2797" s="12">
        <v>2375</v>
      </c>
      <c r="S2797" t="s">
        <v>1246</v>
      </c>
      <c r="T2797" t="s">
        <v>109</v>
      </c>
      <c r="U2797" t="s">
        <v>1207</v>
      </c>
    </row>
    <row r="2798" spans="1:21" x14ac:dyDescent="0.25">
      <c r="A2798" t="s">
        <v>4866</v>
      </c>
      <c r="B2798" s="8">
        <v>45883</v>
      </c>
      <c r="C2798" t="s">
        <v>3146</v>
      </c>
      <c r="D2798" t="s">
        <v>905</v>
      </c>
      <c r="E2798" t="s">
        <v>218</v>
      </c>
      <c r="F2798">
        <v>63</v>
      </c>
      <c r="G2798" t="s">
        <v>2</v>
      </c>
      <c r="H2798" t="s">
        <v>3</v>
      </c>
      <c r="I2798" t="s">
        <v>26</v>
      </c>
      <c r="J2798" t="s">
        <v>27</v>
      </c>
      <c r="K2798" t="s">
        <v>22</v>
      </c>
      <c r="L2798">
        <v>5</v>
      </c>
      <c r="M2798" s="12">
        <v>27499</v>
      </c>
      <c r="N2798" s="12">
        <v>23374.149999999998</v>
      </c>
      <c r="O2798">
        <v>6</v>
      </c>
      <c r="P2798" s="12">
        <v>129245.29999999999</v>
      </c>
      <c r="Q2798" s="12">
        <v>116870.74999999999</v>
      </c>
      <c r="R2798" s="12">
        <v>12374.550000000003</v>
      </c>
      <c r="S2798" t="s">
        <v>1246</v>
      </c>
      <c r="T2798" t="s">
        <v>108</v>
      </c>
      <c r="U2798" t="s">
        <v>1196</v>
      </c>
    </row>
    <row r="2799" spans="1:21" x14ac:dyDescent="0.25">
      <c r="A2799" t="s">
        <v>4867</v>
      </c>
      <c r="B2799" s="8">
        <v>45892</v>
      </c>
      <c r="C2799" t="s">
        <v>3153</v>
      </c>
      <c r="D2799" t="s">
        <v>644</v>
      </c>
      <c r="E2799" t="s">
        <v>218</v>
      </c>
      <c r="F2799">
        <v>54</v>
      </c>
      <c r="G2799" t="s">
        <v>9</v>
      </c>
      <c r="H2799" t="s">
        <v>8</v>
      </c>
      <c r="I2799" t="s">
        <v>32</v>
      </c>
      <c r="J2799" t="s">
        <v>29</v>
      </c>
      <c r="K2799" t="s">
        <v>22</v>
      </c>
      <c r="L2799">
        <v>2</v>
      </c>
      <c r="M2799" s="12">
        <v>9500</v>
      </c>
      <c r="N2799" s="12">
        <v>6650</v>
      </c>
      <c r="O2799">
        <v>5</v>
      </c>
      <c r="P2799" s="12">
        <v>18050</v>
      </c>
      <c r="Q2799" s="12">
        <v>13300</v>
      </c>
      <c r="R2799" s="12">
        <v>4750</v>
      </c>
      <c r="S2799" t="s">
        <v>1246</v>
      </c>
      <c r="T2799" t="s">
        <v>107</v>
      </c>
      <c r="U2799" t="s">
        <v>1203</v>
      </c>
    </row>
    <row r="2800" spans="1:21" x14ac:dyDescent="0.25">
      <c r="A2800" t="s">
        <v>4868</v>
      </c>
      <c r="B2800" s="8">
        <v>46020</v>
      </c>
      <c r="C2800" t="s">
        <v>1522</v>
      </c>
      <c r="D2800" t="s">
        <v>964</v>
      </c>
      <c r="E2800" t="s">
        <v>198</v>
      </c>
      <c r="F2800">
        <v>40</v>
      </c>
      <c r="G2800" t="s">
        <v>11</v>
      </c>
      <c r="H2800" t="s">
        <v>12</v>
      </c>
      <c r="I2800" t="s">
        <v>53</v>
      </c>
      <c r="J2800" t="s">
        <v>48</v>
      </c>
      <c r="K2800" t="s">
        <v>43</v>
      </c>
      <c r="L2800">
        <v>4</v>
      </c>
      <c r="M2800" s="12">
        <v>6499</v>
      </c>
      <c r="N2800" s="12">
        <v>4549.2999999999993</v>
      </c>
      <c r="O2800">
        <v>16</v>
      </c>
      <c r="P2800" s="12">
        <v>21836.639999999999</v>
      </c>
      <c r="Q2800" s="12">
        <v>18197.199999999997</v>
      </c>
      <c r="R2800" s="12">
        <v>3639.4400000000023</v>
      </c>
      <c r="S2800" t="s">
        <v>113</v>
      </c>
      <c r="T2800" t="s">
        <v>109</v>
      </c>
      <c r="U2800" t="s">
        <v>1199</v>
      </c>
    </row>
    <row r="2801" spans="1:21" x14ac:dyDescent="0.25">
      <c r="A2801" t="s">
        <v>4869</v>
      </c>
      <c r="B2801" s="8">
        <v>45892</v>
      </c>
      <c r="C2801" t="s">
        <v>2232</v>
      </c>
      <c r="D2801" t="s">
        <v>794</v>
      </c>
      <c r="E2801" t="s">
        <v>218</v>
      </c>
      <c r="F2801">
        <v>27</v>
      </c>
      <c r="G2801" t="s">
        <v>4</v>
      </c>
      <c r="H2801" t="s">
        <v>3</v>
      </c>
      <c r="I2801" t="s">
        <v>63</v>
      </c>
      <c r="J2801" t="s">
        <v>77</v>
      </c>
      <c r="K2801" t="s">
        <v>64</v>
      </c>
      <c r="L2801">
        <v>4</v>
      </c>
      <c r="M2801" s="12">
        <v>650</v>
      </c>
      <c r="N2801" s="12">
        <v>468</v>
      </c>
      <c r="O2801">
        <v>0</v>
      </c>
      <c r="P2801" s="12">
        <v>2600</v>
      </c>
      <c r="Q2801" s="12">
        <v>1872</v>
      </c>
      <c r="R2801" s="12">
        <v>728</v>
      </c>
      <c r="S2801" t="s">
        <v>113</v>
      </c>
      <c r="T2801" t="s">
        <v>108</v>
      </c>
      <c r="U2801" t="s">
        <v>1209</v>
      </c>
    </row>
    <row r="2802" spans="1:21" x14ac:dyDescent="0.25">
      <c r="A2802" t="s">
        <v>4870</v>
      </c>
      <c r="B2802" s="8">
        <v>45758</v>
      </c>
      <c r="C2802" t="s">
        <v>2433</v>
      </c>
      <c r="D2802" t="s">
        <v>779</v>
      </c>
      <c r="E2802" t="s">
        <v>218</v>
      </c>
      <c r="F2802">
        <v>42</v>
      </c>
      <c r="G2802" t="s">
        <v>11</v>
      </c>
      <c r="H2802" t="s">
        <v>12</v>
      </c>
      <c r="I2802" t="s">
        <v>55</v>
      </c>
      <c r="J2802" t="s">
        <v>65</v>
      </c>
      <c r="K2802" t="s">
        <v>64</v>
      </c>
      <c r="L2802">
        <v>1</v>
      </c>
      <c r="M2802" s="12">
        <v>80</v>
      </c>
      <c r="N2802" s="12">
        <v>56</v>
      </c>
      <c r="O2802">
        <v>3</v>
      </c>
      <c r="P2802" s="12">
        <v>77.599999999999994</v>
      </c>
      <c r="Q2802" s="12">
        <v>56</v>
      </c>
      <c r="R2802" s="12">
        <v>21.599999999999994</v>
      </c>
      <c r="S2802" t="s">
        <v>113</v>
      </c>
      <c r="T2802" t="s">
        <v>108</v>
      </c>
      <c r="U2802" t="s">
        <v>1194</v>
      </c>
    </row>
    <row r="2803" spans="1:21" x14ac:dyDescent="0.25">
      <c r="A2803" t="s">
        <v>4871</v>
      </c>
      <c r="B2803" s="8">
        <v>45793</v>
      </c>
      <c r="C2803" t="s">
        <v>3359</v>
      </c>
      <c r="D2803" t="s">
        <v>592</v>
      </c>
      <c r="E2803" t="s">
        <v>198</v>
      </c>
      <c r="F2803">
        <v>56</v>
      </c>
      <c r="G2803" t="s">
        <v>16</v>
      </c>
      <c r="H2803" t="s">
        <v>15</v>
      </c>
      <c r="I2803" t="s">
        <v>21</v>
      </c>
      <c r="J2803" t="s">
        <v>23</v>
      </c>
      <c r="K2803" t="s">
        <v>22</v>
      </c>
      <c r="L2803">
        <v>1</v>
      </c>
      <c r="M2803" s="12">
        <v>54999</v>
      </c>
      <c r="N2803" s="12">
        <v>45099.18</v>
      </c>
      <c r="O2803">
        <v>8</v>
      </c>
      <c r="P2803" s="12">
        <v>50599.08</v>
      </c>
      <c r="Q2803" s="12">
        <v>45099.18</v>
      </c>
      <c r="R2803" s="12">
        <v>5499.9000000000015</v>
      </c>
      <c r="S2803" t="s">
        <v>113</v>
      </c>
      <c r="T2803" t="s">
        <v>107</v>
      </c>
      <c r="U2803" t="s">
        <v>1207</v>
      </c>
    </row>
    <row r="2804" spans="1:21" x14ac:dyDescent="0.25">
      <c r="A2804" t="s">
        <v>4872</v>
      </c>
      <c r="B2804" s="8">
        <v>45928</v>
      </c>
      <c r="C2804" t="s">
        <v>2131</v>
      </c>
      <c r="D2804" t="s">
        <v>716</v>
      </c>
      <c r="E2804" t="s">
        <v>198</v>
      </c>
      <c r="F2804">
        <v>42</v>
      </c>
      <c r="G2804" t="s">
        <v>17</v>
      </c>
      <c r="H2804" t="s">
        <v>15</v>
      </c>
      <c r="I2804" t="s">
        <v>32</v>
      </c>
      <c r="J2804" t="s">
        <v>29</v>
      </c>
      <c r="K2804" t="s">
        <v>22</v>
      </c>
      <c r="L2804">
        <v>1</v>
      </c>
      <c r="M2804" s="12">
        <v>9500</v>
      </c>
      <c r="N2804" s="12">
        <v>6650</v>
      </c>
      <c r="O2804">
        <v>7</v>
      </c>
      <c r="P2804" s="12">
        <v>8835</v>
      </c>
      <c r="Q2804" s="12">
        <v>6650</v>
      </c>
      <c r="R2804" s="12">
        <v>2185</v>
      </c>
      <c r="S2804" t="s">
        <v>1246</v>
      </c>
      <c r="T2804" t="s">
        <v>108</v>
      </c>
      <c r="U2804" t="s">
        <v>1207</v>
      </c>
    </row>
    <row r="2805" spans="1:21" x14ac:dyDescent="0.25">
      <c r="A2805" t="s">
        <v>4873</v>
      </c>
      <c r="B2805" s="8">
        <v>45896</v>
      </c>
      <c r="C2805" t="s">
        <v>2163</v>
      </c>
      <c r="D2805" t="s">
        <v>378</v>
      </c>
      <c r="E2805" t="s">
        <v>198</v>
      </c>
      <c r="F2805">
        <v>21</v>
      </c>
      <c r="G2805" t="s">
        <v>17</v>
      </c>
      <c r="H2805" t="s">
        <v>15</v>
      </c>
      <c r="I2805" t="s">
        <v>32</v>
      </c>
      <c r="J2805" t="s">
        <v>29</v>
      </c>
      <c r="K2805" t="s">
        <v>22</v>
      </c>
      <c r="L2805">
        <v>4</v>
      </c>
      <c r="M2805" s="12">
        <v>9500</v>
      </c>
      <c r="N2805" s="12">
        <v>6650</v>
      </c>
      <c r="O2805">
        <v>3</v>
      </c>
      <c r="P2805" s="12">
        <v>36860</v>
      </c>
      <c r="Q2805" s="12">
        <v>26600</v>
      </c>
      <c r="R2805" s="12">
        <v>10260</v>
      </c>
      <c r="S2805" t="s">
        <v>1249</v>
      </c>
      <c r="T2805" t="s">
        <v>108</v>
      </c>
      <c r="U2805" t="s">
        <v>1196</v>
      </c>
    </row>
    <row r="2806" spans="1:21" x14ac:dyDescent="0.25">
      <c r="A2806" t="s">
        <v>4874</v>
      </c>
      <c r="B2806" s="8">
        <v>46005</v>
      </c>
      <c r="C2806" t="s">
        <v>1616</v>
      </c>
      <c r="D2806" t="s">
        <v>582</v>
      </c>
      <c r="E2806" t="s">
        <v>198</v>
      </c>
      <c r="F2806">
        <v>61</v>
      </c>
      <c r="G2806" t="s">
        <v>14</v>
      </c>
      <c r="H2806" t="s">
        <v>15</v>
      </c>
      <c r="I2806" t="s">
        <v>63</v>
      </c>
      <c r="J2806" t="s">
        <v>77</v>
      </c>
      <c r="K2806" t="s">
        <v>64</v>
      </c>
      <c r="L2806">
        <v>5</v>
      </c>
      <c r="M2806" s="12">
        <v>650</v>
      </c>
      <c r="N2806" s="12">
        <v>468</v>
      </c>
      <c r="O2806">
        <v>3</v>
      </c>
      <c r="P2806" s="12">
        <v>3152.5</v>
      </c>
      <c r="Q2806" s="12">
        <v>2340</v>
      </c>
      <c r="R2806" s="12">
        <v>812.5</v>
      </c>
      <c r="S2806" t="s">
        <v>1246</v>
      </c>
      <c r="T2806" t="s">
        <v>108</v>
      </c>
      <c r="U2806" t="s">
        <v>1205</v>
      </c>
    </row>
    <row r="2807" spans="1:21" x14ac:dyDescent="0.25">
      <c r="A2807" t="s">
        <v>4876</v>
      </c>
      <c r="B2807" s="8">
        <v>45943</v>
      </c>
      <c r="C2807" t="s">
        <v>1378</v>
      </c>
      <c r="D2807" t="s">
        <v>993</v>
      </c>
      <c r="E2807" t="s">
        <v>218</v>
      </c>
      <c r="F2807">
        <v>23</v>
      </c>
      <c r="G2807" t="s">
        <v>4</v>
      </c>
      <c r="H2807" t="s">
        <v>3</v>
      </c>
      <c r="I2807" t="s">
        <v>63</v>
      </c>
      <c r="J2807" t="s">
        <v>77</v>
      </c>
      <c r="K2807" t="s">
        <v>64</v>
      </c>
      <c r="L2807">
        <v>2</v>
      </c>
      <c r="M2807" s="12">
        <v>650</v>
      </c>
      <c r="N2807" s="12">
        <v>468</v>
      </c>
      <c r="O2807">
        <v>0</v>
      </c>
      <c r="P2807" s="12">
        <v>1300</v>
      </c>
      <c r="Q2807" s="12">
        <v>936</v>
      </c>
      <c r="R2807" s="12">
        <v>364</v>
      </c>
      <c r="S2807" t="s">
        <v>113</v>
      </c>
      <c r="T2807" t="s">
        <v>107</v>
      </c>
      <c r="U2807" t="s">
        <v>1209</v>
      </c>
    </row>
    <row r="2808" spans="1:21" x14ac:dyDescent="0.25">
      <c r="A2808" t="s">
        <v>4877</v>
      </c>
      <c r="B2808" s="8">
        <v>45811</v>
      </c>
      <c r="C2808" t="s">
        <v>1997</v>
      </c>
      <c r="D2808" t="s">
        <v>820</v>
      </c>
      <c r="E2808" t="s">
        <v>198</v>
      </c>
      <c r="F2808">
        <v>61</v>
      </c>
      <c r="G2808" t="s">
        <v>11</v>
      </c>
      <c r="H2808" t="s">
        <v>12</v>
      </c>
      <c r="I2808" t="s">
        <v>21</v>
      </c>
      <c r="J2808" t="s">
        <v>23</v>
      </c>
      <c r="K2808" t="s">
        <v>22</v>
      </c>
      <c r="L2808">
        <v>5</v>
      </c>
      <c r="M2808" s="12">
        <v>54999</v>
      </c>
      <c r="N2808" s="12">
        <v>45099.18</v>
      </c>
      <c r="O2808">
        <v>6</v>
      </c>
      <c r="P2808" s="12">
        <v>258495.3</v>
      </c>
      <c r="Q2808" s="12">
        <v>225495.9</v>
      </c>
      <c r="R2808" s="12">
        <v>32999.399999999994</v>
      </c>
      <c r="S2808" t="s">
        <v>1246</v>
      </c>
      <c r="T2808" t="s">
        <v>109</v>
      </c>
      <c r="U2808" t="s">
        <v>1209</v>
      </c>
    </row>
    <row r="2809" spans="1:21" x14ac:dyDescent="0.25">
      <c r="A2809" t="s">
        <v>4878</v>
      </c>
      <c r="B2809" s="8">
        <v>45793</v>
      </c>
      <c r="C2809" t="s">
        <v>1349</v>
      </c>
      <c r="D2809" t="s">
        <v>1110</v>
      </c>
      <c r="E2809" t="s">
        <v>218</v>
      </c>
      <c r="F2809">
        <v>25</v>
      </c>
      <c r="G2809" t="s">
        <v>5</v>
      </c>
      <c r="H2809" t="s">
        <v>3</v>
      </c>
      <c r="I2809" t="s">
        <v>51</v>
      </c>
      <c r="J2809" t="s">
        <v>54</v>
      </c>
      <c r="K2809" t="s">
        <v>43</v>
      </c>
      <c r="L2809">
        <v>5</v>
      </c>
      <c r="M2809" s="12">
        <v>27499</v>
      </c>
      <c r="N2809" s="12">
        <v>21724.210000000003</v>
      </c>
      <c r="O2809">
        <v>2</v>
      </c>
      <c r="P2809" s="12">
        <v>134745.1</v>
      </c>
      <c r="Q2809" s="12">
        <v>108621.05000000002</v>
      </c>
      <c r="R2809" s="12">
        <v>26124.049999999988</v>
      </c>
      <c r="S2809" t="s">
        <v>113</v>
      </c>
      <c r="T2809" t="s">
        <v>108</v>
      </c>
      <c r="U2809" t="s">
        <v>1194</v>
      </c>
    </row>
    <row r="2810" spans="1:21" x14ac:dyDescent="0.25">
      <c r="A2810" t="s">
        <v>4879</v>
      </c>
      <c r="B2810" s="8">
        <v>45828</v>
      </c>
      <c r="C2810" t="s">
        <v>3211</v>
      </c>
      <c r="D2810" t="s">
        <v>1032</v>
      </c>
      <c r="E2810" t="s">
        <v>198</v>
      </c>
      <c r="F2810">
        <v>51</v>
      </c>
      <c r="G2810" t="s">
        <v>10</v>
      </c>
      <c r="H2810" t="s">
        <v>8</v>
      </c>
      <c r="I2810" t="s">
        <v>32</v>
      </c>
      <c r="J2810" t="s">
        <v>29</v>
      </c>
      <c r="K2810" t="s">
        <v>22</v>
      </c>
      <c r="L2810">
        <v>4</v>
      </c>
      <c r="M2810" s="12">
        <v>9500</v>
      </c>
      <c r="N2810" s="12">
        <v>6650</v>
      </c>
      <c r="O2810">
        <v>8</v>
      </c>
      <c r="P2810" s="12">
        <v>34960</v>
      </c>
      <c r="Q2810" s="12">
        <v>26600</v>
      </c>
      <c r="R2810" s="12">
        <v>8360</v>
      </c>
      <c r="S2810" t="s">
        <v>113</v>
      </c>
      <c r="T2810" t="s">
        <v>107</v>
      </c>
      <c r="U2810" t="s">
        <v>1198</v>
      </c>
    </row>
    <row r="2811" spans="1:21" x14ac:dyDescent="0.25">
      <c r="A2811" t="s">
        <v>4880</v>
      </c>
      <c r="B2811" s="8">
        <v>45915</v>
      </c>
      <c r="C2811" t="s">
        <v>1289</v>
      </c>
      <c r="D2811" t="s">
        <v>1116</v>
      </c>
      <c r="E2811" t="s">
        <v>218</v>
      </c>
      <c r="F2811">
        <v>20</v>
      </c>
      <c r="G2811" t="s">
        <v>16</v>
      </c>
      <c r="H2811" t="s">
        <v>15</v>
      </c>
      <c r="I2811" t="s">
        <v>32</v>
      </c>
      <c r="J2811" t="s">
        <v>29</v>
      </c>
      <c r="K2811" t="s">
        <v>22</v>
      </c>
      <c r="L2811">
        <v>2</v>
      </c>
      <c r="M2811" s="12">
        <v>9500</v>
      </c>
      <c r="N2811" s="12">
        <v>6650</v>
      </c>
      <c r="O2811">
        <v>3</v>
      </c>
      <c r="P2811" s="12">
        <v>18430</v>
      </c>
      <c r="Q2811" s="12">
        <v>13300</v>
      </c>
      <c r="R2811" s="12">
        <v>5130</v>
      </c>
      <c r="S2811" t="s">
        <v>113</v>
      </c>
      <c r="T2811" t="s">
        <v>108</v>
      </c>
      <c r="U2811" t="s">
        <v>1207</v>
      </c>
    </row>
    <row r="2812" spans="1:21" x14ac:dyDescent="0.25">
      <c r="A2812" t="s">
        <v>4881</v>
      </c>
      <c r="B2812" s="8">
        <v>46013</v>
      </c>
      <c r="C2812" t="s">
        <v>1675</v>
      </c>
      <c r="D2812" t="s">
        <v>1029</v>
      </c>
      <c r="E2812" t="s">
        <v>198</v>
      </c>
      <c r="F2812">
        <v>48</v>
      </c>
      <c r="G2812" t="s">
        <v>10</v>
      </c>
      <c r="H2812" t="s">
        <v>8</v>
      </c>
      <c r="I2812" t="s">
        <v>28</v>
      </c>
      <c r="J2812" t="s">
        <v>35</v>
      </c>
      <c r="K2812" t="s">
        <v>22</v>
      </c>
      <c r="L2812">
        <v>1</v>
      </c>
      <c r="M2812" s="12">
        <v>16499</v>
      </c>
      <c r="N2812" s="12">
        <v>14519.12</v>
      </c>
      <c r="O2812">
        <v>13</v>
      </c>
      <c r="P2812" s="12">
        <v>14354.13</v>
      </c>
      <c r="Q2812" s="12">
        <v>14519.12</v>
      </c>
      <c r="R2812" s="12">
        <v>-164.9900000000016</v>
      </c>
      <c r="S2812" t="s">
        <v>1246</v>
      </c>
      <c r="T2812" t="s">
        <v>108</v>
      </c>
      <c r="U2812" t="s">
        <v>1209</v>
      </c>
    </row>
    <row r="2813" spans="1:21" x14ac:dyDescent="0.25">
      <c r="A2813" t="s">
        <v>4882</v>
      </c>
      <c r="B2813" s="8">
        <v>45915</v>
      </c>
      <c r="C2813" t="s">
        <v>2121</v>
      </c>
      <c r="D2813" t="s">
        <v>1112</v>
      </c>
      <c r="E2813" t="s">
        <v>218</v>
      </c>
      <c r="F2813">
        <v>43</v>
      </c>
      <c r="G2813" t="s">
        <v>290</v>
      </c>
      <c r="H2813" t="s">
        <v>3</v>
      </c>
      <c r="I2813" t="s">
        <v>63</v>
      </c>
      <c r="J2813" t="s">
        <v>77</v>
      </c>
      <c r="K2813" t="s">
        <v>64</v>
      </c>
      <c r="L2813">
        <v>1</v>
      </c>
      <c r="M2813" s="12">
        <v>650</v>
      </c>
      <c r="N2813" s="12">
        <v>468</v>
      </c>
      <c r="O2813">
        <v>5</v>
      </c>
      <c r="P2813" s="12">
        <v>617.5</v>
      </c>
      <c r="Q2813" s="12">
        <v>468</v>
      </c>
      <c r="R2813" s="12">
        <v>149.5</v>
      </c>
      <c r="S2813" t="s">
        <v>1246</v>
      </c>
      <c r="T2813" t="s">
        <v>107</v>
      </c>
      <c r="U2813" t="s">
        <v>1207</v>
      </c>
    </row>
    <row r="2814" spans="1:21" x14ac:dyDescent="0.25">
      <c r="A2814" t="s">
        <v>4883</v>
      </c>
      <c r="B2814" s="8">
        <v>45662</v>
      </c>
      <c r="C2814" t="s">
        <v>2723</v>
      </c>
      <c r="D2814" t="s">
        <v>468</v>
      </c>
      <c r="E2814" t="s">
        <v>198</v>
      </c>
      <c r="F2814">
        <v>52</v>
      </c>
      <c r="G2814" t="s">
        <v>5</v>
      </c>
      <c r="H2814" t="s">
        <v>3</v>
      </c>
      <c r="I2814" t="s">
        <v>47</v>
      </c>
      <c r="J2814" t="s">
        <v>52</v>
      </c>
      <c r="K2814" t="s">
        <v>43</v>
      </c>
      <c r="L2814">
        <v>3</v>
      </c>
      <c r="M2814" s="12">
        <v>42999</v>
      </c>
      <c r="N2814" s="12">
        <v>33539.22</v>
      </c>
      <c r="O2814">
        <v>4</v>
      </c>
      <c r="P2814" s="12">
        <v>123837.12</v>
      </c>
      <c r="Q2814" s="12">
        <v>100617.66</v>
      </c>
      <c r="R2814" s="12">
        <v>23219.459999999992</v>
      </c>
      <c r="S2814" t="s">
        <v>1246</v>
      </c>
      <c r="T2814" t="s">
        <v>107</v>
      </c>
      <c r="U2814" t="s">
        <v>1207</v>
      </c>
    </row>
    <row r="2815" spans="1:21" x14ac:dyDescent="0.25">
      <c r="A2815" t="s">
        <v>4884</v>
      </c>
      <c r="B2815" s="8">
        <v>46011</v>
      </c>
      <c r="C2815" t="s">
        <v>2371</v>
      </c>
      <c r="D2815" t="s">
        <v>681</v>
      </c>
      <c r="E2815" t="s">
        <v>218</v>
      </c>
      <c r="F2815">
        <v>24</v>
      </c>
      <c r="G2815" t="s">
        <v>11</v>
      </c>
      <c r="H2815" t="s">
        <v>12</v>
      </c>
      <c r="I2815" t="s">
        <v>26</v>
      </c>
      <c r="J2815" t="s">
        <v>27</v>
      </c>
      <c r="K2815" t="s">
        <v>22</v>
      </c>
      <c r="L2815">
        <v>3</v>
      </c>
      <c r="M2815" s="12">
        <v>27499</v>
      </c>
      <c r="N2815" s="12">
        <v>23374.149999999998</v>
      </c>
      <c r="O2815">
        <v>16</v>
      </c>
      <c r="P2815" s="12">
        <v>69297.48</v>
      </c>
      <c r="Q2815" s="12">
        <v>70122.45</v>
      </c>
      <c r="R2815" s="12">
        <v>-824.97000000000116</v>
      </c>
      <c r="S2815" t="s">
        <v>113</v>
      </c>
      <c r="T2815" t="s">
        <v>107</v>
      </c>
      <c r="U2815" t="s">
        <v>1203</v>
      </c>
    </row>
    <row r="2816" spans="1:21" x14ac:dyDescent="0.25">
      <c r="A2816" t="s">
        <v>4885</v>
      </c>
      <c r="B2816" s="8">
        <v>45923</v>
      </c>
      <c r="C2816" t="s">
        <v>2637</v>
      </c>
      <c r="D2816" t="s">
        <v>730</v>
      </c>
      <c r="E2816" t="s">
        <v>198</v>
      </c>
      <c r="F2816">
        <v>62</v>
      </c>
      <c r="G2816" t="s">
        <v>290</v>
      </c>
      <c r="H2816" t="s">
        <v>3</v>
      </c>
      <c r="I2816" t="s">
        <v>21</v>
      </c>
      <c r="J2816" t="s">
        <v>23</v>
      </c>
      <c r="K2816" t="s">
        <v>22</v>
      </c>
      <c r="L2816">
        <v>4</v>
      </c>
      <c r="M2816" s="12">
        <v>54999</v>
      </c>
      <c r="N2816" s="12">
        <v>45099.18</v>
      </c>
      <c r="O2816">
        <v>5</v>
      </c>
      <c r="P2816" s="12">
        <v>208996.19999999998</v>
      </c>
      <c r="Q2816" s="12">
        <v>180396.72</v>
      </c>
      <c r="R2816" s="12">
        <v>28599.479999999981</v>
      </c>
      <c r="S2816" t="s">
        <v>113</v>
      </c>
      <c r="T2816" t="s">
        <v>107</v>
      </c>
      <c r="U2816" t="s">
        <v>1207</v>
      </c>
    </row>
    <row r="2817" spans="1:21" x14ac:dyDescent="0.25">
      <c r="A2817" t="s">
        <v>4887</v>
      </c>
      <c r="B2817" s="8">
        <v>45883</v>
      </c>
      <c r="C2817" t="s">
        <v>1308</v>
      </c>
      <c r="D2817" t="s">
        <v>1067</v>
      </c>
      <c r="E2817" t="s">
        <v>218</v>
      </c>
      <c r="F2817">
        <v>24</v>
      </c>
      <c r="G2817" t="s">
        <v>4</v>
      </c>
      <c r="H2817" t="s">
        <v>3</v>
      </c>
      <c r="I2817" t="s">
        <v>63</v>
      </c>
      <c r="J2817" t="s">
        <v>77</v>
      </c>
      <c r="K2817" t="s">
        <v>64</v>
      </c>
      <c r="L2817">
        <v>3</v>
      </c>
      <c r="M2817" s="12">
        <v>650</v>
      </c>
      <c r="N2817" s="12">
        <v>468</v>
      </c>
      <c r="O2817">
        <v>0</v>
      </c>
      <c r="P2817" s="12">
        <v>1950</v>
      </c>
      <c r="Q2817" s="12">
        <v>1404</v>
      </c>
      <c r="R2817" s="12">
        <v>546</v>
      </c>
      <c r="S2817" t="s">
        <v>113</v>
      </c>
      <c r="T2817" t="s">
        <v>110</v>
      </c>
      <c r="U2817" t="s">
        <v>1198</v>
      </c>
    </row>
    <row r="2818" spans="1:21" x14ac:dyDescent="0.25">
      <c r="A2818" t="s">
        <v>4888</v>
      </c>
      <c r="B2818" s="8">
        <v>45824</v>
      </c>
      <c r="C2818" t="s">
        <v>2046</v>
      </c>
      <c r="D2818" t="s">
        <v>783</v>
      </c>
      <c r="E2818" t="s">
        <v>218</v>
      </c>
      <c r="F2818">
        <v>54</v>
      </c>
      <c r="G2818" t="s">
        <v>11</v>
      </c>
      <c r="H2818" t="s">
        <v>12</v>
      </c>
      <c r="I2818" t="s">
        <v>45</v>
      </c>
      <c r="J2818" t="s">
        <v>46</v>
      </c>
      <c r="K2818" t="s">
        <v>43</v>
      </c>
      <c r="L2818">
        <v>1</v>
      </c>
      <c r="M2818" s="12">
        <v>11999</v>
      </c>
      <c r="N2818" s="12">
        <v>8999.25</v>
      </c>
      <c r="O2818">
        <v>5</v>
      </c>
      <c r="P2818" s="12">
        <v>11399.05</v>
      </c>
      <c r="Q2818" s="12">
        <v>8999.25</v>
      </c>
      <c r="R2818" s="12">
        <v>2399.7999999999993</v>
      </c>
      <c r="S2818" t="s">
        <v>1246</v>
      </c>
      <c r="T2818" t="s">
        <v>109</v>
      </c>
      <c r="U2818" t="s">
        <v>1194</v>
      </c>
    </row>
    <row r="2819" spans="1:21" x14ac:dyDescent="0.25">
      <c r="A2819" t="s">
        <v>4889</v>
      </c>
      <c r="B2819" s="8">
        <v>45978</v>
      </c>
      <c r="C2819" t="s">
        <v>1366</v>
      </c>
      <c r="D2819" t="s">
        <v>381</v>
      </c>
      <c r="E2819" t="s">
        <v>218</v>
      </c>
      <c r="F2819">
        <v>55</v>
      </c>
      <c r="G2819" t="s">
        <v>2</v>
      </c>
      <c r="H2819" t="s">
        <v>3</v>
      </c>
      <c r="I2819" t="s">
        <v>49</v>
      </c>
      <c r="J2819" t="s">
        <v>56</v>
      </c>
      <c r="K2819" t="s">
        <v>43</v>
      </c>
      <c r="L2819">
        <v>1</v>
      </c>
      <c r="M2819" s="12">
        <v>31999</v>
      </c>
      <c r="N2819" s="12">
        <v>25599.200000000001</v>
      </c>
      <c r="O2819">
        <v>16</v>
      </c>
      <c r="P2819" s="12">
        <v>26879.16</v>
      </c>
      <c r="Q2819" s="12">
        <v>25599.200000000001</v>
      </c>
      <c r="R2819" s="12">
        <v>1279.9599999999991</v>
      </c>
      <c r="S2819" t="s">
        <v>1246</v>
      </c>
      <c r="T2819" t="s">
        <v>107</v>
      </c>
      <c r="U2819" t="s">
        <v>1198</v>
      </c>
    </row>
    <row r="2820" spans="1:21" x14ac:dyDescent="0.25">
      <c r="A2820" t="s">
        <v>4890</v>
      </c>
      <c r="B2820" s="8">
        <v>45752</v>
      </c>
      <c r="C2820" t="s">
        <v>3554</v>
      </c>
      <c r="D2820" t="s">
        <v>438</v>
      </c>
      <c r="E2820" t="s">
        <v>198</v>
      </c>
      <c r="F2820">
        <v>39</v>
      </c>
      <c r="G2820" t="s">
        <v>290</v>
      </c>
      <c r="H2820" t="s">
        <v>3</v>
      </c>
      <c r="I2820" t="s">
        <v>57</v>
      </c>
      <c r="J2820" t="s">
        <v>67</v>
      </c>
      <c r="K2820" t="s">
        <v>64</v>
      </c>
      <c r="L2820">
        <v>1</v>
      </c>
      <c r="M2820" s="12">
        <v>150</v>
      </c>
      <c r="N2820" s="12">
        <v>97.5</v>
      </c>
      <c r="O2820">
        <v>5</v>
      </c>
      <c r="P2820" s="12">
        <v>142.5</v>
      </c>
      <c r="Q2820" s="12">
        <v>97.5</v>
      </c>
      <c r="R2820" s="12">
        <v>45</v>
      </c>
      <c r="S2820" t="s">
        <v>1246</v>
      </c>
      <c r="T2820" t="s">
        <v>110</v>
      </c>
      <c r="U2820" t="s">
        <v>1207</v>
      </c>
    </row>
    <row r="2821" spans="1:21" x14ac:dyDescent="0.25">
      <c r="A2821" t="s">
        <v>4891</v>
      </c>
      <c r="B2821" s="8">
        <v>45946</v>
      </c>
      <c r="C2821" t="s">
        <v>1269</v>
      </c>
      <c r="D2821" t="s">
        <v>529</v>
      </c>
      <c r="E2821" t="s">
        <v>218</v>
      </c>
      <c r="F2821">
        <v>65</v>
      </c>
      <c r="G2821" t="s">
        <v>11</v>
      </c>
      <c r="H2821" t="s">
        <v>12</v>
      </c>
      <c r="I2821" t="s">
        <v>28</v>
      </c>
      <c r="J2821" t="s">
        <v>35</v>
      </c>
      <c r="K2821" t="s">
        <v>22</v>
      </c>
      <c r="L2821">
        <v>3</v>
      </c>
      <c r="M2821" s="12">
        <v>16499</v>
      </c>
      <c r="N2821" s="12">
        <v>14519.12</v>
      </c>
      <c r="O2821">
        <v>7</v>
      </c>
      <c r="P2821" s="12">
        <v>46032.21</v>
      </c>
      <c r="Q2821" s="12">
        <v>43557.36</v>
      </c>
      <c r="R2821" s="12">
        <v>2474.8499999999985</v>
      </c>
      <c r="S2821" t="s">
        <v>113</v>
      </c>
      <c r="T2821" t="s">
        <v>107</v>
      </c>
      <c r="U2821" t="s">
        <v>1194</v>
      </c>
    </row>
    <row r="2822" spans="1:21" x14ac:dyDescent="0.25">
      <c r="A2822" t="s">
        <v>4892</v>
      </c>
      <c r="B2822" s="8">
        <v>45720</v>
      </c>
      <c r="C2822" t="s">
        <v>4788</v>
      </c>
      <c r="D2822" t="s">
        <v>671</v>
      </c>
      <c r="E2822" t="s">
        <v>218</v>
      </c>
      <c r="F2822">
        <v>65</v>
      </c>
      <c r="G2822" t="s">
        <v>290</v>
      </c>
      <c r="H2822" t="s">
        <v>3</v>
      </c>
      <c r="I2822" t="s">
        <v>21</v>
      </c>
      <c r="J2822" t="s">
        <v>23</v>
      </c>
      <c r="K2822" t="s">
        <v>22</v>
      </c>
      <c r="L2822">
        <v>5</v>
      </c>
      <c r="M2822" s="12">
        <v>54999</v>
      </c>
      <c r="N2822" s="12">
        <v>45099.18</v>
      </c>
      <c r="O2822">
        <v>4</v>
      </c>
      <c r="P2822" s="12">
        <v>263995.2</v>
      </c>
      <c r="Q2822" s="12">
        <v>225495.9</v>
      </c>
      <c r="R2822" s="12">
        <v>38499.300000000017</v>
      </c>
      <c r="S2822" t="s">
        <v>113</v>
      </c>
      <c r="T2822" t="s">
        <v>107</v>
      </c>
      <c r="U2822" t="s">
        <v>1199</v>
      </c>
    </row>
    <row r="2823" spans="1:21" x14ac:dyDescent="0.25">
      <c r="A2823" t="s">
        <v>4893</v>
      </c>
      <c r="B2823" s="8">
        <v>45752</v>
      </c>
      <c r="C2823" t="s">
        <v>5044</v>
      </c>
      <c r="D2823" t="s">
        <v>1104</v>
      </c>
      <c r="E2823" t="s">
        <v>218</v>
      </c>
      <c r="F2823">
        <v>35</v>
      </c>
      <c r="G2823" t="s">
        <v>17</v>
      </c>
      <c r="H2823" t="s">
        <v>15</v>
      </c>
      <c r="I2823" t="s">
        <v>45</v>
      </c>
      <c r="J2823" t="s">
        <v>46</v>
      </c>
      <c r="K2823" t="s">
        <v>43</v>
      </c>
      <c r="L2823">
        <v>1</v>
      </c>
      <c r="M2823" s="12">
        <v>11999</v>
      </c>
      <c r="N2823" s="12">
        <v>8999.25</v>
      </c>
      <c r="O2823">
        <v>8</v>
      </c>
      <c r="P2823" s="12">
        <v>11039.08</v>
      </c>
      <c r="Q2823" s="12">
        <v>8999.25</v>
      </c>
      <c r="R2823" s="12">
        <v>2039.83</v>
      </c>
      <c r="S2823" t="s">
        <v>1246</v>
      </c>
      <c r="T2823" t="s">
        <v>110</v>
      </c>
      <c r="U2823" t="s">
        <v>1211</v>
      </c>
    </row>
    <row r="2824" spans="1:21" x14ac:dyDescent="0.25">
      <c r="A2824" t="s">
        <v>4894</v>
      </c>
      <c r="B2824" s="8">
        <v>45749</v>
      </c>
      <c r="C2824" t="s">
        <v>1359</v>
      </c>
      <c r="D2824" t="s">
        <v>942</v>
      </c>
      <c r="E2824" t="s">
        <v>198</v>
      </c>
      <c r="F2824">
        <v>49</v>
      </c>
      <c r="G2824" t="s">
        <v>11</v>
      </c>
      <c r="H2824" t="s">
        <v>12</v>
      </c>
      <c r="I2824" t="s">
        <v>49</v>
      </c>
      <c r="J2824" t="s">
        <v>56</v>
      </c>
      <c r="K2824" t="s">
        <v>43</v>
      </c>
      <c r="L2824">
        <v>3</v>
      </c>
      <c r="M2824" s="12">
        <v>31999</v>
      </c>
      <c r="N2824" s="12">
        <v>25599.200000000001</v>
      </c>
      <c r="O2824">
        <v>6</v>
      </c>
      <c r="P2824" s="12">
        <v>90237.18</v>
      </c>
      <c r="Q2824" s="12">
        <v>76797.600000000006</v>
      </c>
      <c r="R2824" s="12">
        <v>13439.579999999987</v>
      </c>
      <c r="S2824" t="s">
        <v>113</v>
      </c>
      <c r="T2824" t="s">
        <v>107</v>
      </c>
      <c r="U2824" t="s">
        <v>1201</v>
      </c>
    </row>
    <row r="2825" spans="1:21" x14ac:dyDescent="0.25">
      <c r="A2825" t="s">
        <v>4895</v>
      </c>
      <c r="B2825" s="8">
        <v>45721</v>
      </c>
      <c r="C2825" t="s">
        <v>2489</v>
      </c>
      <c r="D2825" t="s">
        <v>649</v>
      </c>
      <c r="E2825" t="s">
        <v>218</v>
      </c>
      <c r="F2825">
        <v>28</v>
      </c>
      <c r="G2825" t="s">
        <v>16</v>
      </c>
      <c r="H2825" t="s">
        <v>15</v>
      </c>
      <c r="I2825" t="s">
        <v>59</v>
      </c>
      <c r="J2825" t="s">
        <v>73</v>
      </c>
      <c r="K2825" t="s">
        <v>64</v>
      </c>
      <c r="L2825">
        <v>1</v>
      </c>
      <c r="M2825" s="12">
        <v>120</v>
      </c>
      <c r="N2825" s="12">
        <v>81.599999999999994</v>
      </c>
      <c r="O2825">
        <v>5</v>
      </c>
      <c r="P2825" s="12">
        <v>114</v>
      </c>
      <c r="Q2825" s="12">
        <v>81.599999999999994</v>
      </c>
      <c r="R2825" s="12">
        <v>32.400000000000006</v>
      </c>
      <c r="S2825" t="s">
        <v>1246</v>
      </c>
      <c r="T2825" t="s">
        <v>107</v>
      </c>
      <c r="U2825" t="s">
        <v>1196</v>
      </c>
    </row>
    <row r="2826" spans="1:21" x14ac:dyDescent="0.25">
      <c r="A2826" t="s">
        <v>4896</v>
      </c>
      <c r="B2826" s="8">
        <v>45718</v>
      </c>
      <c r="C2826" t="s">
        <v>1705</v>
      </c>
      <c r="D2826" t="s">
        <v>517</v>
      </c>
      <c r="E2826" t="s">
        <v>218</v>
      </c>
      <c r="F2826">
        <v>43</v>
      </c>
      <c r="G2826" t="s">
        <v>16</v>
      </c>
      <c r="H2826" t="s">
        <v>15</v>
      </c>
      <c r="I2826" t="s">
        <v>59</v>
      </c>
      <c r="J2826" t="s">
        <v>73</v>
      </c>
      <c r="K2826" t="s">
        <v>64</v>
      </c>
      <c r="L2826">
        <v>2</v>
      </c>
      <c r="M2826" s="12">
        <v>120</v>
      </c>
      <c r="N2826" s="12">
        <v>81.599999999999994</v>
      </c>
      <c r="O2826">
        <v>1</v>
      </c>
      <c r="P2826" s="12">
        <v>237.6</v>
      </c>
      <c r="Q2826" s="12">
        <v>163.19999999999999</v>
      </c>
      <c r="R2826" s="12">
        <v>74.400000000000006</v>
      </c>
      <c r="S2826" t="s">
        <v>1246</v>
      </c>
      <c r="T2826" t="s">
        <v>107</v>
      </c>
      <c r="U2826" t="s">
        <v>1209</v>
      </c>
    </row>
    <row r="2827" spans="1:21" x14ac:dyDescent="0.25">
      <c r="A2827" t="s">
        <v>4897</v>
      </c>
      <c r="B2827" s="8">
        <v>45856</v>
      </c>
      <c r="C2827" t="s">
        <v>1341</v>
      </c>
      <c r="D2827" t="s">
        <v>386</v>
      </c>
      <c r="E2827" t="s">
        <v>198</v>
      </c>
      <c r="F2827">
        <v>60</v>
      </c>
      <c r="G2827" t="s">
        <v>289</v>
      </c>
      <c r="H2827" t="s">
        <v>3</v>
      </c>
      <c r="I2827" t="s">
        <v>40</v>
      </c>
      <c r="J2827" t="s">
        <v>39</v>
      </c>
      <c r="K2827" t="s">
        <v>22</v>
      </c>
      <c r="L2827">
        <v>5</v>
      </c>
      <c r="M2827" s="12">
        <v>1100</v>
      </c>
      <c r="N2827" s="12">
        <v>715</v>
      </c>
      <c r="O2827">
        <v>7</v>
      </c>
      <c r="P2827" s="12">
        <v>5115</v>
      </c>
      <c r="Q2827" s="12">
        <v>3575</v>
      </c>
      <c r="R2827" s="12">
        <v>1540</v>
      </c>
      <c r="S2827" t="s">
        <v>1246</v>
      </c>
      <c r="T2827" t="s">
        <v>107</v>
      </c>
      <c r="U2827" t="s">
        <v>1198</v>
      </c>
    </row>
    <row r="2828" spans="1:21" x14ac:dyDescent="0.25">
      <c r="A2828" t="s">
        <v>4898</v>
      </c>
      <c r="B2828" s="8">
        <v>45944</v>
      </c>
      <c r="C2828" t="s">
        <v>2100</v>
      </c>
      <c r="D2828" t="s">
        <v>1017</v>
      </c>
      <c r="E2828" t="s">
        <v>198</v>
      </c>
      <c r="F2828">
        <v>65</v>
      </c>
      <c r="G2828" t="s">
        <v>289</v>
      </c>
      <c r="H2828" t="s">
        <v>3</v>
      </c>
      <c r="I2828" t="s">
        <v>21</v>
      </c>
      <c r="J2828" t="s">
        <v>23</v>
      </c>
      <c r="K2828" t="s">
        <v>22</v>
      </c>
      <c r="L2828">
        <v>5</v>
      </c>
      <c r="M2828" s="12">
        <v>54999</v>
      </c>
      <c r="N2828" s="12">
        <v>45099.18</v>
      </c>
      <c r="O2828">
        <v>4</v>
      </c>
      <c r="P2828" s="12">
        <v>263995.2</v>
      </c>
      <c r="Q2828" s="12">
        <v>225495.9</v>
      </c>
      <c r="R2828" s="12">
        <v>38499.300000000017</v>
      </c>
      <c r="S2828" t="s">
        <v>1246</v>
      </c>
      <c r="T2828" t="s">
        <v>108</v>
      </c>
      <c r="U2828" t="s">
        <v>1207</v>
      </c>
    </row>
    <row r="2829" spans="1:21" x14ac:dyDescent="0.25">
      <c r="A2829" t="s">
        <v>4899</v>
      </c>
      <c r="B2829" s="8">
        <v>45692</v>
      </c>
      <c r="C2829" t="s">
        <v>1879</v>
      </c>
      <c r="D2829" t="s">
        <v>936</v>
      </c>
      <c r="E2829" t="s">
        <v>198</v>
      </c>
      <c r="F2829">
        <v>61</v>
      </c>
      <c r="G2829" t="s">
        <v>17</v>
      </c>
      <c r="H2829" t="s">
        <v>15</v>
      </c>
      <c r="I2829" t="s">
        <v>21</v>
      </c>
      <c r="J2829" t="s">
        <v>23</v>
      </c>
      <c r="K2829" t="s">
        <v>22</v>
      </c>
      <c r="L2829">
        <v>3</v>
      </c>
      <c r="M2829" s="12">
        <v>54999</v>
      </c>
      <c r="N2829" s="12">
        <v>45099.18</v>
      </c>
      <c r="O2829">
        <v>8</v>
      </c>
      <c r="P2829" s="12">
        <v>151797.24000000002</v>
      </c>
      <c r="Q2829" s="12">
        <v>135297.54</v>
      </c>
      <c r="R2829" s="12">
        <v>16499.700000000012</v>
      </c>
      <c r="S2829" t="s">
        <v>1246</v>
      </c>
      <c r="T2829" t="s">
        <v>109</v>
      </c>
      <c r="U2829" t="s">
        <v>1211</v>
      </c>
    </row>
    <row r="2830" spans="1:21" x14ac:dyDescent="0.25">
      <c r="A2830" t="s">
        <v>4900</v>
      </c>
      <c r="B2830" s="8">
        <v>45829</v>
      </c>
      <c r="C2830" t="s">
        <v>3226</v>
      </c>
      <c r="D2830" t="s">
        <v>1171</v>
      </c>
      <c r="E2830" t="s">
        <v>198</v>
      </c>
      <c r="F2830">
        <v>56</v>
      </c>
      <c r="G2830" t="s">
        <v>14</v>
      </c>
      <c r="H2830" t="s">
        <v>15</v>
      </c>
      <c r="I2830" t="s">
        <v>53</v>
      </c>
      <c r="J2830" t="s">
        <v>48</v>
      </c>
      <c r="K2830" t="s">
        <v>43</v>
      </c>
      <c r="L2830">
        <v>2</v>
      </c>
      <c r="M2830" s="12">
        <v>6499</v>
      </c>
      <c r="N2830" s="12">
        <v>4549.2999999999993</v>
      </c>
      <c r="O2830">
        <v>2</v>
      </c>
      <c r="P2830" s="12">
        <v>12738.039999999999</v>
      </c>
      <c r="Q2830" s="12">
        <v>9098.5999999999985</v>
      </c>
      <c r="R2830" s="12">
        <v>3639.4400000000005</v>
      </c>
      <c r="S2830" t="s">
        <v>113</v>
      </c>
      <c r="T2830" t="s">
        <v>109</v>
      </c>
      <c r="U2830" t="s">
        <v>1207</v>
      </c>
    </row>
    <row r="2831" spans="1:21" x14ac:dyDescent="0.25">
      <c r="A2831" t="s">
        <v>4901</v>
      </c>
      <c r="B2831" s="8">
        <v>45943</v>
      </c>
      <c r="C2831" t="s">
        <v>1299</v>
      </c>
      <c r="D2831" t="s">
        <v>762</v>
      </c>
      <c r="E2831" t="s">
        <v>218</v>
      </c>
      <c r="F2831">
        <v>39</v>
      </c>
      <c r="G2831" t="s">
        <v>4</v>
      </c>
      <c r="H2831" t="s">
        <v>3</v>
      </c>
      <c r="I2831" t="s">
        <v>42</v>
      </c>
      <c r="J2831" t="s">
        <v>44</v>
      </c>
      <c r="K2831" t="s">
        <v>43</v>
      </c>
      <c r="L2831">
        <v>5</v>
      </c>
      <c r="M2831" s="12">
        <v>8999</v>
      </c>
      <c r="N2831" s="12">
        <v>6479.28</v>
      </c>
      <c r="O2831">
        <v>8</v>
      </c>
      <c r="P2831" s="12">
        <v>41395.4</v>
      </c>
      <c r="Q2831" s="12">
        <v>32396.399999999998</v>
      </c>
      <c r="R2831" s="12">
        <v>8999.0000000000036</v>
      </c>
      <c r="S2831" t="s">
        <v>1246</v>
      </c>
      <c r="T2831" t="s">
        <v>111</v>
      </c>
      <c r="U2831" t="s">
        <v>1203</v>
      </c>
    </row>
    <row r="2832" spans="1:21" x14ac:dyDescent="0.25">
      <c r="A2832" t="s">
        <v>4902</v>
      </c>
      <c r="B2832" s="8">
        <v>45943</v>
      </c>
      <c r="C2832" t="s">
        <v>3357</v>
      </c>
      <c r="D2832" t="s">
        <v>656</v>
      </c>
      <c r="E2832" t="s">
        <v>198</v>
      </c>
      <c r="F2832">
        <v>36</v>
      </c>
      <c r="G2832" t="s">
        <v>10</v>
      </c>
      <c r="H2832" t="s">
        <v>8</v>
      </c>
      <c r="I2832" t="s">
        <v>63</v>
      </c>
      <c r="J2832" t="s">
        <v>77</v>
      </c>
      <c r="K2832" t="s">
        <v>64</v>
      </c>
      <c r="L2832">
        <v>3</v>
      </c>
      <c r="M2832" s="12">
        <v>650</v>
      </c>
      <c r="N2832" s="12">
        <v>468</v>
      </c>
      <c r="O2832">
        <v>1</v>
      </c>
      <c r="P2832" s="12">
        <v>1930.5</v>
      </c>
      <c r="Q2832" s="12">
        <v>1404</v>
      </c>
      <c r="R2832" s="12">
        <v>526.5</v>
      </c>
      <c r="S2832" t="s">
        <v>113</v>
      </c>
      <c r="T2832" t="s">
        <v>108</v>
      </c>
      <c r="U2832" t="s">
        <v>1201</v>
      </c>
    </row>
    <row r="2833" spans="1:21" x14ac:dyDescent="0.25">
      <c r="A2833" t="s">
        <v>4903</v>
      </c>
      <c r="B2833" s="8">
        <v>45846</v>
      </c>
      <c r="C2833" t="s">
        <v>3773</v>
      </c>
      <c r="D2833" t="s">
        <v>618</v>
      </c>
      <c r="E2833" t="s">
        <v>218</v>
      </c>
      <c r="F2833">
        <v>26</v>
      </c>
      <c r="G2833" t="s">
        <v>289</v>
      </c>
      <c r="H2833" t="s">
        <v>3</v>
      </c>
      <c r="I2833" t="s">
        <v>51</v>
      </c>
      <c r="J2833" t="s">
        <v>54</v>
      </c>
      <c r="K2833" t="s">
        <v>43</v>
      </c>
      <c r="L2833">
        <v>4</v>
      </c>
      <c r="M2833" s="12">
        <v>27499</v>
      </c>
      <c r="N2833" s="12">
        <v>21724.210000000003</v>
      </c>
      <c r="O2833">
        <v>6</v>
      </c>
      <c r="P2833" s="12">
        <v>103396.23999999999</v>
      </c>
      <c r="Q2833" s="12">
        <v>86896.840000000011</v>
      </c>
      <c r="R2833" s="12">
        <v>16499.39999999998</v>
      </c>
      <c r="S2833" t="s">
        <v>113</v>
      </c>
      <c r="T2833" t="s">
        <v>107</v>
      </c>
      <c r="U2833" t="s">
        <v>1207</v>
      </c>
    </row>
    <row r="2834" spans="1:21" x14ac:dyDescent="0.25">
      <c r="A2834" t="s">
        <v>4904</v>
      </c>
      <c r="B2834" s="8">
        <v>45973</v>
      </c>
      <c r="C2834" t="s">
        <v>2611</v>
      </c>
      <c r="D2834" t="s">
        <v>674</v>
      </c>
      <c r="E2834" t="s">
        <v>218</v>
      </c>
      <c r="F2834">
        <v>50</v>
      </c>
      <c r="G2834" t="s">
        <v>11</v>
      </c>
      <c r="H2834" t="s">
        <v>12</v>
      </c>
      <c r="I2834" t="s">
        <v>26</v>
      </c>
      <c r="J2834" t="s">
        <v>27</v>
      </c>
      <c r="K2834" t="s">
        <v>22</v>
      </c>
      <c r="L2834">
        <v>3</v>
      </c>
      <c r="M2834" s="12">
        <v>27499</v>
      </c>
      <c r="N2834" s="12">
        <v>23374.149999999998</v>
      </c>
      <c r="O2834">
        <v>15</v>
      </c>
      <c r="P2834" s="12">
        <v>70122.45</v>
      </c>
      <c r="Q2834" s="12">
        <v>70122.45</v>
      </c>
      <c r="R2834" s="12">
        <v>0</v>
      </c>
      <c r="S2834" t="s">
        <v>1246</v>
      </c>
      <c r="T2834" t="s">
        <v>110</v>
      </c>
      <c r="U2834" t="s">
        <v>1198</v>
      </c>
    </row>
    <row r="2835" spans="1:21" x14ac:dyDescent="0.25">
      <c r="A2835" t="s">
        <v>4905</v>
      </c>
      <c r="B2835" s="8">
        <v>45951</v>
      </c>
      <c r="C2835" t="s">
        <v>2333</v>
      </c>
      <c r="D2835" t="s">
        <v>937</v>
      </c>
      <c r="E2835" t="s">
        <v>218</v>
      </c>
      <c r="F2835">
        <v>31</v>
      </c>
      <c r="G2835" t="s">
        <v>14</v>
      </c>
      <c r="H2835" t="s">
        <v>15</v>
      </c>
      <c r="I2835" t="s">
        <v>28</v>
      </c>
      <c r="J2835" t="s">
        <v>35</v>
      </c>
      <c r="K2835" t="s">
        <v>22</v>
      </c>
      <c r="L2835">
        <v>3</v>
      </c>
      <c r="M2835" s="12">
        <v>16499</v>
      </c>
      <c r="N2835" s="12">
        <v>14519.12</v>
      </c>
      <c r="O2835">
        <v>7</v>
      </c>
      <c r="P2835" s="12">
        <v>46032.21</v>
      </c>
      <c r="Q2835" s="12">
        <v>43557.36</v>
      </c>
      <c r="R2835" s="12">
        <v>2474.8499999999985</v>
      </c>
      <c r="S2835" t="s">
        <v>113</v>
      </c>
      <c r="T2835" t="s">
        <v>108</v>
      </c>
      <c r="U2835" t="s">
        <v>1211</v>
      </c>
    </row>
    <row r="2836" spans="1:21" x14ac:dyDescent="0.25">
      <c r="A2836" t="s">
        <v>4906</v>
      </c>
      <c r="B2836" s="8">
        <v>45801</v>
      </c>
      <c r="C2836" t="s">
        <v>1265</v>
      </c>
      <c r="D2836" t="s">
        <v>972</v>
      </c>
      <c r="E2836" t="s">
        <v>198</v>
      </c>
      <c r="F2836">
        <v>61</v>
      </c>
      <c r="G2836" t="s">
        <v>17</v>
      </c>
      <c r="H2836" t="s">
        <v>15</v>
      </c>
      <c r="I2836" t="s">
        <v>53</v>
      </c>
      <c r="J2836" t="s">
        <v>48</v>
      </c>
      <c r="K2836" t="s">
        <v>43</v>
      </c>
      <c r="L2836">
        <v>5</v>
      </c>
      <c r="M2836" s="12">
        <v>6499</v>
      </c>
      <c r="N2836" s="12">
        <v>4549.2999999999993</v>
      </c>
      <c r="O2836">
        <v>5</v>
      </c>
      <c r="P2836" s="12">
        <v>30870.25</v>
      </c>
      <c r="Q2836" s="12">
        <v>22746.499999999996</v>
      </c>
      <c r="R2836" s="12">
        <v>8123.7500000000036</v>
      </c>
      <c r="S2836" t="s">
        <v>1246</v>
      </c>
      <c r="T2836" t="s">
        <v>107</v>
      </c>
      <c r="U2836" t="s">
        <v>1203</v>
      </c>
    </row>
    <row r="2837" spans="1:21" x14ac:dyDescent="0.25">
      <c r="A2837" t="s">
        <v>4907</v>
      </c>
      <c r="B2837" s="8">
        <v>45735</v>
      </c>
      <c r="C2837" t="s">
        <v>2337</v>
      </c>
      <c r="D2837" t="s">
        <v>800</v>
      </c>
      <c r="E2837" t="s">
        <v>198</v>
      </c>
      <c r="F2837">
        <v>45</v>
      </c>
      <c r="G2837" t="s">
        <v>16</v>
      </c>
      <c r="H2837" t="s">
        <v>15</v>
      </c>
      <c r="I2837" t="s">
        <v>59</v>
      </c>
      <c r="J2837" t="s">
        <v>73</v>
      </c>
      <c r="K2837" t="s">
        <v>64</v>
      </c>
      <c r="L2837">
        <v>4</v>
      </c>
      <c r="M2837" s="12">
        <v>120</v>
      </c>
      <c r="N2837" s="12">
        <v>81.599999999999994</v>
      </c>
      <c r="O2837">
        <v>0</v>
      </c>
      <c r="P2837" s="12">
        <v>480</v>
      </c>
      <c r="Q2837" s="12">
        <v>326.39999999999998</v>
      </c>
      <c r="R2837" s="12">
        <v>153.60000000000002</v>
      </c>
      <c r="S2837" t="s">
        <v>113</v>
      </c>
      <c r="T2837" t="s">
        <v>107</v>
      </c>
      <c r="U2837" t="s">
        <v>1199</v>
      </c>
    </row>
    <row r="2838" spans="1:21" x14ac:dyDescent="0.25">
      <c r="A2838" t="s">
        <v>4908</v>
      </c>
      <c r="B2838" s="8">
        <v>45853</v>
      </c>
      <c r="C2838" t="s">
        <v>2001</v>
      </c>
      <c r="D2838" t="s">
        <v>597</v>
      </c>
      <c r="E2838" t="s">
        <v>218</v>
      </c>
      <c r="F2838">
        <v>27</v>
      </c>
      <c r="G2838" t="s">
        <v>17</v>
      </c>
      <c r="H2838" t="s">
        <v>15</v>
      </c>
      <c r="I2838" t="s">
        <v>36</v>
      </c>
      <c r="J2838" t="s">
        <v>136</v>
      </c>
      <c r="K2838" t="s">
        <v>22</v>
      </c>
      <c r="L2838">
        <v>1</v>
      </c>
      <c r="M2838" s="12">
        <v>3590</v>
      </c>
      <c r="N2838" s="12">
        <v>2333.5</v>
      </c>
      <c r="O2838">
        <v>5</v>
      </c>
      <c r="P2838" s="12">
        <v>3410.5</v>
      </c>
      <c r="Q2838" s="12">
        <v>2333.5</v>
      </c>
      <c r="R2838" s="12">
        <v>1077</v>
      </c>
      <c r="S2838" t="s">
        <v>1246</v>
      </c>
      <c r="T2838" t="s">
        <v>107</v>
      </c>
      <c r="U2838" t="s">
        <v>1194</v>
      </c>
    </row>
    <row r="2839" spans="1:21" x14ac:dyDescent="0.25">
      <c r="A2839" t="s">
        <v>4909</v>
      </c>
      <c r="B2839" s="8">
        <v>45915</v>
      </c>
      <c r="C2839" t="s">
        <v>2627</v>
      </c>
      <c r="D2839" t="s">
        <v>970</v>
      </c>
      <c r="E2839" t="s">
        <v>198</v>
      </c>
      <c r="F2839">
        <v>58</v>
      </c>
      <c r="G2839" t="s">
        <v>16</v>
      </c>
      <c r="H2839" t="s">
        <v>15</v>
      </c>
      <c r="I2839" t="s">
        <v>47</v>
      </c>
      <c r="J2839" t="s">
        <v>52</v>
      </c>
      <c r="K2839" t="s">
        <v>43</v>
      </c>
      <c r="L2839">
        <v>5</v>
      </c>
      <c r="M2839" s="12">
        <v>42999</v>
      </c>
      <c r="N2839" s="12">
        <v>33539.22</v>
      </c>
      <c r="O2839">
        <v>8</v>
      </c>
      <c r="P2839" s="12">
        <v>197795.4</v>
      </c>
      <c r="Q2839" s="12">
        <v>167696.1</v>
      </c>
      <c r="R2839" s="12">
        <v>30099.299999999988</v>
      </c>
      <c r="S2839" t="s">
        <v>113</v>
      </c>
      <c r="T2839" t="s">
        <v>108</v>
      </c>
      <c r="U2839" t="s">
        <v>1207</v>
      </c>
    </row>
    <row r="2840" spans="1:21" x14ac:dyDescent="0.25">
      <c r="A2840" t="s">
        <v>4910</v>
      </c>
      <c r="B2840" s="8">
        <v>45693</v>
      </c>
      <c r="C2840" t="s">
        <v>2171</v>
      </c>
      <c r="D2840" t="s">
        <v>1053</v>
      </c>
      <c r="E2840" t="s">
        <v>198</v>
      </c>
      <c r="F2840">
        <v>29</v>
      </c>
      <c r="G2840" t="s">
        <v>2</v>
      </c>
      <c r="H2840" t="s">
        <v>3</v>
      </c>
      <c r="I2840" t="s">
        <v>26</v>
      </c>
      <c r="J2840" t="s">
        <v>27</v>
      </c>
      <c r="K2840" t="s">
        <v>22</v>
      </c>
      <c r="L2840">
        <v>3</v>
      </c>
      <c r="M2840" s="12">
        <v>27499</v>
      </c>
      <c r="N2840" s="12">
        <v>23374.149999999998</v>
      </c>
      <c r="O2840">
        <v>8</v>
      </c>
      <c r="P2840" s="12">
        <v>75897.240000000005</v>
      </c>
      <c r="Q2840" s="12">
        <v>70122.45</v>
      </c>
      <c r="R2840" s="12">
        <v>5774.7900000000081</v>
      </c>
      <c r="S2840" t="s">
        <v>113</v>
      </c>
      <c r="T2840" t="s">
        <v>109</v>
      </c>
      <c r="U2840" t="s">
        <v>1199</v>
      </c>
    </row>
    <row r="2841" spans="1:21" x14ac:dyDescent="0.25">
      <c r="A2841" t="s">
        <v>4911</v>
      </c>
      <c r="B2841" s="8">
        <v>45784</v>
      </c>
      <c r="C2841" t="s">
        <v>1277</v>
      </c>
      <c r="D2841" t="s">
        <v>926</v>
      </c>
      <c r="E2841" t="s">
        <v>198</v>
      </c>
      <c r="F2841">
        <v>50</v>
      </c>
      <c r="G2841" t="s">
        <v>16</v>
      </c>
      <c r="H2841" t="s">
        <v>15</v>
      </c>
      <c r="I2841" t="s">
        <v>59</v>
      </c>
      <c r="J2841" t="s">
        <v>73</v>
      </c>
      <c r="K2841" t="s">
        <v>64</v>
      </c>
      <c r="L2841">
        <v>4</v>
      </c>
      <c r="M2841" s="12">
        <v>120</v>
      </c>
      <c r="N2841" s="12">
        <v>81.599999999999994</v>
      </c>
      <c r="O2841">
        <v>15</v>
      </c>
      <c r="P2841" s="12">
        <v>408</v>
      </c>
      <c r="Q2841" s="12">
        <v>326.39999999999998</v>
      </c>
      <c r="R2841" s="12">
        <v>81.600000000000023</v>
      </c>
      <c r="S2841" t="s">
        <v>1246</v>
      </c>
      <c r="T2841" t="s">
        <v>110</v>
      </c>
      <c r="U2841" t="s">
        <v>1211</v>
      </c>
    </row>
    <row r="2842" spans="1:21" x14ac:dyDescent="0.25">
      <c r="A2842" t="s">
        <v>4912</v>
      </c>
      <c r="B2842" s="8">
        <v>45956</v>
      </c>
      <c r="C2842" t="s">
        <v>2277</v>
      </c>
      <c r="D2842" t="s">
        <v>467</v>
      </c>
      <c r="E2842" t="s">
        <v>198</v>
      </c>
      <c r="F2842">
        <v>55</v>
      </c>
      <c r="G2842" t="s">
        <v>5</v>
      </c>
      <c r="H2842" t="s">
        <v>3</v>
      </c>
      <c r="I2842" t="s">
        <v>49</v>
      </c>
      <c r="J2842" t="s">
        <v>56</v>
      </c>
      <c r="K2842" t="s">
        <v>43</v>
      </c>
      <c r="L2842">
        <v>4</v>
      </c>
      <c r="M2842" s="12">
        <v>31999</v>
      </c>
      <c r="N2842" s="12">
        <v>25599.200000000001</v>
      </c>
      <c r="O2842">
        <v>5</v>
      </c>
      <c r="P2842" s="12">
        <v>121596.2</v>
      </c>
      <c r="Q2842" s="12">
        <v>102396.8</v>
      </c>
      <c r="R2842" s="12">
        <v>19199.399999999994</v>
      </c>
      <c r="S2842" t="s">
        <v>113</v>
      </c>
      <c r="T2842" t="s">
        <v>110</v>
      </c>
      <c r="U2842" t="s">
        <v>1201</v>
      </c>
    </row>
    <row r="2843" spans="1:21" x14ac:dyDescent="0.25">
      <c r="A2843" t="s">
        <v>4913</v>
      </c>
      <c r="B2843" s="8">
        <v>45759</v>
      </c>
      <c r="C2843" t="s">
        <v>3438</v>
      </c>
      <c r="D2843" t="s">
        <v>370</v>
      </c>
      <c r="E2843" t="s">
        <v>218</v>
      </c>
      <c r="F2843">
        <v>39</v>
      </c>
      <c r="G2843" t="s">
        <v>290</v>
      </c>
      <c r="H2843" t="s">
        <v>3</v>
      </c>
      <c r="I2843" t="s">
        <v>42</v>
      </c>
      <c r="J2843" t="s">
        <v>44</v>
      </c>
      <c r="K2843" t="s">
        <v>43</v>
      </c>
      <c r="L2843">
        <v>4</v>
      </c>
      <c r="M2843" s="12">
        <v>8999</v>
      </c>
      <c r="N2843" s="12">
        <v>6479.28</v>
      </c>
      <c r="O2843">
        <v>10</v>
      </c>
      <c r="P2843" s="12">
        <v>32396.400000000001</v>
      </c>
      <c r="Q2843" s="12">
        <v>25917.119999999999</v>
      </c>
      <c r="R2843" s="12">
        <v>6479.2800000000025</v>
      </c>
      <c r="S2843" t="s">
        <v>1246</v>
      </c>
      <c r="T2843" t="s">
        <v>109</v>
      </c>
      <c r="U2843" t="s">
        <v>1199</v>
      </c>
    </row>
    <row r="2844" spans="1:21" x14ac:dyDescent="0.25">
      <c r="A2844" t="s">
        <v>4914</v>
      </c>
      <c r="B2844" s="8">
        <v>45885</v>
      </c>
      <c r="C2844" t="s">
        <v>4257</v>
      </c>
      <c r="D2844" t="s">
        <v>682</v>
      </c>
      <c r="E2844" t="s">
        <v>198</v>
      </c>
      <c r="F2844">
        <v>29</v>
      </c>
      <c r="G2844" t="s">
        <v>289</v>
      </c>
      <c r="H2844" t="s">
        <v>3</v>
      </c>
      <c r="I2844" t="s">
        <v>32</v>
      </c>
      <c r="J2844" t="s">
        <v>29</v>
      </c>
      <c r="K2844" t="s">
        <v>22</v>
      </c>
      <c r="L2844">
        <v>2</v>
      </c>
      <c r="M2844" s="12">
        <v>9500</v>
      </c>
      <c r="N2844" s="12">
        <v>6650</v>
      </c>
      <c r="O2844">
        <v>6</v>
      </c>
      <c r="P2844" s="12">
        <v>17860</v>
      </c>
      <c r="Q2844" s="12">
        <v>13300</v>
      </c>
      <c r="R2844" s="12">
        <v>4560</v>
      </c>
      <c r="S2844" t="s">
        <v>1249</v>
      </c>
      <c r="T2844" t="s">
        <v>107</v>
      </c>
      <c r="U2844" t="s">
        <v>1194</v>
      </c>
    </row>
    <row r="2845" spans="1:21" x14ac:dyDescent="0.25">
      <c r="A2845" t="s">
        <v>4915</v>
      </c>
      <c r="B2845" s="8">
        <v>45748</v>
      </c>
      <c r="C2845" t="s">
        <v>1950</v>
      </c>
      <c r="D2845" t="s">
        <v>680</v>
      </c>
      <c r="E2845" t="s">
        <v>198</v>
      </c>
      <c r="F2845">
        <v>26</v>
      </c>
      <c r="G2845" t="s">
        <v>10</v>
      </c>
      <c r="H2845" t="s">
        <v>8</v>
      </c>
      <c r="I2845" t="s">
        <v>38</v>
      </c>
      <c r="J2845" t="s">
        <v>37</v>
      </c>
      <c r="K2845" t="s">
        <v>22</v>
      </c>
      <c r="L2845">
        <v>1</v>
      </c>
      <c r="M2845" s="12">
        <v>1650</v>
      </c>
      <c r="N2845" s="12">
        <v>990</v>
      </c>
      <c r="O2845">
        <v>3</v>
      </c>
      <c r="P2845" s="12">
        <v>1600.5</v>
      </c>
      <c r="Q2845" s="12">
        <v>990</v>
      </c>
      <c r="R2845" s="12">
        <v>610.5</v>
      </c>
      <c r="S2845" t="s">
        <v>1246</v>
      </c>
      <c r="T2845" t="s">
        <v>108</v>
      </c>
      <c r="U2845" t="s">
        <v>1205</v>
      </c>
    </row>
    <row r="2846" spans="1:21" x14ac:dyDescent="0.25">
      <c r="A2846" t="s">
        <v>4916</v>
      </c>
      <c r="B2846" s="8">
        <v>45779</v>
      </c>
      <c r="C2846" t="s">
        <v>2969</v>
      </c>
      <c r="D2846" t="s">
        <v>539</v>
      </c>
      <c r="E2846" t="s">
        <v>218</v>
      </c>
      <c r="F2846">
        <v>27</v>
      </c>
      <c r="G2846" t="s">
        <v>11</v>
      </c>
      <c r="H2846" t="s">
        <v>12</v>
      </c>
      <c r="I2846" t="s">
        <v>47</v>
      </c>
      <c r="J2846" t="s">
        <v>52</v>
      </c>
      <c r="K2846" t="s">
        <v>43</v>
      </c>
      <c r="L2846">
        <v>2</v>
      </c>
      <c r="M2846" s="12">
        <v>42999</v>
      </c>
      <c r="N2846" s="12">
        <v>33539.22</v>
      </c>
      <c r="O2846">
        <v>3</v>
      </c>
      <c r="P2846" s="12">
        <v>83418.06</v>
      </c>
      <c r="Q2846" s="12">
        <v>67078.44</v>
      </c>
      <c r="R2846" s="12">
        <v>16339.619999999995</v>
      </c>
      <c r="S2846" t="s">
        <v>1246</v>
      </c>
      <c r="T2846" t="s">
        <v>109</v>
      </c>
      <c r="U2846" t="s">
        <v>1201</v>
      </c>
    </row>
    <row r="2847" spans="1:21" x14ac:dyDescent="0.25">
      <c r="A2847" t="s">
        <v>4917</v>
      </c>
      <c r="B2847" s="8">
        <v>45809</v>
      </c>
      <c r="C2847" t="s">
        <v>1738</v>
      </c>
      <c r="D2847" t="s">
        <v>683</v>
      </c>
      <c r="E2847" t="s">
        <v>198</v>
      </c>
      <c r="F2847">
        <v>65</v>
      </c>
      <c r="G2847" t="s">
        <v>289</v>
      </c>
      <c r="H2847" t="s">
        <v>3</v>
      </c>
      <c r="I2847" t="s">
        <v>21</v>
      </c>
      <c r="J2847" t="s">
        <v>23</v>
      </c>
      <c r="K2847" t="s">
        <v>22</v>
      </c>
      <c r="L2847">
        <v>1</v>
      </c>
      <c r="M2847" s="12">
        <v>54999</v>
      </c>
      <c r="N2847" s="12">
        <v>45099.18</v>
      </c>
      <c r="O2847">
        <v>10</v>
      </c>
      <c r="P2847" s="12">
        <v>49499.1</v>
      </c>
      <c r="Q2847" s="12">
        <v>45099.18</v>
      </c>
      <c r="R2847" s="12">
        <v>4399.9199999999983</v>
      </c>
      <c r="S2847" t="s">
        <v>113</v>
      </c>
      <c r="T2847" t="s">
        <v>107</v>
      </c>
      <c r="U2847" t="s">
        <v>1203</v>
      </c>
    </row>
    <row r="2848" spans="1:21" x14ac:dyDescent="0.25">
      <c r="A2848" t="s">
        <v>4918</v>
      </c>
      <c r="B2848" s="8">
        <v>45723</v>
      </c>
      <c r="C2848" t="s">
        <v>2388</v>
      </c>
      <c r="D2848" t="s">
        <v>933</v>
      </c>
      <c r="E2848" t="s">
        <v>218</v>
      </c>
      <c r="F2848">
        <v>26</v>
      </c>
      <c r="G2848" t="s">
        <v>4</v>
      </c>
      <c r="H2848" t="s">
        <v>3</v>
      </c>
      <c r="I2848" t="s">
        <v>34</v>
      </c>
      <c r="J2848" t="s">
        <v>137</v>
      </c>
      <c r="K2848" t="s">
        <v>22</v>
      </c>
      <c r="L2848">
        <v>3</v>
      </c>
      <c r="M2848" s="12">
        <v>6900</v>
      </c>
      <c r="N2848" s="12">
        <v>5727</v>
      </c>
      <c r="O2848">
        <v>4</v>
      </c>
      <c r="P2848" s="12">
        <v>19872</v>
      </c>
      <c r="Q2848" s="12">
        <v>17181</v>
      </c>
      <c r="R2848" s="12">
        <v>2691</v>
      </c>
      <c r="S2848" t="s">
        <v>113</v>
      </c>
      <c r="T2848" t="s">
        <v>107</v>
      </c>
      <c r="U2848" t="s">
        <v>1199</v>
      </c>
    </row>
    <row r="2849" spans="1:21" x14ac:dyDescent="0.25">
      <c r="A2849" t="s">
        <v>4919</v>
      </c>
      <c r="B2849" s="8">
        <v>45683</v>
      </c>
      <c r="C2849" t="s">
        <v>1751</v>
      </c>
      <c r="D2849" t="s">
        <v>795</v>
      </c>
      <c r="E2849" t="s">
        <v>198</v>
      </c>
      <c r="F2849">
        <v>65</v>
      </c>
      <c r="G2849" t="s">
        <v>17</v>
      </c>
      <c r="H2849" t="s">
        <v>15</v>
      </c>
      <c r="I2849" t="s">
        <v>24</v>
      </c>
      <c r="J2849" t="s">
        <v>25</v>
      </c>
      <c r="K2849" t="s">
        <v>22</v>
      </c>
      <c r="L2849">
        <v>4</v>
      </c>
      <c r="M2849" s="12">
        <v>35800</v>
      </c>
      <c r="N2849" s="12">
        <v>28640</v>
      </c>
      <c r="O2849">
        <v>6</v>
      </c>
      <c r="P2849" s="12">
        <v>134608</v>
      </c>
      <c r="Q2849" s="12">
        <v>114560</v>
      </c>
      <c r="R2849" s="12">
        <v>20048</v>
      </c>
      <c r="S2849" t="s">
        <v>113</v>
      </c>
      <c r="T2849" t="s">
        <v>108</v>
      </c>
      <c r="U2849" t="s">
        <v>1205</v>
      </c>
    </row>
    <row r="2850" spans="1:21" x14ac:dyDescent="0.25">
      <c r="A2850" t="s">
        <v>4920</v>
      </c>
      <c r="B2850" s="8">
        <v>45745</v>
      </c>
      <c r="C2850" t="s">
        <v>4132</v>
      </c>
      <c r="D2850" t="s">
        <v>875</v>
      </c>
      <c r="E2850" t="s">
        <v>198</v>
      </c>
      <c r="F2850">
        <v>40</v>
      </c>
      <c r="G2850" t="s">
        <v>2</v>
      </c>
      <c r="H2850" t="s">
        <v>3</v>
      </c>
      <c r="I2850" t="s">
        <v>30</v>
      </c>
      <c r="J2850" t="s">
        <v>41</v>
      </c>
      <c r="K2850" t="s">
        <v>22</v>
      </c>
      <c r="L2850">
        <v>4</v>
      </c>
      <c r="M2850" s="12">
        <v>13749</v>
      </c>
      <c r="N2850" s="12">
        <v>10999.2</v>
      </c>
      <c r="O2850">
        <v>3</v>
      </c>
      <c r="P2850" s="12">
        <v>53346.119999999995</v>
      </c>
      <c r="Q2850" s="12">
        <v>43996.800000000003</v>
      </c>
      <c r="R2850" s="12">
        <v>9349.3199999999924</v>
      </c>
      <c r="S2850" t="s">
        <v>1246</v>
      </c>
      <c r="T2850" t="s">
        <v>107</v>
      </c>
      <c r="U2850" t="s">
        <v>1198</v>
      </c>
    </row>
    <row r="2851" spans="1:21" x14ac:dyDescent="0.25">
      <c r="A2851" t="s">
        <v>4921</v>
      </c>
      <c r="B2851" s="8">
        <v>45659</v>
      </c>
      <c r="C2851" t="s">
        <v>1837</v>
      </c>
      <c r="D2851" t="s">
        <v>449</v>
      </c>
      <c r="E2851" t="s">
        <v>198</v>
      </c>
      <c r="F2851">
        <v>24</v>
      </c>
      <c r="G2851" t="s">
        <v>14</v>
      </c>
      <c r="H2851" t="s">
        <v>15</v>
      </c>
      <c r="I2851" t="s">
        <v>26</v>
      </c>
      <c r="J2851" t="s">
        <v>27</v>
      </c>
      <c r="K2851" t="s">
        <v>22</v>
      </c>
      <c r="L2851">
        <v>2</v>
      </c>
      <c r="M2851" s="12">
        <v>27499</v>
      </c>
      <c r="N2851" s="12">
        <v>23374.149999999998</v>
      </c>
      <c r="O2851">
        <v>8</v>
      </c>
      <c r="P2851" s="12">
        <v>50598.16</v>
      </c>
      <c r="Q2851" s="12">
        <v>46748.299999999996</v>
      </c>
      <c r="R2851" s="12">
        <v>3849.8600000000079</v>
      </c>
      <c r="S2851" t="s">
        <v>1246</v>
      </c>
      <c r="T2851" t="s">
        <v>107</v>
      </c>
      <c r="U2851" t="s">
        <v>1199</v>
      </c>
    </row>
    <row r="2852" spans="1:21" x14ac:dyDescent="0.25">
      <c r="A2852" t="s">
        <v>4922</v>
      </c>
      <c r="B2852" s="8">
        <v>45691</v>
      </c>
      <c r="C2852" t="s">
        <v>1925</v>
      </c>
      <c r="D2852" t="s">
        <v>765</v>
      </c>
      <c r="E2852" t="s">
        <v>218</v>
      </c>
      <c r="F2852">
        <v>25</v>
      </c>
      <c r="G2852" t="s">
        <v>14</v>
      </c>
      <c r="H2852" t="s">
        <v>15</v>
      </c>
      <c r="I2852" t="s">
        <v>34</v>
      </c>
      <c r="J2852" t="s">
        <v>137</v>
      </c>
      <c r="K2852" t="s">
        <v>22</v>
      </c>
      <c r="L2852">
        <v>1</v>
      </c>
      <c r="M2852" s="12">
        <v>6900</v>
      </c>
      <c r="N2852" s="12">
        <v>5727</v>
      </c>
      <c r="O2852">
        <v>5</v>
      </c>
      <c r="P2852" s="12">
        <v>6555</v>
      </c>
      <c r="Q2852" s="12">
        <v>5727</v>
      </c>
      <c r="R2852" s="12">
        <v>828</v>
      </c>
      <c r="S2852" t="s">
        <v>1246</v>
      </c>
      <c r="T2852" t="s">
        <v>107</v>
      </c>
      <c r="U2852" t="s">
        <v>1209</v>
      </c>
    </row>
    <row r="2853" spans="1:21" x14ac:dyDescent="0.25">
      <c r="A2853" t="s">
        <v>4923</v>
      </c>
      <c r="B2853" s="8">
        <v>45826</v>
      </c>
      <c r="C2853" t="s">
        <v>1630</v>
      </c>
      <c r="D2853" t="s">
        <v>1044</v>
      </c>
      <c r="E2853" t="s">
        <v>198</v>
      </c>
      <c r="F2853">
        <v>20</v>
      </c>
      <c r="G2853" t="s">
        <v>5</v>
      </c>
      <c r="H2853" t="s">
        <v>3</v>
      </c>
      <c r="I2853" t="s">
        <v>24</v>
      </c>
      <c r="J2853" t="s">
        <v>25</v>
      </c>
      <c r="K2853" t="s">
        <v>22</v>
      </c>
      <c r="L2853">
        <v>5</v>
      </c>
      <c r="M2853" s="12">
        <v>35800</v>
      </c>
      <c r="N2853" s="12">
        <v>28640</v>
      </c>
      <c r="O2853">
        <v>8</v>
      </c>
      <c r="P2853" s="12">
        <v>164680</v>
      </c>
      <c r="Q2853" s="12">
        <v>143200</v>
      </c>
      <c r="R2853" s="12">
        <v>21480</v>
      </c>
      <c r="S2853" t="s">
        <v>113</v>
      </c>
      <c r="T2853" t="s">
        <v>109</v>
      </c>
      <c r="U2853" t="s">
        <v>1196</v>
      </c>
    </row>
    <row r="2854" spans="1:21" x14ac:dyDescent="0.25">
      <c r="A2854" t="s">
        <v>4924</v>
      </c>
      <c r="B2854" s="8">
        <v>46020</v>
      </c>
      <c r="C2854" t="s">
        <v>2197</v>
      </c>
      <c r="D2854" t="s">
        <v>500</v>
      </c>
      <c r="E2854" t="s">
        <v>198</v>
      </c>
      <c r="F2854">
        <v>39</v>
      </c>
      <c r="G2854" t="s">
        <v>290</v>
      </c>
      <c r="H2854" t="s">
        <v>3</v>
      </c>
      <c r="I2854" t="s">
        <v>55</v>
      </c>
      <c r="J2854" t="s">
        <v>65</v>
      </c>
      <c r="K2854" t="s">
        <v>64</v>
      </c>
      <c r="L2854">
        <v>5</v>
      </c>
      <c r="M2854" s="12">
        <v>80</v>
      </c>
      <c r="N2854" s="12">
        <v>56</v>
      </c>
      <c r="O2854">
        <v>7</v>
      </c>
      <c r="P2854" s="12">
        <v>372</v>
      </c>
      <c r="Q2854" s="12">
        <v>280</v>
      </c>
      <c r="R2854" s="12">
        <v>92</v>
      </c>
      <c r="S2854" t="s">
        <v>113</v>
      </c>
      <c r="T2854" t="s">
        <v>107</v>
      </c>
      <c r="U2854" t="s">
        <v>1196</v>
      </c>
    </row>
    <row r="2855" spans="1:21" x14ac:dyDescent="0.25">
      <c r="A2855" t="s">
        <v>4925</v>
      </c>
      <c r="B2855" s="8">
        <v>45779</v>
      </c>
      <c r="C2855" t="s">
        <v>1991</v>
      </c>
      <c r="D2855" t="s">
        <v>856</v>
      </c>
      <c r="E2855" t="s">
        <v>218</v>
      </c>
      <c r="F2855">
        <v>34</v>
      </c>
      <c r="G2855" t="s">
        <v>290</v>
      </c>
      <c r="H2855" t="s">
        <v>3</v>
      </c>
      <c r="I2855" t="s">
        <v>55</v>
      </c>
      <c r="J2855" t="s">
        <v>65</v>
      </c>
      <c r="K2855" t="s">
        <v>64</v>
      </c>
      <c r="L2855">
        <v>3</v>
      </c>
      <c r="M2855" s="12">
        <v>80</v>
      </c>
      <c r="N2855" s="12">
        <v>56</v>
      </c>
      <c r="O2855">
        <v>11</v>
      </c>
      <c r="P2855" s="12">
        <v>213.6</v>
      </c>
      <c r="Q2855" s="12">
        <v>168</v>
      </c>
      <c r="R2855" s="12">
        <v>45.599999999999994</v>
      </c>
      <c r="S2855" t="s">
        <v>113</v>
      </c>
      <c r="T2855" t="s">
        <v>108</v>
      </c>
      <c r="U2855" t="s">
        <v>1211</v>
      </c>
    </row>
    <row r="2856" spans="1:21" x14ac:dyDescent="0.25">
      <c r="A2856" t="s">
        <v>4926</v>
      </c>
      <c r="B2856" s="8">
        <v>45671</v>
      </c>
      <c r="C2856" t="s">
        <v>1659</v>
      </c>
      <c r="D2856" t="s">
        <v>847</v>
      </c>
      <c r="E2856" t="s">
        <v>198</v>
      </c>
      <c r="F2856">
        <v>52</v>
      </c>
      <c r="G2856" t="s">
        <v>2</v>
      </c>
      <c r="H2856" t="s">
        <v>3</v>
      </c>
      <c r="I2856" t="s">
        <v>45</v>
      </c>
      <c r="J2856" t="s">
        <v>46</v>
      </c>
      <c r="K2856" t="s">
        <v>43</v>
      </c>
      <c r="L2856">
        <v>3</v>
      </c>
      <c r="M2856" s="12">
        <v>11999</v>
      </c>
      <c r="N2856" s="12">
        <v>8999.25</v>
      </c>
      <c r="O2856">
        <v>4</v>
      </c>
      <c r="P2856" s="12">
        <v>34557.119999999995</v>
      </c>
      <c r="Q2856" s="12">
        <v>26997.75</v>
      </c>
      <c r="R2856" s="12">
        <v>7559.3699999999953</v>
      </c>
      <c r="S2856" t="s">
        <v>113</v>
      </c>
      <c r="T2856" t="s">
        <v>108</v>
      </c>
      <c r="U2856" t="s">
        <v>1194</v>
      </c>
    </row>
    <row r="2857" spans="1:21" x14ac:dyDescent="0.25">
      <c r="A2857" t="s">
        <v>4927</v>
      </c>
      <c r="B2857" s="8">
        <v>45838</v>
      </c>
      <c r="C2857" t="s">
        <v>1392</v>
      </c>
      <c r="D2857" t="s">
        <v>754</v>
      </c>
      <c r="E2857" t="s">
        <v>218</v>
      </c>
      <c r="F2857">
        <v>46</v>
      </c>
      <c r="G2857" t="s">
        <v>16</v>
      </c>
      <c r="H2857" t="s">
        <v>15</v>
      </c>
      <c r="I2857" t="s">
        <v>59</v>
      </c>
      <c r="J2857" t="s">
        <v>73</v>
      </c>
      <c r="K2857" t="s">
        <v>64</v>
      </c>
      <c r="L2857">
        <v>4</v>
      </c>
      <c r="M2857" s="12">
        <v>120</v>
      </c>
      <c r="N2857" s="12">
        <v>81.599999999999994</v>
      </c>
      <c r="O2857">
        <v>13</v>
      </c>
      <c r="P2857" s="12">
        <v>417.6</v>
      </c>
      <c r="Q2857" s="12">
        <v>326.39999999999998</v>
      </c>
      <c r="R2857" s="12">
        <v>91.200000000000045</v>
      </c>
      <c r="S2857" t="s">
        <v>1246</v>
      </c>
      <c r="T2857" t="s">
        <v>110</v>
      </c>
      <c r="U2857" t="s">
        <v>1211</v>
      </c>
    </row>
    <row r="2858" spans="1:21" x14ac:dyDescent="0.25">
      <c r="A2858" t="s">
        <v>4928</v>
      </c>
      <c r="B2858" s="8">
        <v>45874</v>
      </c>
      <c r="C2858" t="s">
        <v>1673</v>
      </c>
      <c r="D2858" t="s">
        <v>1064</v>
      </c>
      <c r="E2858" t="s">
        <v>198</v>
      </c>
      <c r="F2858">
        <v>51</v>
      </c>
      <c r="G2858" t="s">
        <v>17</v>
      </c>
      <c r="H2858" t="s">
        <v>15</v>
      </c>
      <c r="I2858" t="s">
        <v>63</v>
      </c>
      <c r="J2858" t="s">
        <v>77</v>
      </c>
      <c r="K2858" t="s">
        <v>64</v>
      </c>
      <c r="L2858">
        <v>5</v>
      </c>
      <c r="M2858" s="12">
        <v>650</v>
      </c>
      <c r="N2858" s="12">
        <v>468</v>
      </c>
      <c r="O2858">
        <v>1</v>
      </c>
      <c r="P2858" s="12">
        <v>3217.5</v>
      </c>
      <c r="Q2858" s="12">
        <v>2340</v>
      </c>
      <c r="R2858" s="12">
        <v>877.5</v>
      </c>
      <c r="S2858" t="s">
        <v>113</v>
      </c>
      <c r="T2858" t="s">
        <v>109</v>
      </c>
      <c r="U2858" t="s">
        <v>1198</v>
      </c>
    </row>
    <row r="2859" spans="1:21" x14ac:dyDescent="0.25">
      <c r="A2859" t="s">
        <v>4929</v>
      </c>
      <c r="B2859" s="8">
        <v>45684</v>
      </c>
      <c r="C2859" t="s">
        <v>1458</v>
      </c>
      <c r="D2859" t="s">
        <v>1038</v>
      </c>
      <c r="E2859" t="s">
        <v>198</v>
      </c>
      <c r="F2859">
        <v>61</v>
      </c>
      <c r="G2859" t="s">
        <v>17</v>
      </c>
      <c r="H2859" t="s">
        <v>15</v>
      </c>
      <c r="I2859" t="s">
        <v>34</v>
      </c>
      <c r="J2859" t="s">
        <v>137</v>
      </c>
      <c r="K2859" t="s">
        <v>22</v>
      </c>
      <c r="L2859">
        <v>1</v>
      </c>
      <c r="M2859" s="12">
        <v>6900</v>
      </c>
      <c r="N2859" s="12">
        <v>5727</v>
      </c>
      <c r="O2859">
        <v>10</v>
      </c>
      <c r="P2859" s="12">
        <v>6210</v>
      </c>
      <c r="Q2859" s="12">
        <v>5727</v>
      </c>
      <c r="R2859" s="12">
        <v>483</v>
      </c>
      <c r="S2859" t="s">
        <v>113</v>
      </c>
      <c r="T2859" t="s">
        <v>108</v>
      </c>
      <c r="U2859" t="s">
        <v>1194</v>
      </c>
    </row>
    <row r="2860" spans="1:21" x14ac:dyDescent="0.25">
      <c r="A2860" t="s">
        <v>4930</v>
      </c>
      <c r="B2860" s="8">
        <v>45992</v>
      </c>
      <c r="C2860" t="s">
        <v>2373</v>
      </c>
      <c r="D2860" t="s">
        <v>924</v>
      </c>
      <c r="E2860" t="s">
        <v>198</v>
      </c>
      <c r="F2860">
        <v>41</v>
      </c>
      <c r="G2860" t="s">
        <v>11</v>
      </c>
      <c r="H2860" t="s">
        <v>12</v>
      </c>
      <c r="I2860" t="s">
        <v>57</v>
      </c>
      <c r="J2860" t="s">
        <v>67</v>
      </c>
      <c r="K2860" t="s">
        <v>64</v>
      </c>
      <c r="L2860">
        <v>4</v>
      </c>
      <c r="M2860" s="12">
        <v>150</v>
      </c>
      <c r="N2860" s="12">
        <v>97.5</v>
      </c>
      <c r="O2860">
        <v>5</v>
      </c>
      <c r="P2860" s="12">
        <v>570</v>
      </c>
      <c r="Q2860" s="12">
        <v>390</v>
      </c>
      <c r="R2860" s="12">
        <v>180</v>
      </c>
      <c r="S2860" t="s">
        <v>113</v>
      </c>
      <c r="T2860" t="s">
        <v>107</v>
      </c>
      <c r="U2860" t="s">
        <v>1201</v>
      </c>
    </row>
    <row r="2861" spans="1:21" x14ac:dyDescent="0.25">
      <c r="A2861" t="s">
        <v>4931</v>
      </c>
      <c r="B2861" s="8">
        <v>45893</v>
      </c>
      <c r="C2861" t="s">
        <v>3177</v>
      </c>
      <c r="D2861" t="s">
        <v>564</v>
      </c>
      <c r="E2861" t="s">
        <v>198</v>
      </c>
      <c r="F2861">
        <v>22</v>
      </c>
      <c r="G2861" t="s">
        <v>289</v>
      </c>
      <c r="H2861" t="s">
        <v>3</v>
      </c>
      <c r="I2861" t="s">
        <v>61</v>
      </c>
      <c r="J2861" t="s">
        <v>146</v>
      </c>
      <c r="K2861" t="s">
        <v>64</v>
      </c>
      <c r="L2861">
        <v>4</v>
      </c>
      <c r="M2861" s="12">
        <v>250</v>
      </c>
      <c r="N2861" s="12">
        <v>155</v>
      </c>
      <c r="O2861">
        <v>5</v>
      </c>
      <c r="P2861" s="12">
        <v>950</v>
      </c>
      <c r="Q2861" s="12">
        <v>620</v>
      </c>
      <c r="R2861" s="12">
        <v>330</v>
      </c>
      <c r="S2861" t="s">
        <v>113</v>
      </c>
      <c r="T2861" t="s">
        <v>111</v>
      </c>
      <c r="U2861" t="s">
        <v>1205</v>
      </c>
    </row>
    <row r="2862" spans="1:21" x14ac:dyDescent="0.25">
      <c r="A2862" t="s">
        <v>4932</v>
      </c>
      <c r="B2862" s="8">
        <v>45670</v>
      </c>
      <c r="C2862" t="s">
        <v>4439</v>
      </c>
      <c r="D2862" t="s">
        <v>893</v>
      </c>
      <c r="E2862" t="s">
        <v>198</v>
      </c>
      <c r="F2862">
        <v>50</v>
      </c>
      <c r="G2862" t="s">
        <v>17</v>
      </c>
      <c r="H2862" t="s">
        <v>15</v>
      </c>
      <c r="I2862" t="s">
        <v>55</v>
      </c>
      <c r="J2862" t="s">
        <v>65</v>
      </c>
      <c r="K2862" t="s">
        <v>64</v>
      </c>
      <c r="L2862">
        <v>3</v>
      </c>
      <c r="M2862" s="12">
        <v>80</v>
      </c>
      <c r="N2862" s="12">
        <v>56</v>
      </c>
      <c r="O2862">
        <v>8</v>
      </c>
      <c r="P2862" s="12">
        <v>220.8</v>
      </c>
      <c r="Q2862" s="12">
        <v>168</v>
      </c>
      <c r="R2862" s="12">
        <v>52.800000000000011</v>
      </c>
      <c r="S2862" t="s">
        <v>113</v>
      </c>
      <c r="T2862" t="s">
        <v>108</v>
      </c>
      <c r="U2862" t="s">
        <v>1207</v>
      </c>
    </row>
    <row r="2863" spans="1:21" x14ac:dyDescent="0.25">
      <c r="A2863" t="s">
        <v>4933</v>
      </c>
      <c r="B2863" s="8">
        <v>45988</v>
      </c>
      <c r="C2863" t="s">
        <v>2337</v>
      </c>
      <c r="D2863" t="s">
        <v>800</v>
      </c>
      <c r="E2863" t="s">
        <v>198</v>
      </c>
      <c r="F2863">
        <v>45</v>
      </c>
      <c r="G2863" t="s">
        <v>16</v>
      </c>
      <c r="H2863" t="s">
        <v>15</v>
      </c>
      <c r="I2863" t="s">
        <v>28</v>
      </c>
      <c r="J2863" t="s">
        <v>35</v>
      </c>
      <c r="K2863" t="s">
        <v>22</v>
      </c>
      <c r="L2863">
        <v>5</v>
      </c>
      <c r="M2863" s="12">
        <v>16499</v>
      </c>
      <c r="N2863" s="12">
        <v>14519.12</v>
      </c>
      <c r="O2863">
        <v>14</v>
      </c>
      <c r="P2863" s="12">
        <v>70945.7</v>
      </c>
      <c r="Q2863" s="12">
        <v>72595.600000000006</v>
      </c>
      <c r="R2863" s="12">
        <v>-1649.9000000000087</v>
      </c>
      <c r="S2863" t="s">
        <v>1249</v>
      </c>
      <c r="T2863" t="s">
        <v>107</v>
      </c>
      <c r="U2863" t="s">
        <v>1211</v>
      </c>
    </row>
    <row r="2864" spans="1:21" x14ac:dyDescent="0.25">
      <c r="A2864" t="s">
        <v>4934</v>
      </c>
      <c r="B2864" s="8">
        <v>45890</v>
      </c>
      <c r="C2864" t="s">
        <v>1295</v>
      </c>
      <c r="D2864" t="s">
        <v>404</v>
      </c>
      <c r="E2864" t="s">
        <v>198</v>
      </c>
      <c r="F2864">
        <v>31</v>
      </c>
      <c r="G2864" t="s">
        <v>289</v>
      </c>
      <c r="H2864" t="s">
        <v>3</v>
      </c>
      <c r="I2864" t="s">
        <v>21</v>
      </c>
      <c r="J2864" t="s">
        <v>23</v>
      </c>
      <c r="K2864" t="s">
        <v>22</v>
      </c>
      <c r="L2864">
        <v>2</v>
      </c>
      <c r="M2864" s="12">
        <v>54999</v>
      </c>
      <c r="N2864" s="12">
        <v>45099.18</v>
      </c>
      <c r="O2864">
        <v>6</v>
      </c>
      <c r="P2864" s="12">
        <v>103398.12</v>
      </c>
      <c r="Q2864" s="12">
        <v>90198.36</v>
      </c>
      <c r="R2864" s="12">
        <v>13199.759999999995</v>
      </c>
      <c r="S2864" t="s">
        <v>1246</v>
      </c>
      <c r="T2864" t="s">
        <v>108</v>
      </c>
      <c r="U2864" t="s">
        <v>1194</v>
      </c>
    </row>
    <row r="2865" spans="1:21" x14ac:dyDescent="0.25">
      <c r="A2865" t="s">
        <v>4936</v>
      </c>
      <c r="B2865" s="8">
        <v>45888</v>
      </c>
      <c r="C2865" t="s">
        <v>1975</v>
      </c>
      <c r="D2865" t="s">
        <v>431</v>
      </c>
      <c r="E2865" t="s">
        <v>198</v>
      </c>
      <c r="F2865">
        <v>34</v>
      </c>
      <c r="G2865" t="s">
        <v>5</v>
      </c>
      <c r="H2865" t="s">
        <v>3</v>
      </c>
      <c r="I2865" t="s">
        <v>57</v>
      </c>
      <c r="J2865" t="s">
        <v>67</v>
      </c>
      <c r="K2865" t="s">
        <v>64</v>
      </c>
      <c r="L2865">
        <v>2</v>
      </c>
      <c r="M2865" s="12">
        <v>150</v>
      </c>
      <c r="N2865" s="12">
        <v>97.5</v>
      </c>
      <c r="O2865">
        <v>2</v>
      </c>
      <c r="P2865" s="12">
        <v>294</v>
      </c>
      <c r="Q2865" s="12">
        <v>195</v>
      </c>
      <c r="R2865" s="12">
        <v>99</v>
      </c>
      <c r="S2865" t="s">
        <v>1246</v>
      </c>
      <c r="T2865" t="s">
        <v>109</v>
      </c>
      <c r="U2865" t="s">
        <v>1209</v>
      </c>
    </row>
    <row r="2866" spans="1:21" x14ac:dyDescent="0.25">
      <c r="A2866" t="s">
        <v>4937</v>
      </c>
      <c r="B2866" s="8">
        <v>45778</v>
      </c>
      <c r="C2866" t="s">
        <v>2165</v>
      </c>
      <c r="D2866" t="s">
        <v>382</v>
      </c>
      <c r="E2866" t="s">
        <v>198</v>
      </c>
      <c r="F2866">
        <v>46</v>
      </c>
      <c r="G2866" t="s">
        <v>289</v>
      </c>
      <c r="H2866" t="s">
        <v>3</v>
      </c>
      <c r="I2866" t="s">
        <v>47</v>
      </c>
      <c r="J2866" t="s">
        <v>52</v>
      </c>
      <c r="K2866" t="s">
        <v>43</v>
      </c>
      <c r="L2866">
        <v>2</v>
      </c>
      <c r="M2866" s="12">
        <v>42999</v>
      </c>
      <c r="N2866" s="12">
        <v>33539.22</v>
      </c>
      <c r="O2866">
        <v>5</v>
      </c>
      <c r="P2866" s="12">
        <v>81698.099999999991</v>
      </c>
      <c r="Q2866" s="12">
        <v>67078.44</v>
      </c>
      <c r="R2866" s="12">
        <v>14619.659999999989</v>
      </c>
      <c r="S2866" t="s">
        <v>1246</v>
      </c>
      <c r="T2866" t="s">
        <v>109</v>
      </c>
      <c r="U2866" t="s">
        <v>1207</v>
      </c>
    </row>
    <row r="2867" spans="1:21" x14ac:dyDescent="0.25">
      <c r="A2867" t="s">
        <v>4938</v>
      </c>
      <c r="B2867" s="8">
        <v>45914</v>
      </c>
      <c r="C2867" t="s">
        <v>1616</v>
      </c>
      <c r="D2867" t="s">
        <v>582</v>
      </c>
      <c r="E2867" t="s">
        <v>198</v>
      </c>
      <c r="F2867">
        <v>61</v>
      </c>
      <c r="G2867" t="s">
        <v>14</v>
      </c>
      <c r="H2867" t="s">
        <v>15</v>
      </c>
      <c r="I2867" t="s">
        <v>53</v>
      </c>
      <c r="J2867" t="s">
        <v>48</v>
      </c>
      <c r="K2867" t="s">
        <v>43</v>
      </c>
      <c r="L2867">
        <v>2</v>
      </c>
      <c r="M2867" s="12">
        <v>6499</v>
      </c>
      <c r="N2867" s="12">
        <v>4549.2999999999993</v>
      </c>
      <c r="O2867">
        <v>10</v>
      </c>
      <c r="P2867" s="12">
        <v>11698.2</v>
      </c>
      <c r="Q2867" s="12">
        <v>9098.5999999999985</v>
      </c>
      <c r="R2867" s="12">
        <v>2599.6000000000022</v>
      </c>
      <c r="S2867" t="s">
        <v>1246</v>
      </c>
      <c r="T2867" t="s">
        <v>109</v>
      </c>
      <c r="U2867" t="s">
        <v>1203</v>
      </c>
    </row>
    <row r="2868" spans="1:21" x14ac:dyDescent="0.25">
      <c r="A2868" t="s">
        <v>4940</v>
      </c>
      <c r="B2868" s="8">
        <v>45980</v>
      </c>
      <c r="C2868" t="s">
        <v>2630</v>
      </c>
      <c r="D2868" t="s">
        <v>437</v>
      </c>
      <c r="E2868" t="s">
        <v>198</v>
      </c>
      <c r="F2868">
        <v>36</v>
      </c>
      <c r="G2868" t="s">
        <v>16</v>
      </c>
      <c r="H2868" t="s">
        <v>15</v>
      </c>
      <c r="I2868" t="s">
        <v>24</v>
      </c>
      <c r="J2868" t="s">
        <v>25</v>
      </c>
      <c r="K2868" t="s">
        <v>22</v>
      </c>
      <c r="L2868">
        <v>3</v>
      </c>
      <c r="M2868" s="12">
        <v>35800</v>
      </c>
      <c r="N2868" s="12">
        <v>28640</v>
      </c>
      <c r="O2868">
        <v>13</v>
      </c>
      <c r="P2868" s="12">
        <v>93438</v>
      </c>
      <c r="Q2868" s="12">
        <v>85920</v>
      </c>
      <c r="R2868" s="12">
        <v>7518</v>
      </c>
      <c r="S2868" t="s">
        <v>1246</v>
      </c>
      <c r="T2868" t="s">
        <v>107</v>
      </c>
      <c r="U2868" t="s">
        <v>1194</v>
      </c>
    </row>
    <row r="2869" spans="1:21" x14ac:dyDescent="0.25">
      <c r="A2869" t="s">
        <v>4941</v>
      </c>
      <c r="B2869" s="8">
        <v>45770</v>
      </c>
      <c r="C2869" t="s">
        <v>1361</v>
      </c>
      <c r="D2869" t="s">
        <v>1141</v>
      </c>
      <c r="E2869" t="s">
        <v>218</v>
      </c>
      <c r="F2869">
        <v>31</v>
      </c>
      <c r="G2869" t="s">
        <v>290</v>
      </c>
      <c r="H2869" t="s">
        <v>3</v>
      </c>
      <c r="I2869" t="s">
        <v>34</v>
      </c>
      <c r="J2869" t="s">
        <v>137</v>
      </c>
      <c r="K2869" t="s">
        <v>22</v>
      </c>
      <c r="L2869">
        <v>3</v>
      </c>
      <c r="M2869" s="12">
        <v>6900</v>
      </c>
      <c r="N2869" s="12">
        <v>5727</v>
      </c>
      <c r="O2869">
        <v>3</v>
      </c>
      <c r="P2869" s="12">
        <v>20079</v>
      </c>
      <c r="Q2869" s="12">
        <v>17181</v>
      </c>
      <c r="R2869" s="12">
        <v>2898</v>
      </c>
      <c r="S2869" t="s">
        <v>1246</v>
      </c>
      <c r="T2869" t="s">
        <v>111</v>
      </c>
      <c r="U2869" t="s">
        <v>1203</v>
      </c>
    </row>
    <row r="2870" spans="1:21" x14ac:dyDescent="0.25">
      <c r="A2870" t="s">
        <v>4942</v>
      </c>
      <c r="B2870" s="8">
        <v>45917</v>
      </c>
      <c r="C2870" t="s">
        <v>1481</v>
      </c>
      <c r="D2870" t="s">
        <v>886</v>
      </c>
      <c r="E2870" t="s">
        <v>198</v>
      </c>
      <c r="F2870">
        <v>54</v>
      </c>
      <c r="G2870" t="s">
        <v>7</v>
      </c>
      <c r="H2870" t="s">
        <v>8</v>
      </c>
      <c r="I2870" t="s">
        <v>42</v>
      </c>
      <c r="J2870" t="s">
        <v>44</v>
      </c>
      <c r="K2870" t="s">
        <v>43</v>
      </c>
      <c r="L2870">
        <v>1</v>
      </c>
      <c r="M2870" s="12">
        <v>8999</v>
      </c>
      <c r="N2870" s="12">
        <v>6479.28</v>
      </c>
      <c r="O2870">
        <v>10</v>
      </c>
      <c r="P2870" s="12">
        <v>8099.1</v>
      </c>
      <c r="Q2870" s="12">
        <v>6479.28</v>
      </c>
      <c r="R2870" s="12">
        <v>1619.8200000000006</v>
      </c>
      <c r="S2870" t="s">
        <v>113</v>
      </c>
      <c r="T2870" t="s">
        <v>108</v>
      </c>
      <c r="U2870" t="s">
        <v>1205</v>
      </c>
    </row>
    <row r="2871" spans="1:21" x14ac:dyDescent="0.25">
      <c r="A2871" t="s">
        <v>4943</v>
      </c>
      <c r="B2871" s="8">
        <v>46020</v>
      </c>
      <c r="C2871" t="s">
        <v>2088</v>
      </c>
      <c r="D2871" t="s">
        <v>595</v>
      </c>
      <c r="E2871" t="s">
        <v>218</v>
      </c>
      <c r="F2871">
        <v>28</v>
      </c>
      <c r="G2871" t="s">
        <v>14</v>
      </c>
      <c r="H2871" t="s">
        <v>15</v>
      </c>
      <c r="I2871" t="s">
        <v>28</v>
      </c>
      <c r="J2871" t="s">
        <v>35</v>
      </c>
      <c r="K2871" t="s">
        <v>22</v>
      </c>
      <c r="L2871">
        <v>2</v>
      </c>
      <c r="M2871" s="12">
        <v>16499</v>
      </c>
      <c r="N2871" s="12">
        <v>14519.12</v>
      </c>
      <c r="O2871">
        <v>10</v>
      </c>
      <c r="P2871" s="12">
        <v>29698.2</v>
      </c>
      <c r="Q2871" s="12">
        <v>29038.240000000002</v>
      </c>
      <c r="R2871" s="12">
        <v>659.95999999999913</v>
      </c>
      <c r="S2871" t="s">
        <v>1246</v>
      </c>
      <c r="T2871" t="s">
        <v>107</v>
      </c>
      <c r="U2871" t="s">
        <v>1209</v>
      </c>
    </row>
    <row r="2872" spans="1:21" x14ac:dyDescent="0.25">
      <c r="A2872" t="s">
        <v>4944</v>
      </c>
      <c r="B2872" s="8">
        <v>45671</v>
      </c>
      <c r="C2872" t="s">
        <v>2126</v>
      </c>
      <c r="D2872" t="s">
        <v>423</v>
      </c>
      <c r="E2872" t="s">
        <v>218</v>
      </c>
      <c r="F2872">
        <v>65</v>
      </c>
      <c r="G2872" t="s">
        <v>2</v>
      </c>
      <c r="H2872" t="s">
        <v>3</v>
      </c>
      <c r="I2872" t="s">
        <v>21</v>
      </c>
      <c r="J2872" t="s">
        <v>23</v>
      </c>
      <c r="K2872" t="s">
        <v>22</v>
      </c>
      <c r="L2872">
        <v>3</v>
      </c>
      <c r="M2872" s="12">
        <v>54999</v>
      </c>
      <c r="N2872" s="12">
        <v>45099.18</v>
      </c>
      <c r="O2872">
        <v>6</v>
      </c>
      <c r="P2872" s="12">
        <v>155097.18</v>
      </c>
      <c r="Q2872" s="12">
        <v>135297.54</v>
      </c>
      <c r="R2872" s="12">
        <v>19799.639999999985</v>
      </c>
      <c r="S2872" t="s">
        <v>113</v>
      </c>
      <c r="T2872" t="s">
        <v>109</v>
      </c>
      <c r="U2872" t="s">
        <v>1209</v>
      </c>
    </row>
    <row r="2873" spans="1:21" x14ac:dyDescent="0.25">
      <c r="A2873" t="s">
        <v>4945</v>
      </c>
      <c r="B2873" s="8">
        <v>45766</v>
      </c>
      <c r="C2873" t="s">
        <v>1981</v>
      </c>
      <c r="D2873" t="s">
        <v>1137</v>
      </c>
      <c r="E2873" t="s">
        <v>218</v>
      </c>
      <c r="F2873">
        <v>36</v>
      </c>
      <c r="G2873" t="s">
        <v>5</v>
      </c>
      <c r="H2873" t="s">
        <v>3</v>
      </c>
      <c r="I2873" t="s">
        <v>40</v>
      </c>
      <c r="J2873" t="s">
        <v>39</v>
      </c>
      <c r="K2873" t="s">
        <v>22</v>
      </c>
      <c r="L2873">
        <v>3</v>
      </c>
      <c r="M2873" s="12">
        <v>1100</v>
      </c>
      <c r="N2873" s="12">
        <v>715</v>
      </c>
      <c r="O2873">
        <v>8</v>
      </c>
      <c r="P2873" s="12">
        <v>3036</v>
      </c>
      <c r="Q2873" s="12">
        <v>2145</v>
      </c>
      <c r="R2873" s="12">
        <v>891</v>
      </c>
      <c r="S2873" t="s">
        <v>1246</v>
      </c>
      <c r="T2873" t="s">
        <v>109</v>
      </c>
      <c r="U2873" t="s">
        <v>1198</v>
      </c>
    </row>
    <row r="2874" spans="1:21" x14ac:dyDescent="0.25">
      <c r="A2874" t="s">
        <v>4946</v>
      </c>
      <c r="B2874" s="8">
        <v>45734</v>
      </c>
      <c r="C2874" t="s">
        <v>5102</v>
      </c>
      <c r="D2874" t="s">
        <v>976</v>
      </c>
      <c r="E2874" t="s">
        <v>198</v>
      </c>
      <c r="F2874">
        <v>43</v>
      </c>
      <c r="G2874" t="s">
        <v>17</v>
      </c>
      <c r="H2874" t="s">
        <v>15</v>
      </c>
      <c r="I2874" t="s">
        <v>51</v>
      </c>
      <c r="J2874" t="s">
        <v>54</v>
      </c>
      <c r="K2874" t="s">
        <v>43</v>
      </c>
      <c r="L2874">
        <v>5</v>
      </c>
      <c r="M2874" s="12">
        <v>27499</v>
      </c>
      <c r="N2874" s="12">
        <v>21724.210000000003</v>
      </c>
      <c r="O2874">
        <v>10</v>
      </c>
      <c r="P2874" s="12">
        <v>123745.5</v>
      </c>
      <c r="Q2874" s="12">
        <v>108621.05000000002</v>
      </c>
      <c r="R2874" s="12">
        <v>15124.449999999983</v>
      </c>
      <c r="S2874" t="s">
        <v>1246</v>
      </c>
      <c r="T2874" t="s">
        <v>110</v>
      </c>
      <c r="U2874" t="s">
        <v>1207</v>
      </c>
    </row>
    <row r="2875" spans="1:21" x14ac:dyDescent="0.25">
      <c r="A2875" t="s">
        <v>4947</v>
      </c>
      <c r="B2875" s="8">
        <v>45876</v>
      </c>
      <c r="C2875" t="s">
        <v>2914</v>
      </c>
      <c r="D2875" t="s">
        <v>1184</v>
      </c>
      <c r="E2875" t="s">
        <v>198</v>
      </c>
      <c r="F2875">
        <v>31</v>
      </c>
      <c r="G2875" t="s">
        <v>9</v>
      </c>
      <c r="H2875" t="s">
        <v>8</v>
      </c>
      <c r="I2875" t="s">
        <v>36</v>
      </c>
      <c r="J2875" t="s">
        <v>136</v>
      </c>
      <c r="K2875" t="s">
        <v>22</v>
      </c>
      <c r="L2875">
        <v>5</v>
      </c>
      <c r="M2875" s="12">
        <v>3590</v>
      </c>
      <c r="N2875" s="12">
        <v>2333.5</v>
      </c>
      <c r="O2875">
        <v>5</v>
      </c>
      <c r="P2875" s="12">
        <v>17052.5</v>
      </c>
      <c r="Q2875" s="12">
        <v>11667.5</v>
      </c>
      <c r="R2875" s="12">
        <v>5385</v>
      </c>
      <c r="S2875" t="s">
        <v>1249</v>
      </c>
      <c r="T2875" t="s">
        <v>107</v>
      </c>
      <c r="U2875" t="s">
        <v>1209</v>
      </c>
    </row>
    <row r="2876" spans="1:21" x14ac:dyDescent="0.25">
      <c r="A2876" t="s">
        <v>4948</v>
      </c>
      <c r="B2876" s="8">
        <v>45864</v>
      </c>
      <c r="C2876" t="s">
        <v>3487</v>
      </c>
      <c r="D2876" t="s">
        <v>455</v>
      </c>
      <c r="E2876" t="s">
        <v>198</v>
      </c>
      <c r="F2876">
        <v>39</v>
      </c>
      <c r="G2876" t="s">
        <v>10</v>
      </c>
      <c r="H2876" t="s">
        <v>8</v>
      </c>
      <c r="I2876" t="s">
        <v>24</v>
      </c>
      <c r="J2876" t="s">
        <v>25</v>
      </c>
      <c r="K2876" t="s">
        <v>22</v>
      </c>
      <c r="L2876">
        <v>4</v>
      </c>
      <c r="M2876" s="12">
        <v>35800</v>
      </c>
      <c r="N2876" s="12">
        <v>28640</v>
      </c>
      <c r="O2876">
        <v>3</v>
      </c>
      <c r="P2876" s="12">
        <v>138904</v>
      </c>
      <c r="Q2876" s="12">
        <v>114560</v>
      </c>
      <c r="R2876" s="12">
        <v>24344</v>
      </c>
      <c r="S2876" t="s">
        <v>113</v>
      </c>
      <c r="T2876" t="s">
        <v>108</v>
      </c>
      <c r="U2876" t="s">
        <v>1201</v>
      </c>
    </row>
    <row r="2877" spans="1:21" x14ac:dyDescent="0.25">
      <c r="A2877" t="s">
        <v>4950</v>
      </c>
      <c r="B2877" s="8">
        <v>45819</v>
      </c>
      <c r="C2877" t="s">
        <v>1688</v>
      </c>
      <c r="D2877" t="s">
        <v>755</v>
      </c>
      <c r="E2877" t="s">
        <v>198</v>
      </c>
      <c r="F2877">
        <v>35</v>
      </c>
      <c r="G2877" t="s">
        <v>2</v>
      </c>
      <c r="H2877" t="s">
        <v>3</v>
      </c>
      <c r="I2877" t="s">
        <v>28</v>
      </c>
      <c r="J2877" t="s">
        <v>35</v>
      </c>
      <c r="K2877" t="s">
        <v>22</v>
      </c>
      <c r="L2877">
        <v>3</v>
      </c>
      <c r="M2877" s="12">
        <v>16499</v>
      </c>
      <c r="N2877" s="12">
        <v>14519.12</v>
      </c>
      <c r="O2877">
        <v>10</v>
      </c>
      <c r="P2877" s="12">
        <v>44547.3</v>
      </c>
      <c r="Q2877" s="12">
        <v>43557.36</v>
      </c>
      <c r="R2877" s="12">
        <v>989.94000000000233</v>
      </c>
      <c r="S2877" t="s">
        <v>113</v>
      </c>
      <c r="T2877" t="s">
        <v>108</v>
      </c>
      <c r="U2877" t="s">
        <v>1203</v>
      </c>
    </row>
    <row r="2878" spans="1:21" x14ac:dyDescent="0.25">
      <c r="A2878" t="s">
        <v>4951</v>
      </c>
      <c r="B2878" s="8">
        <v>45727</v>
      </c>
      <c r="C2878" t="s">
        <v>1772</v>
      </c>
      <c r="D2878" t="s">
        <v>695</v>
      </c>
      <c r="E2878" t="s">
        <v>198</v>
      </c>
      <c r="F2878">
        <v>21</v>
      </c>
      <c r="G2878" t="s">
        <v>14</v>
      </c>
      <c r="H2878" t="s">
        <v>15</v>
      </c>
      <c r="I2878" t="s">
        <v>36</v>
      </c>
      <c r="J2878" t="s">
        <v>136</v>
      </c>
      <c r="K2878" t="s">
        <v>22</v>
      </c>
      <c r="L2878">
        <v>4</v>
      </c>
      <c r="M2878" s="12">
        <v>3590</v>
      </c>
      <c r="N2878" s="12">
        <v>2333.5</v>
      </c>
      <c r="O2878">
        <v>5</v>
      </c>
      <c r="P2878" s="12">
        <v>13642</v>
      </c>
      <c r="Q2878" s="12">
        <v>9334</v>
      </c>
      <c r="R2878" s="12">
        <v>4308</v>
      </c>
      <c r="S2878" t="s">
        <v>1246</v>
      </c>
      <c r="T2878" t="s">
        <v>110</v>
      </c>
      <c r="U2878" t="s">
        <v>1201</v>
      </c>
    </row>
    <row r="2879" spans="1:21" x14ac:dyDescent="0.25">
      <c r="A2879" t="s">
        <v>4952</v>
      </c>
      <c r="B2879" s="8">
        <v>45933</v>
      </c>
      <c r="C2879" t="s">
        <v>2369</v>
      </c>
      <c r="D2879" t="s">
        <v>816</v>
      </c>
      <c r="E2879" t="s">
        <v>218</v>
      </c>
      <c r="F2879">
        <v>30</v>
      </c>
      <c r="G2879" t="s">
        <v>2</v>
      </c>
      <c r="H2879" t="s">
        <v>3</v>
      </c>
      <c r="I2879" t="s">
        <v>38</v>
      </c>
      <c r="J2879" t="s">
        <v>37</v>
      </c>
      <c r="K2879" t="s">
        <v>22</v>
      </c>
      <c r="L2879">
        <v>3</v>
      </c>
      <c r="M2879" s="12">
        <v>1650</v>
      </c>
      <c r="N2879" s="12">
        <v>990</v>
      </c>
      <c r="O2879">
        <v>7</v>
      </c>
      <c r="P2879" s="12">
        <v>4603.5</v>
      </c>
      <c r="Q2879" s="12">
        <v>2970</v>
      </c>
      <c r="R2879" s="12">
        <v>1633.5</v>
      </c>
      <c r="S2879" t="s">
        <v>1246</v>
      </c>
      <c r="T2879" t="s">
        <v>110</v>
      </c>
      <c r="U2879" t="s">
        <v>1211</v>
      </c>
    </row>
    <row r="2880" spans="1:21" x14ac:dyDescent="0.25">
      <c r="A2880" t="s">
        <v>4953</v>
      </c>
      <c r="B2880" s="8">
        <v>45730</v>
      </c>
      <c r="C2880" t="s">
        <v>2133</v>
      </c>
      <c r="D2880" t="s">
        <v>537</v>
      </c>
      <c r="E2880" t="s">
        <v>198</v>
      </c>
      <c r="F2880">
        <v>19</v>
      </c>
      <c r="G2880" t="s">
        <v>289</v>
      </c>
      <c r="H2880" t="s">
        <v>3</v>
      </c>
      <c r="I2880" t="s">
        <v>40</v>
      </c>
      <c r="J2880" t="s">
        <v>39</v>
      </c>
      <c r="K2880" t="s">
        <v>22</v>
      </c>
      <c r="L2880">
        <v>3</v>
      </c>
      <c r="M2880" s="12">
        <v>1100</v>
      </c>
      <c r="N2880" s="12">
        <v>715</v>
      </c>
      <c r="O2880">
        <v>3</v>
      </c>
      <c r="P2880" s="12">
        <v>3201</v>
      </c>
      <c r="Q2880" s="12">
        <v>2145</v>
      </c>
      <c r="R2880" s="12">
        <v>1056</v>
      </c>
      <c r="S2880" t="s">
        <v>1246</v>
      </c>
      <c r="T2880" t="s">
        <v>109</v>
      </c>
      <c r="U2880" t="s">
        <v>1205</v>
      </c>
    </row>
    <row r="2881" spans="1:21" x14ac:dyDescent="0.25">
      <c r="A2881" t="s">
        <v>4954</v>
      </c>
      <c r="B2881" s="8">
        <v>45773</v>
      </c>
      <c r="C2881" t="s">
        <v>3201</v>
      </c>
      <c r="D2881" t="s">
        <v>769</v>
      </c>
      <c r="E2881" t="s">
        <v>218</v>
      </c>
      <c r="F2881">
        <v>49</v>
      </c>
      <c r="G2881" t="s">
        <v>10</v>
      </c>
      <c r="H2881" t="s">
        <v>8</v>
      </c>
      <c r="I2881" t="s">
        <v>38</v>
      </c>
      <c r="J2881" t="s">
        <v>37</v>
      </c>
      <c r="K2881" t="s">
        <v>22</v>
      </c>
      <c r="L2881">
        <v>3</v>
      </c>
      <c r="M2881" s="12">
        <v>1650</v>
      </c>
      <c r="N2881" s="12">
        <v>990</v>
      </c>
      <c r="O2881">
        <v>6</v>
      </c>
      <c r="P2881" s="12">
        <v>4653</v>
      </c>
      <c r="Q2881" s="12">
        <v>2970</v>
      </c>
      <c r="R2881" s="12">
        <v>1683</v>
      </c>
      <c r="S2881" t="s">
        <v>1246</v>
      </c>
      <c r="T2881" t="s">
        <v>107</v>
      </c>
      <c r="U2881" t="s">
        <v>1196</v>
      </c>
    </row>
    <row r="2882" spans="1:21" x14ac:dyDescent="0.25">
      <c r="A2882" t="s">
        <v>4955</v>
      </c>
      <c r="B2882" s="8">
        <v>45995</v>
      </c>
      <c r="C2882" t="s">
        <v>5093</v>
      </c>
      <c r="D2882" t="s">
        <v>638</v>
      </c>
      <c r="E2882" t="s">
        <v>218</v>
      </c>
      <c r="F2882">
        <v>46</v>
      </c>
      <c r="G2882" t="s">
        <v>289</v>
      </c>
      <c r="H2882" t="s">
        <v>3</v>
      </c>
      <c r="I2882" t="s">
        <v>47</v>
      </c>
      <c r="J2882" t="s">
        <v>52</v>
      </c>
      <c r="K2882" t="s">
        <v>43</v>
      </c>
      <c r="L2882">
        <v>3</v>
      </c>
      <c r="M2882" s="12">
        <v>42999</v>
      </c>
      <c r="N2882" s="12">
        <v>33539.22</v>
      </c>
      <c r="O2882">
        <v>20</v>
      </c>
      <c r="P2882" s="12">
        <v>103197.6</v>
      </c>
      <c r="Q2882" s="12">
        <v>100617.66</v>
      </c>
      <c r="R2882" s="12">
        <v>2579.9400000000023</v>
      </c>
      <c r="S2882" t="s">
        <v>113</v>
      </c>
      <c r="T2882" t="s">
        <v>107</v>
      </c>
      <c r="U2882" t="s">
        <v>1198</v>
      </c>
    </row>
    <row r="2883" spans="1:21" x14ac:dyDescent="0.25">
      <c r="A2883" t="s">
        <v>4956</v>
      </c>
      <c r="B2883" s="8">
        <v>45809</v>
      </c>
      <c r="C2883" t="s">
        <v>1783</v>
      </c>
      <c r="D2883" t="s">
        <v>441</v>
      </c>
      <c r="E2883" t="s">
        <v>198</v>
      </c>
      <c r="F2883">
        <v>22</v>
      </c>
      <c r="G2883" t="s">
        <v>5</v>
      </c>
      <c r="H2883" t="s">
        <v>3</v>
      </c>
      <c r="I2883" t="s">
        <v>34</v>
      </c>
      <c r="J2883" t="s">
        <v>137</v>
      </c>
      <c r="K2883" t="s">
        <v>22</v>
      </c>
      <c r="L2883">
        <v>1</v>
      </c>
      <c r="M2883" s="12">
        <v>6900</v>
      </c>
      <c r="N2883" s="12">
        <v>5727</v>
      </c>
      <c r="O2883">
        <v>6</v>
      </c>
      <c r="P2883" s="12">
        <v>6486</v>
      </c>
      <c r="Q2883" s="12">
        <v>5727</v>
      </c>
      <c r="R2883" s="12">
        <v>759</v>
      </c>
      <c r="S2883" t="s">
        <v>1249</v>
      </c>
      <c r="T2883" t="s">
        <v>110</v>
      </c>
      <c r="U2883" t="s">
        <v>1203</v>
      </c>
    </row>
    <row r="2884" spans="1:21" x14ac:dyDescent="0.25">
      <c r="A2884" t="s">
        <v>4958</v>
      </c>
      <c r="B2884" s="8">
        <v>45675</v>
      </c>
      <c r="C2884" t="s">
        <v>5082</v>
      </c>
      <c r="D2884" t="s">
        <v>628</v>
      </c>
      <c r="E2884" t="s">
        <v>198</v>
      </c>
      <c r="F2884">
        <v>42</v>
      </c>
      <c r="G2884" t="s">
        <v>16</v>
      </c>
      <c r="H2884" t="s">
        <v>15</v>
      </c>
      <c r="I2884" t="s">
        <v>32</v>
      </c>
      <c r="J2884" t="s">
        <v>29</v>
      </c>
      <c r="K2884" t="s">
        <v>22</v>
      </c>
      <c r="L2884">
        <v>1</v>
      </c>
      <c r="M2884" s="12">
        <v>9500</v>
      </c>
      <c r="N2884" s="12">
        <v>6650</v>
      </c>
      <c r="O2884">
        <v>5</v>
      </c>
      <c r="P2884" s="12">
        <v>9025</v>
      </c>
      <c r="Q2884" s="12">
        <v>6650</v>
      </c>
      <c r="R2884" s="12">
        <v>2375</v>
      </c>
      <c r="S2884" t="s">
        <v>1246</v>
      </c>
      <c r="T2884" t="s">
        <v>107</v>
      </c>
      <c r="U2884" t="s">
        <v>1194</v>
      </c>
    </row>
    <row r="2885" spans="1:21" x14ac:dyDescent="0.25">
      <c r="A2885" t="s">
        <v>4959</v>
      </c>
      <c r="B2885" s="8">
        <v>45720</v>
      </c>
      <c r="C2885" t="s">
        <v>1625</v>
      </c>
      <c r="D2885" t="s">
        <v>615</v>
      </c>
      <c r="E2885" t="s">
        <v>198</v>
      </c>
      <c r="F2885">
        <v>44</v>
      </c>
      <c r="G2885" t="s">
        <v>290</v>
      </c>
      <c r="H2885" t="s">
        <v>3</v>
      </c>
      <c r="I2885" t="s">
        <v>45</v>
      </c>
      <c r="J2885" t="s">
        <v>46</v>
      </c>
      <c r="K2885" t="s">
        <v>43</v>
      </c>
      <c r="L2885">
        <v>3</v>
      </c>
      <c r="M2885" s="12">
        <v>11999</v>
      </c>
      <c r="N2885" s="12">
        <v>8999.25</v>
      </c>
      <c r="O2885">
        <v>7</v>
      </c>
      <c r="P2885" s="12">
        <v>33477.21</v>
      </c>
      <c r="Q2885" s="12">
        <v>26997.75</v>
      </c>
      <c r="R2885" s="12">
        <v>6479.4599999999991</v>
      </c>
      <c r="S2885" t="s">
        <v>1246</v>
      </c>
      <c r="T2885" t="s">
        <v>108</v>
      </c>
      <c r="U2885" t="s">
        <v>1196</v>
      </c>
    </row>
    <row r="2886" spans="1:21" x14ac:dyDescent="0.25">
      <c r="A2886" t="s">
        <v>4960</v>
      </c>
      <c r="B2886" s="8">
        <v>45877</v>
      </c>
      <c r="C2886" t="s">
        <v>1751</v>
      </c>
      <c r="D2886" t="s">
        <v>795</v>
      </c>
      <c r="E2886" t="s">
        <v>198</v>
      </c>
      <c r="F2886">
        <v>65</v>
      </c>
      <c r="G2886" t="s">
        <v>17</v>
      </c>
      <c r="H2886" t="s">
        <v>15</v>
      </c>
      <c r="I2886" t="s">
        <v>26</v>
      </c>
      <c r="J2886" t="s">
        <v>27</v>
      </c>
      <c r="K2886" t="s">
        <v>22</v>
      </c>
      <c r="L2886">
        <v>4</v>
      </c>
      <c r="M2886" s="12">
        <v>27499</v>
      </c>
      <c r="N2886" s="12">
        <v>23374.149999999998</v>
      </c>
      <c r="O2886">
        <v>7</v>
      </c>
      <c r="P2886" s="12">
        <v>102296.28</v>
      </c>
      <c r="Q2886" s="12">
        <v>93496.599999999991</v>
      </c>
      <c r="R2886" s="12">
        <v>8799.6800000000076</v>
      </c>
      <c r="S2886" t="s">
        <v>113</v>
      </c>
      <c r="T2886" t="s">
        <v>109</v>
      </c>
      <c r="U2886" t="s">
        <v>1207</v>
      </c>
    </row>
    <row r="2887" spans="1:21" x14ac:dyDescent="0.25">
      <c r="A2887" t="s">
        <v>4961</v>
      </c>
      <c r="B2887" s="8">
        <v>45944</v>
      </c>
      <c r="C2887" t="s">
        <v>2055</v>
      </c>
      <c r="D2887" t="s">
        <v>690</v>
      </c>
      <c r="E2887" t="s">
        <v>218</v>
      </c>
      <c r="F2887">
        <v>22</v>
      </c>
      <c r="G2887" t="s">
        <v>10</v>
      </c>
      <c r="H2887" t="s">
        <v>8</v>
      </c>
      <c r="I2887" t="s">
        <v>59</v>
      </c>
      <c r="J2887" t="s">
        <v>73</v>
      </c>
      <c r="K2887" t="s">
        <v>64</v>
      </c>
      <c r="L2887">
        <v>3</v>
      </c>
      <c r="M2887" s="12">
        <v>120</v>
      </c>
      <c r="N2887" s="12">
        <v>81.599999999999994</v>
      </c>
      <c r="O2887">
        <v>2</v>
      </c>
      <c r="P2887" s="12">
        <v>352.8</v>
      </c>
      <c r="Q2887" s="12">
        <v>244.79999999999998</v>
      </c>
      <c r="R2887" s="12">
        <v>108.00000000000003</v>
      </c>
      <c r="S2887" t="s">
        <v>113</v>
      </c>
      <c r="T2887" t="s">
        <v>107</v>
      </c>
      <c r="U2887" t="s">
        <v>1199</v>
      </c>
    </row>
    <row r="2888" spans="1:21" x14ac:dyDescent="0.25">
      <c r="A2888" t="s">
        <v>4962</v>
      </c>
      <c r="B2888" s="8">
        <v>45968</v>
      </c>
      <c r="C2888" t="s">
        <v>4666</v>
      </c>
      <c r="D2888" t="s">
        <v>1173</v>
      </c>
      <c r="E2888" t="s">
        <v>218</v>
      </c>
      <c r="F2888">
        <v>18</v>
      </c>
      <c r="G2888" t="s">
        <v>11</v>
      </c>
      <c r="H2888" t="s">
        <v>12</v>
      </c>
      <c r="I2888" t="s">
        <v>53</v>
      </c>
      <c r="J2888" t="s">
        <v>48</v>
      </c>
      <c r="K2888" t="s">
        <v>43</v>
      </c>
      <c r="L2888">
        <v>5</v>
      </c>
      <c r="M2888" s="12">
        <v>6499</v>
      </c>
      <c r="N2888" s="12">
        <v>4549.2999999999993</v>
      </c>
      <c r="O2888">
        <v>17</v>
      </c>
      <c r="P2888" s="12">
        <v>26970.85</v>
      </c>
      <c r="Q2888" s="12">
        <v>22746.499999999996</v>
      </c>
      <c r="R2888" s="12">
        <v>4224.3500000000022</v>
      </c>
      <c r="S2888" t="s">
        <v>1246</v>
      </c>
      <c r="T2888" t="s">
        <v>107</v>
      </c>
      <c r="U2888" t="s">
        <v>1203</v>
      </c>
    </row>
    <row r="2889" spans="1:21" x14ac:dyDescent="0.25">
      <c r="A2889" t="s">
        <v>4963</v>
      </c>
      <c r="B2889" s="8">
        <v>45837</v>
      </c>
      <c r="C2889" t="s">
        <v>3547</v>
      </c>
      <c r="D2889" t="s">
        <v>1071</v>
      </c>
      <c r="E2889" t="s">
        <v>198</v>
      </c>
      <c r="F2889">
        <v>32</v>
      </c>
      <c r="G2889" t="s">
        <v>14</v>
      </c>
      <c r="H2889" t="s">
        <v>15</v>
      </c>
      <c r="I2889" t="s">
        <v>61</v>
      </c>
      <c r="J2889" t="s">
        <v>146</v>
      </c>
      <c r="K2889" t="s">
        <v>64</v>
      </c>
      <c r="L2889">
        <v>4</v>
      </c>
      <c r="M2889" s="12">
        <v>250</v>
      </c>
      <c r="N2889" s="12">
        <v>155</v>
      </c>
      <c r="O2889">
        <v>10</v>
      </c>
      <c r="P2889" s="12">
        <v>900</v>
      </c>
      <c r="Q2889" s="12">
        <v>620</v>
      </c>
      <c r="R2889" s="12">
        <v>280</v>
      </c>
      <c r="S2889" t="s">
        <v>1246</v>
      </c>
      <c r="T2889" t="s">
        <v>109</v>
      </c>
      <c r="U2889" t="s">
        <v>1207</v>
      </c>
    </row>
    <row r="2890" spans="1:21" x14ac:dyDescent="0.25">
      <c r="A2890" t="s">
        <v>4964</v>
      </c>
      <c r="B2890" s="8">
        <v>45677</v>
      </c>
      <c r="C2890" t="s">
        <v>2922</v>
      </c>
      <c r="D2890" t="s">
        <v>460</v>
      </c>
      <c r="E2890" t="s">
        <v>198</v>
      </c>
      <c r="F2890">
        <v>40</v>
      </c>
      <c r="G2890" t="s">
        <v>16</v>
      </c>
      <c r="H2890" t="s">
        <v>15</v>
      </c>
      <c r="I2890" t="s">
        <v>57</v>
      </c>
      <c r="J2890" t="s">
        <v>67</v>
      </c>
      <c r="K2890" t="s">
        <v>64</v>
      </c>
      <c r="L2890">
        <v>3</v>
      </c>
      <c r="M2890" s="12">
        <v>150</v>
      </c>
      <c r="N2890" s="12">
        <v>97.5</v>
      </c>
      <c r="O2890">
        <v>14</v>
      </c>
      <c r="P2890" s="12">
        <v>387</v>
      </c>
      <c r="Q2890" s="12">
        <v>292.5</v>
      </c>
      <c r="R2890" s="12">
        <v>94.5</v>
      </c>
      <c r="S2890" t="s">
        <v>113</v>
      </c>
      <c r="T2890" t="s">
        <v>109</v>
      </c>
      <c r="U2890" t="s">
        <v>1207</v>
      </c>
    </row>
    <row r="2891" spans="1:21" x14ac:dyDescent="0.25">
      <c r="A2891" t="s">
        <v>4965</v>
      </c>
      <c r="B2891" s="8">
        <v>45938</v>
      </c>
      <c r="C2891" t="s">
        <v>2909</v>
      </c>
      <c r="D2891" t="s">
        <v>814</v>
      </c>
      <c r="E2891" t="s">
        <v>218</v>
      </c>
      <c r="F2891">
        <v>55</v>
      </c>
      <c r="G2891" t="s">
        <v>289</v>
      </c>
      <c r="H2891" t="s">
        <v>3</v>
      </c>
      <c r="I2891" t="s">
        <v>24</v>
      </c>
      <c r="J2891" t="s">
        <v>25</v>
      </c>
      <c r="K2891" t="s">
        <v>22</v>
      </c>
      <c r="L2891">
        <v>4</v>
      </c>
      <c r="M2891" s="12">
        <v>35800</v>
      </c>
      <c r="N2891" s="12">
        <v>28640</v>
      </c>
      <c r="O2891">
        <v>7</v>
      </c>
      <c r="P2891" s="12">
        <v>133176</v>
      </c>
      <c r="Q2891" s="12">
        <v>114560</v>
      </c>
      <c r="R2891" s="12">
        <v>18616</v>
      </c>
      <c r="S2891" t="s">
        <v>1246</v>
      </c>
      <c r="T2891" t="s">
        <v>108</v>
      </c>
      <c r="U2891" t="s">
        <v>1199</v>
      </c>
    </row>
    <row r="2892" spans="1:21" x14ac:dyDescent="0.25">
      <c r="A2892" t="s">
        <v>4966</v>
      </c>
      <c r="B2892" s="8">
        <v>45695</v>
      </c>
      <c r="C2892" t="s">
        <v>1906</v>
      </c>
      <c r="D2892" t="s">
        <v>629</v>
      </c>
      <c r="E2892" t="s">
        <v>218</v>
      </c>
      <c r="F2892">
        <v>53</v>
      </c>
      <c r="G2892" t="s">
        <v>290</v>
      </c>
      <c r="H2892" t="s">
        <v>3</v>
      </c>
      <c r="I2892" t="s">
        <v>24</v>
      </c>
      <c r="J2892" t="s">
        <v>25</v>
      </c>
      <c r="K2892" t="s">
        <v>22</v>
      </c>
      <c r="L2892">
        <v>2</v>
      </c>
      <c r="M2892" s="12">
        <v>35800</v>
      </c>
      <c r="N2892" s="12">
        <v>28640</v>
      </c>
      <c r="O2892">
        <v>7</v>
      </c>
      <c r="P2892" s="12">
        <v>66588</v>
      </c>
      <c r="Q2892" s="12">
        <v>57280</v>
      </c>
      <c r="R2892" s="12">
        <v>9308</v>
      </c>
      <c r="S2892" t="s">
        <v>113</v>
      </c>
      <c r="T2892" t="s">
        <v>109</v>
      </c>
      <c r="U2892" t="s">
        <v>1209</v>
      </c>
    </row>
    <row r="2893" spans="1:21" x14ac:dyDescent="0.25">
      <c r="A2893" t="s">
        <v>4967</v>
      </c>
      <c r="B2893" s="8">
        <v>45818</v>
      </c>
      <c r="C2893" t="s">
        <v>2173</v>
      </c>
      <c r="D2893" t="s">
        <v>1076</v>
      </c>
      <c r="E2893" t="s">
        <v>198</v>
      </c>
      <c r="F2893">
        <v>30</v>
      </c>
      <c r="G2893" t="s">
        <v>2</v>
      </c>
      <c r="H2893" t="s">
        <v>3</v>
      </c>
      <c r="I2893" t="s">
        <v>26</v>
      </c>
      <c r="J2893" t="s">
        <v>27</v>
      </c>
      <c r="K2893" t="s">
        <v>22</v>
      </c>
      <c r="L2893">
        <v>1</v>
      </c>
      <c r="M2893" s="12">
        <v>27499</v>
      </c>
      <c r="N2893" s="12">
        <v>23374.149999999998</v>
      </c>
      <c r="O2893">
        <v>8</v>
      </c>
      <c r="P2893" s="12">
        <v>25299.08</v>
      </c>
      <c r="Q2893" s="12">
        <v>23374.149999999998</v>
      </c>
      <c r="R2893" s="12">
        <v>1924.9300000000039</v>
      </c>
      <c r="S2893" t="s">
        <v>1246</v>
      </c>
      <c r="T2893" t="s">
        <v>107</v>
      </c>
      <c r="U2893" t="s">
        <v>1194</v>
      </c>
    </row>
    <row r="2894" spans="1:21" x14ac:dyDescent="0.25">
      <c r="A2894" t="s">
        <v>4968</v>
      </c>
      <c r="B2894" s="8">
        <v>45769</v>
      </c>
      <c r="C2894" t="s">
        <v>4028</v>
      </c>
      <c r="D2894" t="s">
        <v>1082</v>
      </c>
      <c r="E2894" t="s">
        <v>218</v>
      </c>
      <c r="F2894">
        <v>22</v>
      </c>
      <c r="G2894" t="s">
        <v>11</v>
      </c>
      <c r="H2894" t="s">
        <v>12</v>
      </c>
      <c r="I2894" t="s">
        <v>45</v>
      </c>
      <c r="J2894" t="s">
        <v>46</v>
      </c>
      <c r="K2894" t="s">
        <v>43</v>
      </c>
      <c r="L2894">
        <v>1</v>
      </c>
      <c r="M2894" s="12">
        <v>11999</v>
      </c>
      <c r="N2894" s="12">
        <v>8999.25</v>
      </c>
      <c r="O2894">
        <v>5</v>
      </c>
      <c r="P2894" s="12">
        <v>11399.05</v>
      </c>
      <c r="Q2894" s="12">
        <v>8999.25</v>
      </c>
      <c r="R2894" s="12">
        <v>2399.7999999999993</v>
      </c>
      <c r="S2894" t="s">
        <v>113</v>
      </c>
      <c r="T2894" t="s">
        <v>107</v>
      </c>
      <c r="U2894" t="s">
        <v>1194</v>
      </c>
    </row>
    <row r="2895" spans="1:21" x14ac:dyDescent="0.25">
      <c r="A2895" t="s">
        <v>4969</v>
      </c>
      <c r="B2895" s="8">
        <v>45816</v>
      </c>
      <c r="C2895" t="s">
        <v>4223</v>
      </c>
      <c r="D2895" t="s">
        <v>1080</v>
      </c>
      <c r="E2895" t="s">
        <v>218</v>
      </c>
      <c r="F2895">
        <v>21</v>
      </c>
      <c r="G2895" t="s">
        <v>289</v>
      </c>
      <c r="H2895" t="s">
        <v>3</v>
      </c>
      <c r="I2895" t="s">
        <v>26</v>
      </c>
      <c r="J2895" t="s">
        <v>27</v>
      </c>
      <c r="K2895" t="s">
        <v>22</v>
      </c>
      <c r="L2895">
        <v>1</v>
      </c>
      <c r="M2895" s="12">
        <v>27499</v>
      </c>
      <c r="N2895" s="12">
        <v>23374.149999999998</v>
      </c>
      <c r="O2895">
        <v>9</v>
      </c>
      <c r="P2895" s="12">
        <v>25024.09</v>
      </c>
      <c r="Q2895" s="12">
        <v>23374.149999999998</v>
      </c>
      <c r="R2895" s="12">
        <v>1649.9400000000023</v>
      </c>
      <c r="S2895" t="s">
        <v>113</v>
      </c>
      <c r="T2895" t="s">
        <v>107</v>
      </c>
      <c r="U2895" t="s">
        <v>1207</v>
      </c>
    </row>
    <row r="2896" spans="1:21" x14ac:dyDescent="0.25">
      <c r="A2896" t="s">
        <v>4970</v>
      </c>
      <c r="B2896" s="8">
        <v>45894</v>
      </c>
      <c r="C2896" t="s">
        <v>2291</v>
      </c>
      <c r="D2896" t="s">
        <v>457</v>
      </c>
      <c r="E2896" t="s">
        <v>198</v>
      </c>
      <c r="F2896">
        <v>61</v>
      </c>
      <c r="G2896" t="s">
        <v>9</v>
      </c>
      <c r="H2896" t="s">
        <v>8</v>
      </c>
      <c r="I2896" t="s">
        <v>49</v>
      </c>
      <c r="J2896" t="s">
        <v>56</v>
      </c>
      <c r="K2896" t="s">
        <v>43</v>
      </c>
      <c r="L2896">
        <v>5</v>
      </c>
      <c r="M2896" s="12">
        <v>31999</v>
      </c>
      <c r="N2896" s="12">
        <v>25599.200000000001</v>
      </c>
      <c r="O2896">
        <v>8</v>
      </c>
      <c r="P2896" s="12">
        <v>147195.4</v>
      </c>
      <c r="Q2896" s="12">
        <v>127996</v>
      </c>
      <c r="R2896" s="12">
        <v>19199.399999999994</v>
      </c>
      <c r="S2896" t="s">
        <v>113</v>
      </c>
      <c r="T2896" t="s">
        <v>107</v>
      </c>
      <c r="U2896" t="s">
        <v>1207</v>
      </c>
    </row>
    <row r="2897" spans="1:21" x14ac:dyDescent="0.25">
      <c r="A2897" t="s">
        <v>4971</v>
      </c>
      <c r="B2897" s="8">
        <v>45965</v>
      </c>
      <c r="C2897" t="s">
        <v>1263</v>
      </c>
      <c r="D2897" t="s">
        <v>399</v>
      </c>
      <c r="E2897" t="s">
        <v>218</v>
      </c>
      <c r="F2897">
        <v>25</v>
      </c>
      <c r="G2897" t="s">
        <v>17</v>
      </c>
      <c r="H2897" t="s">
        <v>15</v>
      </c>
      <c r="I2897" t="s">
        <v>51</v>
      </c>
      <c r="J2897" t="s">
        <v>54</v>
      </c>
      <c r="K2897" t="s">
        <v>43</v>
      </c>
      <c r="L2897">
        <v>1</v>
      </c>
      <c r="M2897" s="12">
        <v>27499</v>
      </c>
      <c r="N2897" s="12">
        <v>21724.210000000003</v>
      </c>
      <c r="O2897">
        <v>20</v>
      </c>
      <c r="P2897" s="12">
        <v>21999.200000000001</v>
      </c>
      <c r="Q2897" s="12">
        <v>21724.210000000003</v>
      </c>
      <c r="R2897" s="12">
        <v>274.98999999999796</v>
      </c>
      <c r="S2897" t="s">
        <v>1246</v>
      </c>
      <c r="T2897" t="s">
        <v>107</v>
      </c>
      <c r="U2897" t="s">
        <v>1207</v>
      </c>
    </row>
    <row r="2898" spans="1:21" x14ac:dyDescent="0.25">
      <c r="A2898" t="s">
        <v>4972</v>
      </c>
      <c r="B2898" s="8">
        <v>45759</v>
      </c>
      <c r="C2898" t="s">
        <v>2180</v>
      </c>
      <c r="D2898" t="s">
        <v>1022</v>
      </c>
      <c r="E2898" t="s">
        <v>218</v>
      </c>
      <c r="F2898">
        <v>33</v>
      </c>
      <c r="G2898" t="s">
        <v>7</v>
      </c>
      <c r="H2898" t="s">
        <v>8</v>
      </c>
      <c r="I2898" t="s">
        <v>51</v>
      </c>
      <c r="J2898" t="s">
        <v>54</v>
      </c>
      <c r="K2898" t="s">
        <v>43</v>
      </c>
      <c r="L2898">
        <v>3</v>
      </c>
      <c r="M2898" s="12">
        <v>27499</v>
      </c>
      <c r="N2898" s="12">
        <v>21724.210000000003</v>
      </c>
      <c r="O2898">
        <v>9</v>
      </c>
      <c r="P2898" s="12">
        <v>75072.27</v>
      </c>
      <c r="Q2898" s="12">
        <v>65172.630000000005</v>
      </c>
      <c r="R2898" s="12">
        <v>9899.64</v>
      </c>
      <c r="S2898" t="s">
        <v>1246</v>
      </c>
      <c r="T2898" t="s">
        <v>108</v>
      </c>
      <c r="U2898" t="s">
        <v>1194</v>
      </c>
    </row>
    <row r="2899" spans="1:21" x14ac:dyDescent="0.25">
      <c r="A2899" t="s">
        <v>4973</v>
      </c>
      <c r="B2899" s="8">
        <v>45711</v>
      </c>
      <c r="C2899" t="s">
        <v>1857</v>
      </c>
      <c r="D2899" t="s">
        <v>787</v>
      </c>
      <c r="E2899" t="s">
        <v>198</v>
      </c>
      <c r="F2899">
        <v>53</v>
      </c>
      <c r="G2899" t="s">
        <v>10</v>
      </c>
      <c r="H2899" t="s">
        <v>8</v>
      </c>
      <c r="I2899" t="s">
        <v>53</v>
      </c>
      <c r="J2899" t="s">
        <v>48</v>
      </c>
      <c r="K2899" t="s">
        <v>43</v>
      </c>
      <c r="L2899">
        <v>4</v>
      </c>
      <c r="M2899" s="12">
        <v>6499</v>
      </c>
      <c r="N2899" s="12">
        <v>4549.2999999999993</v>
      </c>
      <c r="O2899">
        <v>8</v>
      </c>
      <c r="P2899" s="12">
        <v>23916.32</v>
      </c>
      <c r="Q2899" s="12">
        <v>18197.199999999997</v>
      </c>
      <c r="R2899" s="12">
        <v>5719.1200000000026</v>
      </c>
      <c r="S2899" t="s">
        <v>113</v>
      </c>
      <c r="T2899" t="s">
        <v>107</v>
      </c>
      <c r="U2899" t="s">
        <v>1201</v>
      </c>
    </row>
    <row r="2900" spans="1:21" x14ac:dyDescent="0.25">
      <c r="A2900" t="s">
        <v>4974</v>
      </c>
      <c r="B2900" s="8">
        <v>45794</v>
      </c>
      <c r="C2900" t="s">
        <v>1265</v>
      </c>
      <c r="D2900" t="s">
        <v>972</v>
      </c>
      <c r="E2900" t="s">
        <v>198</v>
      </c>
      <c r="F2900">
        <v>61</v>
      </c>
      <c r="G2900" t="s">
        <v>17</v>
      </c>
      <c r="H2900" t="s">
        <v>15</v>
      </c>
      <c r="I2900" t="s">
        <v>59</v>
      </c>
      <c r="J2900" t="s">
        <v>73</v>
      </c>
      <c r="K2900" t="s">
        <v>64</v>
      </c>
      <c r="L2900">
        <v>2</v>
      </c>
      <c r="M2900" s="12">
        <v>120</v>
      </c>
      <c r="N2900" s="12">
        <v>81.599999999999994</v>
      </c>
      <c r="O2900">
        <v>15</v>
      </c>
      <c r="P2900" s="12">
        <v>204</v>
      </c>
      <c r="Q2900" s="12">
        <v>163.19999999999999</v>
      </c>
      <c r="R2900" s="12">
        <v>40.800000000000011</v>
      </c>
      <c r="S2900" t="s">
        <v>1246</v>
      </c>
      <c r="T2900" t="s">
        <v>108</v>
      </c>
      <c r="U2900" t="s">
        <v>1209</v>
      </c>
    </row>
    <row r="2901" spans="1:21" x14ac:dyDescent="0.25">
      <c r="A2901" t="s">
        <v>4975</v>
      </c>
      <c r="B2901" s="8">
        <v>45831</v>
      </c>
      <c r="C2901" t="s">
        <v>4614</v>
      </c>
      <c r="D2901" t="s">
        <v>1073</v>
      </c>
      <c r="E2901" t="s">
        <v>198</v>
      </c>
      <c r="F2901">
        <v>37</v>
      </c>
      <c r="G2901" t="s">
        <v>10</v>
      </c>
      <c r="H2901" t="s">
        <v>8</v>
      </c>
      <c r="I2901" t="s">
        <v>49</v>
      </c>
      <c r="J2901" t="s">
        <v>56</v>
      </c>
      <c r="K2901" t="s">
        <v>43</v>
      </c>
      <c r="L2901">
        <v>4</v>
      </c>
      <c r="M2901" s="12">
        <v>31999</v>
      </c>
      <c r="N2901" s="12">
        <v>25599.200000000001</v>
      </c>
      <c r="O2901">
        <v>4</v>
      </c>
      <c r="P2901" s="12">
        <v>122876.15999999999</v>
      </c>
      <c r="Q2901" s="12">
        <v>102396.8</v>
      </c>
      <c r="R2901" s="12">
        <v>20479.359999999986</v>
      </c>
      <c r="S2901" t="s">
        <v>1246</v>
      </c>
      <c r="T2901" t="s">
        <v>109</v>
      </c>
      <c r="U2901" t="s">
        <v>1207</v>
      </c>
    </row>
    <row r="2902" spans="1:21" x14ac:dyDescent="0.25">
      <c r="A2902" t="s">
        <v>4976</v>
      </c>
      <c r="B2902" s="8">
        <v>45988</v>
      </c>
      <c r="C2902" t="s">
        <v>2476</v>
      </c>
      <c r="D2902" t="s">
        <v>1093</v>
      </c>
      <c r="E2902" t="s">
        <v>218</v>
      </c>
      <c r="F2902">
        <v>32</v>
      </c>
      <c r="G2902" t="s">
        <v>290</v>
      </c>
      <c r="H2902" t="s">
        <v>3</v>
      </c>
      <c r="I2902" t="s">
        <v>53</v>
      </c>
      <c r="J2902" t="s">
        <v>48</v>
      </c>
      <c r="K2902" t="s">
        <v>43</v>
      </c>
      <c r="L2902">
        <v>2</v>
      </c>
      <c r="M2902" s="12">
        <v>6499</v>
      </c>
      <c r="N2902" s="12">
        <v>4549.2999999999993</v>
      </c>
      <c r="O2902">
        <v>19</v>
      </c>
      <c r="P2902" s="12">
        <v>10528.380000000001</v>
      </c>
      <c r="Q2902" s="12">
        <v>9098.5999999999985</v>
      </c>
      <c r="R2902" s="12">
        <v>1429.7800000000025</v>
      </c>
      <c r="S2902" t="s">
        <v>113</v>
      </c>
      <c r="T2902" t="s">
        <v>107</v>
      </c>
      <c r="U2902" t="s">
        <v>1198</v>
      </c>
    </row>
    <row r="2903" spans="1:21" x14ac:dyDescent="0.25">
      <c r="A2903" t="s">
        <v>4977</v>
      </c>
      <c r="B2903" s="8">
        <v>45749</v>
      </c>
      <c r="C2903" t="s">
        <v>3398</v>
      </c>
      <c r="D2903" t="s">
        <v>641</v>
      </c>
      <c r="E2903" t="s">
        <v>198</v>
      </c>
      <c r="F2903">
        <v>45</v>
      </c>
      <c r="G2903" t="s">
        <v>17</v>
      </c>
      <c r="H2903" t="s">
        <v>15</v>
      </c>
      <c r="I2903" t="s">
        <v>21</v>
      </c>
      <c r="J2903" t="s">
        <v>23</v>
      </c>
      <c r="K2903" t="s">
        <v>22</v>
      </c>
      <c r="L2903">
        <v>2</v>
      </c>
      <c r="M2903" s="12">
        <v>54999</v>
      </c>
      <c r="N2903" s="12">
        <v>45099.18</v>
      </c>
      <c r="O2903">
        <v>7</v>
      </c>
      <c r="P2903" s="12">
        <v>102298.14</v>
      </c>
      <c r="Q2903" s="12">
        <v>90198.36</v>
      </c>
      <c r="R2903" s="12">
        <v>12099.779999999999</v>
      </c>
      <c r="S2903" t="s">
        <v>1246</v>
      </c>
      <c r="T2903" t="s">
        <v>107</v>
      </c>
      <c r="U2903" t="s">
        <v>1207</v>
      </c>
    </row>
    <row r="2904" spans="1:21" x14ac:dyDescent="0.25">
      <c r="A2904" t="s">
        <v>4978</v>
      </c>
      <c r="B2904" s="8">
        <v>45880</v>
      </c>
      <c r="C2904" t="s">
        <v>3261</v>
      </c>
      <c r="D2904" t="s">
        <v>888</v>
      </c>
      <c r="E2904" t="s">
        <v>218</v>
      </c>
      <c r="F2904">
        <v>63</v>
      </c>
      <c r="G2904" t="s">
        <v>11</v>
      </c>
      <c r="H2904" t="s">
        <v>12</v>
      </c>
      <c r="I2904" t="s">
        <v>47</v>
      </c>
      <c r="J2904" t="s">
        <v>52</v>
      </c>
      <c r="K2904" t="s">
        <v>43</v>
      </c>
      <c r="L2904">
        <v>2</v>
      </c>
      <c r="M2904" s="12">
        <v>42999</v>
      </c>
      <c r="N2904" s="12">
        <v>33539.22</v>
      </c>
      <c r="O2904">
        <v>10</v>
      </c>
      <c r="P2904" s="12">
        <v>77398.2</v>
      </c>
      <c r="Q2904" s="12">
        <v>67078.44</v>
      </c>
      <c r="R2904" s="12">
        <v>10319.759999999995</v>
      </c>
      <c r="S2904" t="s">
        <v>113</v>
      </c>
      <c r="T2904" t="s">
        <v>107</v>
      </c>
      <c r="U2904" t="s">
        <v>1211</v>
      </c>
    </row>
    <row r="2905" spans="1:21" x14ac:dyDescent="0.25">
      <c r="A2905" t="s">
        <v>4979</v>
      </c>
      <c r="B2905" s="8">
        <v>45774</v>
      </c>
      <c r="C2905" t="s">
        <v>2124</v>
      </c>
      <c r="D2905" t="s">
        <v>1004</v>
      </c>
      <c r="E2905" t="s">
        <v>198</v>
      </c>
      <c r="F2905">
        <v>46</v>
      </c>
      <c r="G2905" t="s">
        <v>5</v>
      </c>
      <c r="H2905" t="s">
        <v>3</v>
      </c>
      <c r="I2905" t="s">
        <v>24</v>
      </c>
      <c r="J2905" t="s">
        <v>25</v>
      </c>
      <c r="K2905" t="s">
        <v>22</v>
      </c>
      <c r="L2905">
        <v>2</v>
      </c>
      <c r="M2905" s="12">
        <v>35800</v>
      </c>
      <c r="N2905" s="12">
        <v>28640</v>
      </c>
      <c r="O2905">
        <v>3</v>
      </c>
      <c r="P2905" s="12">
        <v>69452</v>
      </c>
      <c r="Q2905" s="12">
        <v>57280</v>
      </c>
      <c r="R2905" s="12">
        <v>12172</v>
      </c>
      <c r="S2905" t="s">
        <v>1249</v>
      </c>
      <c r="T2905" t="s">
        <v>108</v>
      </c>
      <c r="U2905" t="s">
        <v>1199</v>
      </c>
    </row>
    <row r="2906" spans="1:21" x14ac:dyDescent="0.25">
      <c r="A2906" t="s">
        <v>4980</v>
      </c>
      <c r="B2906" s="8">
        <v>45901</v>
      </c>
      <c r="C2906" t="s">
        <v>2219</v>
      </c>
      <c r="D2906" t="s">
        <v>1160</v>
      </c>
      <c r="E2906" t="s">
        <v>198</v>
      </c>
      <c r="F2906">
        <v>49</v>
      </c>
      <c r="G2906" t="s">
        <v>14</v>
      </c>
      <c r="H2906" t="s">
        <v>15</v>
      </c>
      <c r="I2906" t="s">
        <v>53</v>
      </c>
      <c r="J2906" t="s">
        <v>48</v>
      </c>
      <c r="K2906" t="s">
        <v>43</v>
      </c>
      <c r="L2906">
        <v>2</v>
      </c>
      <c r="M2906" s="12">
        <v>6499</v>
      </c>
      <c r="N2906" s="12">
        <v>4549.2999999999993</v>
      </c>
      <c r="O2906">
        <v>10</v>
      </c>
      <c r="P2906" s="12">
        <v>11698.2</v>
      </c>
      <c r="Q2906" s="12">
        <v>9098.5999999999985</v>
      </c>
      <c r="R2906" s="12">
        <v>2599.6000000000022</v>
      </c>
      <c r="S2906" t="s">
        <v>1246</v>
      </c>
      <c r="T2906" t="s">
        <v>108</v>
      </c>
      <c r="U2906" t="s">
        <v>1211</v>
      </c>
    </row>
    <row r="2907" spans="1:21" x14ac:dyDescent="0.25">
      <c r="A2907" t="s">
        <v>4981</v>
      </c>
      <c r="B2907" s="8">
        <v>45750</v>
      </c>
      <c r="C2907" t="s">
        <v>2015</v>
      </c>
      <c r="D2907" t="s">
        <v>1040</v>
      </c>
      <c r="E2907" t="s">
        <v>218</v>
      </c>
      <c r="F2907">
        <v>39</v>
      </c>
      <c r="G2907" t="s">
        <v>10</v>
      </c>
      <c r="H2907" t="s">
        <v>8</v>
      </c>
      <c r="I2907" t="s">
        <v>49</v>
      </c>
      <c r="J2907" t="s">
        <v>56</v>
      </c>
      <c r="K2907" t="s">
        <v>43</v>
      </c>
      <c r="L2907">
        <v>3</v>
      </c>
      <c r="M2907" s="12">
        <v>31999</v>
      </c>
      <c r="N2907" s="12">
        <v>25599.200000000001</v>
      </c>
      <c r="O2907">
        <v>8</v>
      </c>
      <c r="P2907" s="12">
        <v>88317.24</v>
      </c>
      <c r="Q2907" s="12">
        <v>76797.600000000006</v>
      </c>
      <c r="R2907" s="12">
        <v>11519.64</v>
      </c>
      <c r="S2907" t="s">
        <v>1246</v>
      </c>
      <c r="T2907" t="s">
        <v>107</v>
      </c>
      <c r="U2907" t="s">
        <v>1205</v>
      </c>
    </row>
    <row r="2908" spans="1:21" x14ac:dyDescent="0.25">
      <c r="A2908" t="s">
        <v>4982</v>
      </c>
      <c r="B2908" s="8">
        <v>45783</v>
      </c>
      <c r="C2908" t="s">
        <v>1563</v>
      </c>
      <c r="D2908" t="s">
        <v>991</v>
      </c>
      <c r="E2908" t="s">
        <v>198</v>
      </c>
      <c r="F2908">
        <v>45</v>
      </c>
      <c r="G2908" t="s">
        <v>16</v>
      </c>
      <c r="H2908" t="s">
        <v>15</v>
      </c>
      <c r="I2908" t="s">
        <v>36</v>
      </c>
      <c r="J2908" t="s">
        <v>136</v>
      </c>
      <c r="K2908" t="s">
        <v>22</v>
      </c>
      <c r="L2908">
        <v>4</v>
      </c>
      <c r="M2908" s="12">
        <v>3590</v>
      </c>
      <c r="N2908" s="12">
        <v>2333.5</v>
      </c>
      <c r="O2908">
        <v>7</v>
      </c>
      <c r="P2908" s="12">
        <v>13354.8</v>
      </c>
      <c r="Q2908" s="12">
        <v>9334</v>
      </c>
      <c r="R2908" s="12">
        <v>4020.7999999999993</v>
      </c>
      <c r="S2908" t="s">
        <v>1246</v>
      </c>
      <c r="T2908" t="s">
        <v>107</v>
      </c>
      <c r="U2908" t="s">
        <v>1203</v>
      </c>
    </row>
    <row r="2909" spans="1:21" x14ac:dyDescent="0.25">
      <c r="A2909" t="s">
        <v>4983</v>
      </c>
      <c r="B2909" s="8">
        <v>45761</v>
      </c>
      <c r="C2909" t="s">
        <v>4123</v>
      </c>
      <c r="D2909" t="s">
        <v>383</v>
      </c>
      <c r="E2909" t="s">
        <v>198</v>
      </c>
      <c r="F2909">
        <v>55</v>
      </c>
      <c r="G2909" t="s">
        <v>17</v>
      </c>
      <c r="H2909" t="s">
        <v>15</v>
      </c>
      <c r="I2909" t="s">
        <v>26</v>
      </c>
      <c r="J2909" t="s">
        <v>27</v>
      </c>
      <c r="K2909" t="s">
        <v>22</v>
      </c>
      <c r="L2909">
        <v>2</v>
      </c>
      <c r="M2909" s="12">
        <v>27499</v>
      </c>
      <c r="N2909" s="12">
        <v>23374.149999999998</v>
      </c>
      <c r="O2909">
        <v>6</v>
      </c>
      <c r="P2909" s="12">
        <v>51698.119999999995</v>
      </c>
      <c r="Q2909" s="12">
        <v>46748.299999999996</v>
      </c>
      <c r="R2909" s="12">
        <v>4949.82</v>
      </c>
      <c r="S2909" t="s">
        <v>1246</v>
      </c>
      <c r="T2909" t="s">
        <v>110</v>
      </c>
      <c r="U2909" t="s">
        <v>1201</v>
      </c>
    </row>
    <row r="2910" spans="1:21" x14ac:dyDescent="0.25">
      <c r="A2910" t="s">
        <v>4984</v>
      </c>
      <c r="B2910" s="8">
        <v>46001</v>
      </c>
      <c r="C2910" t="s">
        <v>4168</v>
      </c>
      <c r="D2910" t="s">
        <v>725</v>
      </c>
      <c r="E2910" t="s">
        <v>198</v>
      </c>
      <c r="F2910">
        <v>51</v>
      </c>
      <c r="G2910" t="s">
        <v>11</v>
      </c>
      <c r="H2910" t="s">
        <v>12</v>
      </c>
      <c r="I2910" t="s">
        <v>24</v>
      </c>
      <c r="J2910" t="s">
        <v>25</v>
      </c>
      <c r="K2910" t="s">
        <v>22</v>
      </c>
      <c r="L2910">
        <v>4</v>
      </c>
      <c r="M2910" s="12">
        <v>35800</v>
      </c>
      <c r="N2910" s="12">
        <v>28640</v>
      </c>
      <c r="O2910">
        <v>14</v>
      </c>
      <c r="P2910" s="12">
        <v>123152</v>
      </c>
      <c r="Q2910" s="12">
        <v>114560</v>
      </c>
      <c r="R2910" s="12">
        <v>8592</v>
      </c>
      <c r="S2910" t="s">
        <v>1246</v>
      </c>
      <c r="T2910" t="s">
        <v>107</v>
      </c>
      <c r="U2910" t="s">
        <v>1196</v>
      </c>
    </row>
    <row r="2911" spans="1:21" x14ac:dyDescent="0.25">
      <c r="A2911" t="s">
        <v>4985</v>
      </c>
      <c r="B2911" s="8">
        <v>45687</v>
      </c>
      <c r="C2911" t="s">
        <v>1758</v>
      </c>
      <c r="D2911" t="s">
        <v>502</v>
      </c>
      <c r="E2911" t="s">
        <v>218</v>
      </c>
      <c r="F2911">
        <v>23</v>
      </c>
      <c r="G2911" t="s">
        <v>4</v>
      </c>
      <c r="H2911" t="s">
        <v>3</v>
      </c>
      <c r="I2911" t="s">
        <v>45</v>
      </c>
      <c r="J2911" t="s">
        <v>46</v>
      </c>
      <c r="K2911" t="s">
        <v>43</v>
      </c>
      <c r="L2911">
        <v>1</v>
      </c>
      <c r="M2911" s="12">
        <v>11999</v>
      </c>
      <c r="N2911" s="12">
        <v>8999.25</v>
      </c>
      <c r="O2911">
        <v>3</v>
      </c>
      <c r="P2911" s="12">
        <v>11639.029999999999</v>
      </c>
      <c r="Q2911" s="12">
        <v>8999.25</v>
      </c>
      <c r="R2911" s="12">
        <v>2639.7799999999988</v>
      </c>
      <c r="S2911" t="s">
        <v>1246</v>
      </c>
      <c r="T2911" t="s">
        <v>110</v>
      </c>
      <c r="U2911" t="s">
        <v>1209</v>
      </c>
    </row>
    <row r="2912" spans="1:21" x14ac:dyDescent="0.25">
      <c r="A2912" t="s">
        <v>4986</v>
      </c>
      <c r="B2912" s="8">
        <v>45946</v>
      </c>
      <c r="C2912" t="s">
        <v>2905</v>
      </c>
      <c r="D2912" t="s">
        <v>471</v>
      </c>
      <c r="E2912" t="s">
        <v>198</v>
      </c>
      <c r="F2912">
        <v>39</v>
      </c>
      <c r="G2912" t="s">
        <v>5</v>
      </c>
      <c r="H2912" t="s">
        <v>3</v>
      </c>
      <c r="I2912" t="s">
        <v>30</v>
      </c>
      <c r="J2912" t="s">
        <v>41</v>
      </c>
      <c r="K2912" t="s">
        <v>22</v>
      </c>
      <c r="L2912">
        <v>3</v>
      </c>
      <c r="M2912" s="12">
        <v>13749</v>
      </c>
      <c r="N2912" s="12">
        <v>10999.2</v>
      </c>
      <c r="O2912">
        <v>3</v>
      </c>
      <c r="P2912" s="12">
        <v>40009.589999999997</v>
      </c>
      <c r="Q2912" s="12">
        <v>32997.600000000006</v>
      </c>
      <c r="R2912" s="12">
        <v>7011.9899999999907</v>
      </c>
      <c r="S2912" t="s">
        <v>113</v>
      </c>
      <c r="T2912" t="s">
        <v>108</v>
      </c>
      <c r="U2912" t="s">
        <v>1207</v>
      </c>
    </row>
    <row r="2913" spans="1:21" x14ac:dyDescent="0.25">
      <c r="A2913" t="s">
        <v>4987</v>
      </c>
      <c r="B2913" s="8">
        <v>45924</v>
      </c>
      <c r="C2913" t="s">
        <v>3357</v>
      </c>
      <c r="D2913" t="s">
        <v>656</v>
      </c>
      <c r="E2913" t="s">
        <v>198</v>
      </c>
      <c r="F2913">
        <v>36</v>
      </c>
      <c r="G2913" t="s">
        <v>10</v>
      </c>
      <c r="H2913" t="s">
        <v>8</v>
      </c>
      <c r="I2913" t="s">
        <v>26</v>
      </c>
      <c r="J2913" t="s">
        <v>27</v>
      </c>
      <c r="K2913" t="s">
        <v>22</v>
      </c>
      <c r="L2913">
        <v>1</v>
      </c>
      <c r="M2913" s="12">
        <v>27499</v>
      </c>
      <c r="N2913" s="12">
        <v>23374.149999999998</v>
      </c>
      <c r="O2913">
        <v>4</v>
      </c>
      <c r="P2913" s="12">
        <v>26399.039999999997</v>
      </c>
      <c r="Q2913" s="12">
        <v>23374.149999999998</v>
      </c>
      <c r="R2913" s="12">
        <v>3024.8899999999994</v>
      </c>
      <c r="S2913" t="s">
        <v>113</v>
      </c>
      <c r="T2913" t="s">
        <v>110</v>
      </c>
      <c r="U2913" t="s">
        <v>1196</v>
      </c>
    </row>
    <row r="2914" spans="1:21" x14ac:dyDescent="0.25">
      <c r="A2914" t="s">
        <v>4988</v>
      </c>
      <c r="B2914" s="8">
        <v>45992</v>
      </c>
      <c r="C2914" t="s">
        <v>4875</v>
      </c>
      <c r="D2914" t="s">
        <v>728</v>
      </c>
      <c r="E2914" t="s">
        <v>198</v>
      </c>
      <c r="F2914">
        <v>20</v>
      </c>
      <c r="G2914" t="s">
        <v>11</v>
      </c>
      <c r="H2914" t="s">
        <v>12</v>
      </c>
      <c r="I2914" t="s">
        <v>59</v>
      </c>
      <c r="J2914" t="s">
        <v>73</v>
      </c>
      <c r="K2914" t="s">
        <v>64</v>
      </c>
      <c r="L2914">
        <v>5</v>
      </c>
      <c r="M2914" s="12">
        <v>120</v>
      </c>
      <c r="N2914" s="12">
        <v>81.599999999999994</v>
      </c>
      <c r="O2914">
        <v>5</v>
      </c>
      <c r="P2914" s="12">
        <v>570</v>
      </c>
      <c r="Q2914" s="12">
        <v>408</v>
      </c>
      <c r="R2914" s="12">
        <v>162</v>
      </c>
      <c r="S2914" t="s">
        <v>1246</v>
      </c>
      <c r="T2914" t="s">
        <v>107</v>
      </c>
      <c r="U2914" t="s">
        <v>1205</v>
      </c>
    </row>
    <row r="2915" spans="1:21" x14ac:dyDescent="0.25">
      <c r="A2915" t="s">
        <v>4989</v>
      </c>
      <c r="B2915" s="8">
        <v>45746</v>
      </c>
      <c r="C2915" t="s">
        <v>3132</v>
      </c>
      <c r="D2915" t="s">
        <v>1051</v>
      </c>
      <c r="E2915" t="s">
        <v>218</v>
      </c>
      <c r="F2915">
        <v>50</v>
      </c>
      <c r="G2915" t="s">
        <v>11</v>
      </c>
      <c r="H2915" t="s">
        <v>12</v>
      </c>
      <c r="I2915" t="s">
        <v>55</v>
      </c>
      <c r="J2915" t="s">
        <v>65</v>
      </c>
      <c r="K2915" t="s">
        <v>64</v>
      </c>
      <c r="L2915">
        <v>5</v>
      </c>
      <c r="M2915" s="12">
        <v>80</v>
      </c>
      <c r="N2915" s="12">
        <v>56</v>
      </c>
      <c r="O2915">
        <v>4</v>
      </c>
      <c r="P2915" s="12">
        <v>384</v>
      </c>
      <c r="Q2915" s="12">
        <v>280</v>
      </c>
      <c r="R2915" s="12">
        <v>104</v>
      </c>
      <c r="S2915" t="s">
        <v>1246</v>
      </c>
      <c r="T2915" t="s">
        <v>109</v>
      </c>
      <c r="U2915" t="s">
        <v>1196</v>
      </c>
    </row>
    <row r="2916" spans="1:21" x14ac:dyDescent="0.25">
      <c r="A2916" t="s">
        <v>4990</v>
      </c>
      <c r="B2916" s="8">
        <v>45796</v>
      </c>
      <c r="C2916" t="s">
        <v>5095</v>
      </c>
      <c r="D2916" t="s">
        <v>416</v>
      </c>
      <c r="E2916" t="s">
        <v>198</v>
      </c>
      <c r="F2916">
        <v>51</v>
      </c>
      <c r="G2916" t="s">
        <v>289</v>
      </c>
      <c r="H2916" t="s">
        <v>3</v>
      </c>
      <c r="I2916" t="s">
        <v>28</v>
      </c>
      <c r="J2916" t="s">
        <v>35</v>
      </c>
      <c r="K2916" t="s">
        <v>22</v>
      </c>
      <c r="L2916">
        <v>3</v>
      </c>
      <c r="M2916" s="12">
        <v>16499</v>
      </c>
      <c r="N2916" s="12">
        <v>14519.12</v>
      </c>
      <c r="O2916">
        <v>8</v>
      </c>
      <c r="P2916" s="12">
        <v>45537.240000000005</v>
      </c>
      <c r="Q2916" s="12">
        <v>43557.36</v>
      </c>
      <c r="R2916" s="12">
        <v>1979.8800000000047</v>
      </c>
      <c r="S2916" t="s">
        <v>113</v>
      </c>
      <c r="T2916" t="s">
        <v>109</v>
      </c>
      <c r="U2916" t="s">
        <v>1205</v>
      </c>
    </row>
    <row r="2917" spans="1:21" x14ac:dyDescent="0.25">
      <c r="A2917" t="s">
        <v>4991</v>
      </c>
      <c r="B2917" s="8">
        <v>45735</v>
      </c>
      <c r="C2917" t="s">
        <v>1747</v>
      </c>
      <c r="D2917" t="s">
        <v>827</v>
      </c>
      <c r="E2917" t="s">
        <v>198</v>
      </c>
      <c r="F2917">
        <v>24</v>
      </c>
      <c r="G2917" t="s">
        <v>289</v>
      </c>
      <c r="H2917" t="s">
        <v>3</v>
      </c>
      <c r="I2917" t="s">
        <v>34</v>
      </c>
      <c r="J2917" t="s">
        <v>137</v>
      </c>
      <c r="K2917" t="s">
        <v>22</v>
      </c>
      <c r="L2917">
        <v>5</v>
      </c>
      <c r="M2917" s="12">
        <v>6900</v>
      </c>
      <c r="N2917" s="12">
        <v>5727</v>
      </c>
      <c r="O2917">
        <v>8</v>
      </c>
      <c r="P2917" s="12">
        <v>31740</v>
      </c>
      <c r="Q2917" s="12">
        <v>28635</v>
      </c>
      <c r="R2917" s="12">
        <v>3105</v>
      </c>
      <c r="S2917" t="s">
        <v>113</v>
      </c>
      <c r="T2917" t="s">
        <v>107</v>
      </c>
      <c r="U2917" t="s">
        <v>1207</v>
      </c>
    </row>
    <row r="2918" spans="1:21" x14ac:dyDescent="0.25">
      <c r="A2918" t="s">
        <v>4992</v>
      </c>
      <c r="B2918" s="8">
        <v>45918</v>
      </c>
      <c r="C2918" t="s">
        <v>3710</v>
      </c>
      <c r="D2918" t="s">
        <v>901</v>
      </c>
      <c r="E2918" t="s">
        <v>218</v>
      </c>
      <c r="F2918">
        <v>59</v>
      </c>
      <c r="G2918" t="s">
        <v>289</v>
      </c>
      <c r="H2918" t="s">
        <v>3</v>
      </c>
      <c r="I2918" t="s">
        <v>34</v>
      </c>
      <c r="J2918" t="s">
        <v>137</v>
      </c>
      <c r="K2918" t="s">
        <v>22</v>
      </c>
      <c r="L2918">
        <v>1</v>
      </c>
      <c r="M2918" s="12">
        <v>6900</v>
      </c>
      <c r="N2918" s="12">
        <v>5727</v>
      </c>
      <c r="O2918">
        <v>7</v>
      </c>
      <c r="P2918" s="12">
        <v>6417</v>
      </c>
      <c r="Q2918" s="12">
        <v>5727</v>
      </c>
      <c r="R2918" s="12">
        <v>690</v>
      </c>
      <c r="S2918" t="s">
        <v>1246</v>
      </c>
      <c r="T2918" t="s">
        <v>108</v>
      </c>
      <c r="U2918" t="s">
        <v>1194</v>
      </c>
    </row>
    <row r="2919" spans="1:21" x14ac:dyDescent="0.25">
      <c r="A2919" t="s">
        <v>4993</v>
      </c>
      <c r="B2919" s="8">
        <v>45672</v>
      </c>
      <c r="C2919" t="s">
        <v>2199</v>
      </c>
      <c r="D2919" t="s">
        <v>1161</v>
      </c>
      <c r="E2919" t="s">
        <v>218</v>
      </c>
      <c r="F2919">
        <v>58</v>
      </c>
      <c r="G2919" t="s">
        <v>7</v>
      </c>
      <c r="H2919" t="s">
        <v>8</v>
      </c>
      <c r="I2919" t="s">
        <v>38</v>
      </c>
      <c r="J2919" t="s">
        <v>37</v>
      </c>
      <c r="K2919" t="s">
        <v>22</v>
      </c>
      <c r="L2919">
        <v>2</v>
      </c>
      <c r="M2919" s="12">
        <v>1650</v>
      </c>
      <c r="N2919" s="12">
        <v>990</v>
      </c>
      <c r="O2919">
        <v>7</v>
      </c>
      <c r="P2919" s="12">
        <v>3069</v>
      </c>
      <c r="Q2919" s="12">
        <v>1980</v>
      </c>
      <c r="R2919" s="12">
        <v>1089</v>
      </c>
      <c r="S2919" t="s">
        <v>1246</v>
      </c>
      <c r="T2919" t="s">
        <v>109</v>
      </c>
      <c r="U2919" t="s">
        <v>1196</v>
      </c>
    </row>
    <row r="2920" spans="1:21" x14ac:dyDescent="0.25">
      <c r="A2920" t="s">
        <v>4994</v>
      </c>
      <c r="B2920" s="8">
        <v>45928</v>
      </c>
      <c r="C2920" t="s">
        <v>2733</v>
      </c>
      <c r="D2920" t="s">
        <v>1163</v>
      </c>
      <c r="E2920" t="s">
        <v>198</v>
      </c>
      <c r="F2920">
        <v>34</v>
      </c>
      <c r="G2920" t="s">
        <v>11</v>
      </c>
      <c r="H2920" t="s">
        <v>12</v>
      </c>
      <c r="I2920" t="s">
        <v>63</v>
      </c>
      <c r="J2920" t="s">
        <v>77</v>
      </c>
      <c r="K2920" t="s">
        <v>64</v>
      </c>
      <c r="L2920">
        <v>1</v>
      </c>
      <c r="M2920" s="12">
        <v>650</v>
      </c>
      <c r="N2920" s="12">
        <v>468</v>
      </c>
      <c r="O2920">
        <v>4</v>
      </c>
      <c r="P2920" s="12">
        <v>624</v>
      </c>
      <c r="Q2920" s="12">
        <v>468</v>
      </c>
      <c r="R2920" s="12">
        <v>156</v>
      </c>
      <c r="S2920" t="s">
        <v>1246</v>
      </c>
      <c r="T2920" t="s">
        <v>107</v>
      </c>
      <c r="U2920" t="s">
        <v>1205</v>
      </c>
    </row>
    <row r="2921" spans="1:21" x14ac:dyDescent="0.25">
      <c r="A2921" t="s">
        <v>4995</v>
      </c>
      <c r="B2921" s="8">
        <v>45727</v>
      </c>
      <c r="C2921" t="s">
        <v>2021</v>
      </c>
      <c r="D2921" t="s">
        <v>1131</v>
      </c>
      <c r="E2921" t="s">
        <v>218</v>
      </c>
      <c r="F2921">
        <v>28</v>
      </c>
      <c r="G2921" t="s">
        <v>16</v>
      </c>
      <c r="H2921" t="s">
        <v>15</v>
      </c>
      <c r="I2921" t="s">
        <v>42</v>
      </c>
      <c r="J2921" t="s">
        <v>44</v>
      </c>
      <c r="K2921" t="s">
        <v>43</v>
      </c>
      <c r="L2921">
        <v>5</v>
      </c>
      <c r="M2921" s="12">
        <v>8999</v>
      </c>
      <c r="N2921" s="12">
        <v>6479.28</v>
      </c>
      <c r="O2921">
        <v>8</v>
      </c>
      <c r="P2921" s="12">
        <v>41395.4</v>
      </c>
      <c r="Q2921" s="12">
        <v>32396.399999999998</v>
      </c>
      <c r="R2921" s="12">
        <v>8999.0000000000036</v>
      </c>
      <c r="S2921" t="s">
        <v>1246</v>
      </c>
      <c r="T2921" t="s">
        <v>107</v>
      </c>
      <c r="U2921" t="s">
        <v>1194</v>
      </c>
    </row>
    <row r="2922" spans="1:21" x14ac:dyDescent="0.25">
      <c r="A2922" t="s">
        <v>4996</v>
      </c>
      <c r="B2922" s="8">
        <v>45950</v>
      </c>
      <c r="C2922" t="s">
        <v>1716</v>
      </c>
      <c r="D2922" t="s">
        <v>652</v>
      </c>
      <c r="E2922" t="s">
        <v>218</v>
      </c>
      <c r="F2922">
        <v>49</v>
      </c>
      <c r="G2922" t="s">
        <v>10</v>
      </c>
      <c r="H2922" t="s">
        <v>8</v>
      </c>
      <c r="I2922" t="s">
        <v>51</v>
      </c>
      <c r="J2922" t="s">
        <v>54</v>
      </c>
      <c r="K2922" t="s">
        <v>43</v>
      </c>
      <c r="L2922">
        <v>2</v>
      </c>
      <c r="M2922" s="12">
        <v>27499</v>
      </c>
      <c r="N2922" s="12">
        <v>21724.210000000003</v>
      </c>
      <c r="O2922">
        <v>6</v>
      </c>
      <c r="P2922" s="12">
        <v>51698.119999999995</v>
      </c>
      <c r="Q2922" s="12">
        <v>43448.420000000006</v>
      </c>
      <c r="R2922" s="12">
        <v>8249.6999999999898</v>
      </c>
      <c r="S2922" t="s">
        <v>1249</v>
      </c>
      <c r="T2922" t="s">
        <v>109</v>
      </c>
      <c r="U2922" t="s">
        <v>1201</v>
      </c>
    </row>
    <row r="2923" spans="1:21" x14ac:dyDescent="0.25">
      <c r="A2923" t="s">
        <v>4997</v>
      </c>
      <c r="B2923" s="8">
        <v>45690</v>
      </c>
      <c r="C2923" t="s">
        <v>2579</v>
      </c>
      <c r="D2923" t="s">
        <v>418</v>
      </c>
      <c r="E2923" t="s">
        <v>218</v>
      </c>
      <c r="F2923">
        <v>33</v>
      </c>
      <c r="G2923" t="s">
        <v>9</v>
      </c>
      <c r="H2923" t="s">
        <v>8</v>
      </c>
      <c r="I2923" t="s">
        <v>36</v>
      </c>
      <c r="J2923" t="s">
        <v>136</v>
      </c>
      <c r="K2923" t="s">
        <v>22</v>
      </c>
      <c r="L2923">
        <v>1</v>
      </c>
      <c r="M2923" s="12">
        <v>3590</v>
      </c>
      <c r="N2923" s="12">
        <v>2333.5</v>
      </c>
      <c r="O2923">
        <v>5</v>
      </c>
      <c r="P2923" s="12">
        <v>3410.5</v>
      </c>
      <c r="Q2923" s="12">
        <v>2333.5</v>
      </c>
      <c r="R2923" s="12">
        <v>1077</v>
      </c>
      <c r="S2923" t="s">
        <v>113</v>
      </c>
      <c r="T2923" t="s">
        <v>108</v>
      </c>
      <c r="U2923" t="s">
        <v>1201</v>
      </c>
    </row>
    <row r="2924" spans="1:21" x14ac:dyDescent="0.25">
      <c r="A2924" t="s">
        <v>4998</v>
      </c>
      <c r="B2924" s="8">
        <v>45916</v>
      </c>
      <c r="C2924" t="s">
        <v>1632</v>
      </c>
      <c r="D2924" t="s">
        <v>590</v>
      </c>
      <c r="E2924" t="s">
        <v>218</v>
      </c>
      <c r="F2924">
        <v>53</v>
      </c>
      <c r="G2924" t="s">
        <v>9</v>
      </c>
      <c r="H2924" t="s">
        <v>8</v>
      </c>
      <c r="I2924" t="s">
        <v>38</v>
      </c>
      <c r="J2924" t="s">
        <v>37</v>
      </c>
      <c r="K2924" t="s">
        <v>22</v>
      </c>
      <c r="L2924">
        <v>5</v>
      </c>
      <c r="M2924" s="12">
        <v>1650</v>
      </c>
      <c r="N2924" s="12">
        <v>990</v>
      </c>
      <c r="O2924">
        <v>3</v>
      </c>
      <c r="P2924" s="12">
        <v>8002.5</v>
      </c>
      <c r="Q2924" s="12">
        <v>4950</v>
      </c>
      <c r="R2924" s="12">
        <v>3052.5</v>
      </c>
      <c r="S2924" t="s">
        <v>1246</v>
      </c>
      <c r="T2924" t="s">
        <v>107</v>
      </c>
      <c r="U2924" t="s">
        <v>1198</v>
      </c>
    </row>
    <row r="2925" spans="1:21" x14ac:dyDescent="0.25">
      <c r="A2925" t="s">
        <v>4999</v>
      </c>
      <c r="B2925" s="8">
        <v>45721</v>
      </c>
      <c r="C2925" t="s">
        <v>1485</v>
      </c>
      <c r="D2925" t="s">
        <v>435</v>
      </c>
      <c r="E2925" t="s">
        <v>198</v>
      </c>
      <c r="F2925">
        <v>55</v>
      </c>
      <c r="G2925" t="s">
        <v>10</v>
      </c>
      <c r="H2925" t="s">
        <v>8</v>
      </c>
      <c r="I2925" t="s">
        <v>42</v>
      </c>
      <c r="J2925" t="s">
        <v>44</v>
      </c>
      <c r="K2925" t="s">
        <v>43</v>
      </c>
      <c r="L2925">
        <v>4</v>
      </c>
      <c r="M2925" s="12">
        <v>8999</v>
      </c>
      <c r="N2925" s="12">
        <v>6479.28</v>
      </c>
      <c r="O2925">
        <v>7</v>
      </c>
      <c r="P2925" s="12">
        <v>33476.28</v>
      </c>
      <c r="Q2925" s="12">
        <v>25917.119999999999</v>
      </c>
      <c r="R2925" s="12">
        <v>7559.16</v>
      </c>
      <c r="S2925" t="s">
        <v>113</v>
      </c>
      <c r="T2925" t="s">
        <v>107</v>
      </c>
      <c r="U2925" t="s">
        <v>1209</v>
      </c>
    </row>
    <row r="2926" spans="1:21" x14ac:dyDescent="0.25">
      <c r="A2926" t="s">
        <v>5000</v>
      </c>
      <c r="B2926" s="8">
        <v>45814</v>
      </c>
      <c r="C2926" t="s">
        <v>2403</v>
      </c>
      <c r="D2926" t="s">
        <v>690</v>
      </c>
      <c r="E2926" t="s">
        <v>218</v>
      </c>
      <c r="F2926">
        <v>39</v>
      </c>
      <c r="G2926" t="s">
        <v>14</v>
      </c>
      <c r="H2926" t="s">
        <v>15</v>
      </c>
      <c r="I2926" t="s">
        <v>21</v>
      </c>
      <c r="J2926" t="s">
        <v>23</v>
      </c>
      <c r="K2926" t="s">
        <v>22</v>
      </c>
      <c r="L2926">
        <v>3</v>
      </c>
      <c r="M2926" s="12">
        <v>54999</v>
      </c>
      <c r="N2926" s="12">
        <v>45099.18</v>
      </c>
      <c r="O2926">
        <v>8</v>
      </c>
      <c r="P2926" s="12">
        <v>151797.24000000002</v>
      </c>
      <c r="Q2926" s="12">
        <v>135297.54</v>
      </c>
      <c r="R2926" s="12">
        <v>16499.700000000012</v>
      </c>
      <c r="S2926" t="s">
        <v>1246</v>
      </c>
      <c r="T2926" t="s">
        <v>109</v>
      </c>
      <c r="U2926" t="s">
        <v>1194</v>
      </c>
    </row>
    <row r="2927" spans="1:21" x14ac:dyDescent="0.25">
      <c r="A2927" t="s">
        <v>5002</v>
      </c>
      <c r="B2927" s="8">
        <v>46014</v>
      </c>
      <c r="C2927" t="s">
        <v>1509</v>
      </c>
      <c r="D2927" t="s">
        <v>650</v>
      </c>
      <c r="E2927" t="s">
        <v>198</v>
      </c>
      <c r="F2927">
        <v>28</v>
      </c>
      <c r="G2927" t="s">
        <v>5</v>
      </c>
      <c r="H2927" t="s">
        <v>3</v>
      </c>
      <c r="I2927" t="s">
        <v>34</v>
      </c>
      <c r="J2927" t="s">
        <v>137</v>
      </c>
      <c r="K2927" t="s">
        <v>22</v>
      </c>
      <c r="L2927">
        <v>5</v>
      </c>
      <c r="M2927" s="12">
        <v>6900</v>
      </c>
      <c r="N2927" s="12">
        <v>5727</v>
      </c>
      <c r="O2927">
        <v>16</v>
      </c>
      <c r="P2927" s="12">
        <v>28980</v>
      </c>
      <c r="Q2927" s="12">
        <v>28635</v>
      </c>
      <c r="R2927" s="12">
        <v>345</v>
      </c>
      <c r="S2927" t="s">
        <v>113</v>
      </c>
      <c r="T2927" t="s">
        <v>107</v>
      </c>
      <c r="U2927" t="s">
        <v>1209</v>
      </c>
    </row>
    <row r="2928" spans="1:21" x14ac:dyDescent="0.25">
      <c r="A2928" t="s">
        <v>5003</v>
      </c>
      <c r="B2928" s="8">
        <v>45819</v>
      </c>
      <c r="C2928" t="s">
        <v>5105</v>
      </c>
      <c r="D2928" t="s">
        <v>885</v>
      </c>
      <c r="E2928" t="s">
        <v>218</v>
      </c>
      <c r="F2928">
        <v>56</v>
      </c>
      <c r="G2928" t="s">
        <v>290</v>
      </c>
      <c r="H2928" t="s">
        <v>3</v>
      </c>
      <c r="I2928" t="s">
        <v>26</v>
      </c>
      <c r="J2928" t="s">
        <v>27</v>
      </c>
      <c r="K2928" t="s">
        <v>22</v>
      </c>
      <c r="L2928">
        <v>3</v>
      </c>
      <c r="M2928" s="12">
        <v>27499</v>
      </c>
      <c r="N2928" s="12">
        <v>23374.149999999998</v>
      </c>
      <c r="O2928">
        <v>5</v>
      </c>
      <c r="P2928" s="12">
        <v>78372.149999999994</v>
      </c>
      <c r="Q2928" s="12">
        <v>70122.45</v>
      </c>
      <c r="R2928" s="12">
        <v>8249.6999999999971</v>
      </c>
      <c r="S2928" t="s">
        <v>113</v>
      </c>
      <c r="T2928" t="s">
        <v>109</v>
      </c>
      <c r="U2928" t="s">
        <v>1209</v>
      </c>
    </row>
    <row r="2929" spans="1:21" x14ac:dyDescent="0.25">
      <c r="A2929" t="s">
        <v>5004</v>
      </c>
      <c r="B2929" s="8">
        <v>45680</v>
      </c>
      <c r="C2929" t="s">
        <v>3423</v>
      </c>
      <c r="D2929" t="s">
        <v>866</v>
      </c>
      <c r="E2929" t="s">
        <v>218</v>
      </c>
      <c r="F2929">
        <v>56</v>
      </c>
      <c r="G2929" t="s">
        <v>5</v>
      </c>
      <c r="H2929" t="s">
        <v>3</v>
      </c>
      <c r="I2929" t="s">
        <v>40</v>
      </c>
      <c r="J2929" t="s">
        <v>39</v>
      </c>
      <c r="K2929" t="s">
        <v>22</v>
      </c>
      <c r="L2929">
        <v>4</v>
      </c>
      <c r="M2929" s="12">
        <v>1100</v>
      </c>
      <c r="N2929" s="12">
        <v>715</v>
      </c>
      <c r="O2929">
        <v>7</v>
      </c>
      <c r="P2929" s="12">
        <v>4091.9999999999995</v>
      </c>
      <c r="Q2929" s="12">
        <v>2860</v>
      </c>
      <c r="R2929" s="12">
        <v>1231.9999999999995</v>
      </c>
      <c r="S2929" t="s">
        <v>1246</v>
      </c>
      <c r="T2929" t="s">
        <v>108</v>
      </c>
      <c r="U2929" t="s">
        <v>1207</v>
      </c>
    </row>
    <row r="2930" spans="1:21" x14ac:dyDescent="0.25">
      <c r="A2930" t="s">
        <v>5005</v>
      </c>
      <c r="B2930" s="8">
        <v>45886</v>
      </c>
      <c r="C2930" t="s">
        <v>2565</v>
      </c>
      <c r="D2930" t="s">
        <v>566</v>
      </c>
      <c r="E2930" t="s">
        <v>218</v>
      </c>
      <c r="F2930">
        <v>19</v>
      </c>
      <c r="G2930" t="s">
        <v>2</v>
      </c>
      <c r="H2930" t="s">
        <v>3</v>
      </c>
      <c r="I2930" t="s">
        <v>53</v>
      </c>
      <c r="J2930" t="s">
        <v>48</v>
      </c>
      <c r="K2930" t="s">
        <v>43</v>
      </c>
      <c r="L2930">
        <v>2</v>
      </c>
      <c r="M2930" s="12">
        <v>6499</v>
      </c>
      <c r="N2930" s="12">
        <v>4549.2999999999993</v>
      </c>
      <c r="O2930">
        <v>8</v>
      </c>
      <c r="P2930" s="12">
        <v>11958.16</v>
      </c>
      <c r="Q2930" s="12">
        <v>9098.5999999999985</v>
      </c>
      <c r="R2930" s="12">
        <v>2859.5600000000013</v>
      </c>
      <c r="S2930" t="s">
        <v>1246</v>
      </c>
      <c r="T2930" t="s">
        <v>109</v>
      </c>
      <c r="U2930" t="s">
        <v>1198</v>
      </c>
    </row>
    <row r="2931" spans="1:21" x14ac:dyDescent="0.25">
      <c r="A2931" t="s">
        <v>5006</v>
      </c>
      <c r="B2931" s="8">
        <v>45999</v>
      </c>
      <c r="C2931" t="s">
        <v>1699</v>
      </c>
      <c r="D2931" t="s">
        <v>608</v>
      </c>
      <c r="E2931" t="s">
        <v>198</v>
      </c>
      <c r="F2931">
        <v>37</v>
      </c>
      <c r="G2931" t="s">
        <v>2</v>
      </c>
      <c r="H2931" t="s">
        <v>3</v>
      </c>
      <c r="I2931" t="s">
        <v>26</v>
      </c>
      <c r="J2931" t="s">
        <v>27</v>
      </c>
      <c r="K2931" t="s">
        <v>22</v>
      </c>
      <c r="L2931">
        <v>2</v>
      </c>
      <c r="M2931" s="12">
        <v>27499</v>
      </c>
      <c r="N2931" s="12">
        <v>23374.149999999998</v>
      </c>
      <c r="O2931">
        <v>16</v>
      </c>
      <c r="P2931" s="12">
        <v>46198.32</v>
      </c>
      <c r="Q2931" s="12">
        <v>46748.299999999996</v>
      </c>
      <c r="R2931" s="12">
        <v>-549.97999999999593</v>
      </c>
      <c r="S2931" t="s">
        <v>113</v>
      </c>
      <c r="T2931" t="s">
        <v>108</v>
      </c>
      <c r="U2931" t="s">
        <v>1196</v>
      </c>
    </row>
    <row r="2932" spans="1:21" x14ac:dyDescent="0.25">
      <c r="A2932" t="s">
        <v>5007</v>
      </c>
      <c r="B2932" s="8">
        <v>45664</v>
      </c>
      <c r="C2932" t="s">
        <v>1419</v>
      </c>
      <c r="D2932" t="s">
        <v>781</v>
      </c>
      <c r="E2932" t="s">
        <v>218</v>
      </c>
      <c r="F2932">
        <v>56</v>
      </c>
      <c r="G2932" t="s">
        <v>290</v>
      </c>
      <c r="H2932" t="s">
        <v>3</v>
      </c>
      <c r="I2932" t="s">
        <v>28</v>
      </c>
      <c r="J2932" t="s">
        <v>35</v>
      </c>
      <c r="K2932" t="s">
        <v>22</v>
      </c>
      <c r="L2932">
        <v>2</v>
      </c>
      <c r="M2932" s="12">
        <v>16499</v>
      </c>
      <c r="N2932" s="12">
        <v>14519.12</v>
      </c>
      <c r="O2932">
        <v>6</v>
      </c>
      <c r="P2932" s="12">
        <v>31018.12</v>
      </c>
      <c r="Q2932" s="12">
        <v>29038.240000000002</v>
      </c>
      <c r="R2932" s="12">
        <v>1979.8799999999974</v>
      </c>
      <c r="S2932" t="s">
        <v>113</v>
      </c>
      <c r="T2932" t="s">
        <v>107</v>
      </c>
      <c r="U2932" t="s">
        <v>1198</v>
      </c>
    </row>
    <row r="2933" spans="1:21" x14ac:dyDescent="0.25">
      <c r="A2933" t="s">
        <v>5008</v>
      </c>
      <c r="B2933" s="8">
        <v>45844</v>
      </c>
      <c r="C2933" t="s">
        <v>2595</v>
      </c>
      <c r="D2933" t="s">
        <v>613</v>
      </c>
      <c r="E2933" t="s">
        <v>198</v>
      </c>
      <c r="F2933">
        <v>36</v>
      </c>
      <c r="G2933" t="s">
        <v>7</v>
      </c>
      <c r="H2933" t="s">
        <v>8</v>
      </c>
      <c r="I2933" t="s">
        <v>26</v>
      </c>
      <c r="J2933" t="s">
        <v>27</v>
      </c>
      <c r="K2933" t="s">
        <v>22</v>
      </c>
      <c r="L2933">
        <v>2</v>
      </c>
      <c r="M2933" s="12">
        <v>27499</v>
      </c>
      <c r="N2933" s="12">
        <v>23374.149999999998</v>
      </c>
      <c r="O2933">
        <v>8</v>
      </c>
      <c r="P2933" s="12">
        <v>50598.16</v>
      </c>
      <c r="Q2933" s="12">
        <v>46748.299999999996</v>
      </c>
      <c r="R2933" s="12">
        <v>3849.8600000000079</v>
      </c>
      <c r="S2933" t="s">
        <v>113</v>
      </c>
      <c r="T2933" t="s">
        <v>108</v>
      </c>
      <c r="U2933" t="s">
        <v>1207</v>
      </c>
    </row>
    <row r="2934" spans="1:21" x14ac:dyDescent="0.25">
      <c r="A2934" t="s">
        <v>5009</v>
      </c>
      <c r="B2934" s="8">
        <v>45841</v>
      </c>
      <c r="C2934" t="s">
        <v>2435</v>
      </c>
      <c r="D2934" t="s">
        <v>707</v>
      </c>
      <c r="E2934" t="s">
        <v>198</v>
      </c>
      <c r="F2934">
        <v>38</v>
      </c>
      <c r="G2934" t="s">
        <v>14</v>
      </c>
      <c r="H2934" t="s">
        <v>15</v>
      </c>
      <c r="I2934" t="s">
        <v>51</v>
      </c>
      <c r="J2934" t="s">
        <v>54</v>
      </c>
      <c r="K2934" t="s">
        <v>43</v>
      </c>
      <c r="L2934">
        <v>4</v>
      </c>
      <c r="M2934" s="12">
        <v>27499</v>
      </c>
      <c r="N2934" s="12">
        <v>21724.210000000003</v>
      </c>
      <c r="O2934">
        <v>6</v>
      </c>
      <c r="P2934" s="12">
        <v>103396.23999999999</v>
      </c>
      <c r="Q2934" s="12">
        <v>86896.840000000011</v>
      </c>
      <c r="R2934" s="12">
        <v>16499.39999999998</v>
      </c>
      <c r="S2934" t="s">
        <v>113</v>
      </c>
      <c r="T2934" t="s">
        <v>107</v>
      </c>
      <c r="U2934" t="s">
        <v>1205</v>
      </c>
    </row>
    <row r="2935" spans="1:21" x14ac:dyDescent="0.25">
      <c r="A2935" t="s">
        <v>5010</v>
      </c>
      <c r="B2935" s="8">
        <v>45757</v>
      </c>
      <c r="C2935" t="s">
        <v>4754</v>
      </c>
      <c r="D2935" t="s">
        <v>969</v>
      </c>
      <c r="E2935" t="s">
        <v>218</v>
      </c>
      <c r="F2935">
        <v>39</v>
      </c>
      <c r="G2935" t="s">
        <v>5</v>
      </c>
      <c r="H2935" t="s">
        <v>3</v>
      </c>
      <c r="I2935" t="s">
        <v>51</v>
      </c>
      <c r="J2935" t="s">
        <v>54</v>
      </c>
      <c r="K2935" t="s">
        <v>43</v>
      </c>
      <c r="L2935">
        <v>4</v>
      </c>
      <c r="M2935" s="12">
        <v>27499</v>
      </c>
      <c r="N2935" s="12">
        <v>21724.210000000003</v>
      </c>
      <c r="O2935">
        <v>10</v>
      </c>
      <c r="P2935" s="12">
        <v>98996.400000000009</v>
      </c>
      <c r="Q2935" s="12">
        <v>86896.840000000011</v>
      </c>
      <c r="R2935" s="12">
        <v>12099.559999999998</v>
      </c>
      <c r="S2935" t="s">
        <v>1246</v>
      </c>
      <c r="T2935" t="s">
        <v>111</v>
      </c>
      <c r="U2935" t="s">
        <v>1201</v>
      </c>
    </row>
    <row r="2936" spans="1:21" x14ac:dyDescent="0.25">
      <c r="A2936" t="s">
        <v>5011</v>
      </c>
      <c r="B2936" s="8">
        <v>45749</v>
      </c>
      <c r="C2936" t="s">
        <v>2261</v>
      </c>
      <c r="D2936" t="s">
        <v>489</v>
      </c>
      <c r="E2936" t="s">
        <v>198</v>
      </c>
      <c r="F2936">
        <v>40</v>
      </c>
      <c r="G2936" t="s">
        <v>289</v>
      </c>
      <c r="H2936" t="s">
        <v>3</v>
      </c>
      <c r="I2936" t="s">
        <v>57</v>
      </c>
      <c r="J2936" t="s">
        <v>67</v>
      </c>
      <c r="K2936" t="s">
        <v>64</v>
      </c>
      <c r="L2936">
        <v>1</v>
      </c>
      <c r="M2936" s="12">
        <v>150</v>
      </c>
      <c r="N2936" s="12">
        <v>97.5</v>
      </c>
      <c r="O2936">
        <v>3</v>
      </c>
      <c r="P2936" s="12">
        <v>145.5</v>
      </c>
      <c r="Q2936" s="12">
        <v>97.5</v>
      </c>
      <c r="R2936" s="12">
        <v>48</v>
      </c>
      <c r="S2936" t="s">
        <v>1249</v>
      </c>
      <c r="T2936" t="s">
        <v>108</v>
      </c>
      <c r="U2936" t="s">
        <v>1209</v>
      </c>
    </row>
    <row r="2937" spans="1:21" x14ac:dyDescent="0.25">
      <c r="A2937" t="s">
        <v>5012</v>
      </c>
      <c r="B2937" s="8">
        <v>45690</v>
      </c>
      <c r="C2937" t="s">
        <v>1253</v>
      </c>
      <c r="D2937" t="s">
        <v>1055</v>
      </c>
      <c r="E2937" t="s">
        <v>218</v>
      </c>
      <c r="F2937">
        <v>63</v>
      </c>
      <c r="G2937" t="s">
        <v>7</v>
      </c>
      <c r="H2937" t="s">
        <v>8</v>
      </c>
      <c r="I2937" t="s">
        <v>34</v>
      </c>
      <c r="J2937" t="s">
        <v>137</v>
      </c>
      <c r="K2937" t="s">
        <v>22</v>
      </c>
      <c r="L2937">
        <v>2</v>
      </c>
      <c r="M2937" s="12">
        <v>6900</v>
      </c>
      <c r="N2937" s="12">
        <v>5727</v>
      </c>
      <c r="O2937">
        <v>3</v>
      </c>
      <c r="P2937" s="12">
        <v>13386</v>
      </c>
      <c r="Q2937" s="12">
        <v>11454</v>
      </c>
      <c r="R2937" s="12">
        <v>1932</v>
      </c>
      <c r="S2937" t="s">
        <v>1246</v>
      </c>
      <c r="T2937" t="s">
        <v>108</v>
      </c>
      <c r="U2937" t="s">
        <v>1199</v>
      </c>
    </row>
    <row r="2938" spans="1:21" x14ac:dyDescent="0.25">
      <c r="A2938" t="s">
        <v>5013</v>
      </c>
      <c r="B2938" s="8">
        <v>45931</v>
      </c>
      <c r="C2938" t="s">
        <v>1966</v>
      </c>
      <c r="D2938" t="s">
        <v>408</v>
      </c>
      <c r="E2938" t="s">
        <v>198</v>
      </c>
      <c r="F2938">
        <v>42</v>
      </c>
      <c r="G2938" t="s">
        <v>16</v>
      </c>
      <c r="H2938" t="s">
        <v>15</v>
      </c>
      <c r="I2938" t="s">
        <v>49</v>
      </c>
      <c r="J2938" t="s">
        <v>56</v>
      </c>
      <c r="K2938" t="s">
        <v>43</v>
      </c>
      <c r="L2938">
        <v>3</v>
      </c>
      <c r="M2938" s="12">
        <v>31999</v>
      </c>
      <c r="N2938" s="12">
        <v>25599.200000000001</v>
      </c>
      <c r="O2938">
        <v>5</v>
      </c>
      <c r="P2938" s="12">
        <v>91197.15</v>
      </c>
      <c r="Q2938" s="12">
        <v>76797.600000000006</v>
      </c>
      <c r="R2938" s="12">
        <v>14399.549999999988</v>
      </c>
      <c r="S2938" t="s">
        <v>1246</v>
      </c>
      <c r="T2938" t="s">
        <v>107</v>
      </c>
      <c r="U2938" t="s">
        <v>1203</v>
      </c>
    </row>
    <row r="2939" spans="1:21" x14ac:dyDescent="0.25">
      <c r="A2939" t="s">
        <v>5014</v>
      </c>
      <c r="B2939" s="8">
        <v>45924</v>
      </c>
      <c r="C2939" t="s">
        <v>2479</v>
      </c>
      <c r="D2939" t="s">
        <v>731</v>
      </c>
      <c r="E2939" t="s">
        <v>198</v>
      </c>
      <c r="F2939">
        <v>52</v>
      </c>
      <c r="G2939" t="s">
        <v>5</v>
      </c>
      <c r="H2939" t="s">
        <v>3</v>
      </c>
      <c r="I2939" t="s">
        <v>38</v>
      </c>
      <c r="J2939" t="s">
        <v>37</v>
      </c>
      <c r="K2939" t="s">
        <v>22</v>
      </c>
      <c r="L2939">
        <v>5</v>
      </c>
      <c r="M2939" s="12">
        <v>1650</v>
      </c>
      <c r="N2939" s="12">
        <v>990</v>
      </c>
      <c r="O2939">
        <v>5</v>
      </c>
      <c r="P2939" s="12">
        <v>7837.5</v>
      </c>
      <c r="Q2939" s="12">
        <v>4950</v>
      </c>
      <c r="R2939" s="12">
        <v>2887.5</v>
      </c>
      <c r="S2939" t="s">
        <v>113</v>
      </c>
      <c r="T2939" t="s">
        <v>110</v>
      </c>
      <c r="U2939" t="s">
        <v>1198</v>
      </c>
    </row>
    <row r="2940" spans="1:21" x14ac:dyDescent="0.25">
      <c r="A2940" t="s">
        <v>5015</v>
      </c>
      <c r="B2940" s="8">
        <v>45929</v>
      </c>
      <c r="C2940" t="s">
        <v>4606</v>
      </c>
      <c r="D2940" t="s">
        <v>498</v>
      </c>
      <c r="E2940" t="s">
        <v>198</v>
      </c>
      <c r="F2940">
        <v>58</v>
      </c>
      <c r="G2940" t="s">
        <v>17</v>
      </c>
      <c r="H2940" t="s">
        <v>15</v>
      </c>
      <c r="I2940" t="s">
        <v>40</v>
      </c>
      <c r="J2940" t="s">
        <v>39</v>
      </c>
      <c r="K2940" t="s">
        <v>22</v>
      </c>
      <c r="L2940">
        <v>1</v>
      </c>
      <c r="M2940" s="12">
        <v>1100</v>
      </c>
      <c r="N2940" s="12">
        <v>715</v>
      </c>
      <c r="O2940">
        <v>8</v>
      </c>
      <c r="P2940" s="12">
        <v>1012</v>
      </c>
      <c r="Q2940" s="12">
        <v>715</v>
      </c>
      <c r="R2940" s="12">
        <v>297</v>
      </c>
      <c r="S2940" t="s">
        <v>1246</v>
      </c>
      <c r="T2940" t="s">
        <v>107</v>
      </c>
      <c r="U2940" t="s">
        <v>1207</v>
      </c>
    </row>
    <row r="2941" spans="1:21" x14ac:dyDescent="0.25">
      <c r="A2941" t="s">
        <v>5016</v>
      </c>
      <c r="B2941" s="8">
        <v>45662</v>
      </c>
      <c r="C2941" t="s">
        <v>1908</v>
      </c>
      <c r="D2941" t="s">
        <v>799</v>
      </c>
      <c r="E2941" t="s">
        <v>218</v>
      </c>
      <c r="F2941">
        <v>54</v>
      </c>
      <c r="G2941" t="s">
        <v>7</v>
      </c>
      <c r="H2941" t="s">
        <v>8</v>
      </c>
      <c r="I2941" t="s">
        <v>53</v>
      </c>
      <c r="J2941" t="s">
        <v>48</v>
      </c>
      <c r="K2941" t="s">
        <v>43</v>
      </c>
      <c r="L2941">
        <v>4</v>
      </c>
      <c r="M2941" s="12">
        <v>6499</v>
      </c>
      <c r="N2941" s="12">
        <v>4549.2999999999993</v>
      </c>
      <c r="O2941">
        <v>3</v>
      </c>
      <c r="P2941" s="12">
        <v>25216.12</v>
      </c>
      <c r="Q2941" s="12">
        <v>18197.199999999997</v>
      </c>
      <c r="R2941" s="12">
        <v>7018.9200000000019</v>
      </c>
      <c r="S2941" t="s">
        <v>113</v>
      </c>
      <c r="T2941" t="s">
        <v>107</v>
      </c>
      <c r="U2941" t="s">
        <v>1209</v>
      </c>
    </row>
    <row r="2942" spans="1:21" x14ac:dyDescent="0.25">
      <c r="A2942" t="s">
        <v>5017</v>
      </c>
      <c r="B2942" s="8">
        <v>45772</v>
      </c>
      <c r="C2942" t="s">
        <v>1694</v>
      </c>
      <c r="D2942" t="s">
        <v>1069</v>
      </c>
      <c r="E2942" t="s">
        <v>218</v>
      </c>
      <c r="F2942">
        <v>40</v>
      </c>
      <c r="G2942" t="s">
        <v>5</v>
      </c>
      <c r="H2942" t="s">
        <v>3</v>
      </c>
      <c r="I2942" t="s">
        <v>36</v>
      </c>
      <c r="J2942" t="s">
        <v>136</v>
      </c>
      <c r="K2942" t="s">
        <v>22</v>
      </c>
      <c r="L2942">
        <v>2</v>
      </c>
      <c r="M2942" s="12">
        <v>3590</v>
      </c>
      <c r="N2942" s="12">
        <v>2333.5</v>
      </c>
      <c r="O2942">
        <v>4</v>
      </c>
      <c r="P2942" s="12">
        <v>6892.8</v>
      </c>
      <c r="Q2942" s="12">
        <v>4667</v>
      </c>
      <c r="R2942" s="12">
        <v>2225.8000000000002</v>
      </c>
      <c r="S2942" t="s">
        <v>1246</v>
      </c>
      <c r="T2942" t="s">
        <v>109</v>
      </c>
      <c r="U2942" t="s">
        <v>1194</v>
      </c>
    </row>
    <row r="2943" spans="1:21" x14ac:dyDescent="0.25">
      <c r="A2943" t="s">
        <v>5018</v>
      </c>
      <c r="B2943" s="8">
        <v>45941</v>
      </c>
      <c r="C2943" t="s">
        <v>4210</v>
      </c>
      <c r="D2943" t="s">
        <v>700</v>
      </c>
      <c r="E2943" t="s">
        <v>218</v>
      </c>
      <c r="F2943">
        <v>63</v>
      </c>
      <c r="G2943" t="s">
        <v>2</v>
      </c>
      <c r="H2943" t="s">
        <v>3</v>
      </c>
      <c r="I2943" t="s">
        <v>32</v>
      </c>
      <c r="J2943" t="s">
        <v>29</v>
      </c>
      <c r="K2943" t="s">
        <v>22</v>
      </c>
      <c r="L2943">
        <v>5</v>
      </c>
      <c r="M2943" s="12">
        <v>9500</v>
      </c>
      <c r="N2943" s="12">
        <v>6650</v>
      </c>
      <c r="O2943">
        <v>5</v>
      </c>
      <c r="P2943" s="12">
        <v>45125</v>
      </c>
      <c r="Q2943" s="12">
        <v>33250</v>
      </c>
      <c r="R2943" s="12">
        <v>11875</v>
      </c>
      <c r="S2943" t="s">
        <v>1246</v>
      </c>
      <c r="T2943" t="s">
        <v>110</v>
      </c>
      <c r="U2943" t="s">
        <v>1205</v>
      </c>
    </row>
    <row r="2944" spans="1:21" x14ac:dyDescent="0.25">
      <c r="A2944" t="s">
        <v>5019</v>
      </c>
      <c r="B2944" s="8">
        <v>45975</v>
      </c>
      <c r="C2944" t="s">
        <v>2342</v>
      </c>
      <c r="D2944" t="s">
        <v>907</v>
      </c>
      <c r="E2944" t="s">
        <v>198</v>
      </c>
      <c r="F2944">
        <v>22</v>
      </c>
      <c r="G2944" t="s">
        <v>9</v>
      </c>
      <c r="H2944" t="s">
        <v>8</v>
      </c>
      <c r="I2944" t="s">
        <v>42</v>
      </c>
      <c r="J2944" t="s">
        <v>44</v>
      </c>
      <c r="K2944" t="s">
        <v>43</v>
      </c>
      <c r="L2944">
        <v>3</v>
      </c>
      <c r="M2944" s="12">
        <v>8999</v>
      </c>
      <c r="N2944" s="12">
        <v>6479.28</v>
      </c>
      <c r="O2944">
        <v>17</v>
      </c>
      <c r="P2944" s="12">
        <v>22407.51</v>
      </c>
      <c r="Q2944" s="12">
        <v>19437.84</v>
      </c>
      <c r="R2944" s="12">
        <v>2969.6699999999983</v>
      </c>
      <c r="S2944" t="s">
        <v>113</v>
      </c>
      <c r="T2944" t="s">
        <v>107</v>
      </c>
      <c r="U2944" t="s">
        <v>1207</v>
      </c>
    </row>
    <row r="2945" spans="1:21" x14ac:dyDescent="0.25">
      <c r="A2945" t="s">
        <v>5020</v>
      </c>
      <c r="B2945" s="8">
        <v>45702</v>
      </c>
      <c r="C2945" t="s">
        <v>1680</v>
      </c>
      <c r="D2945" t="s">
        <v>966</v>
      </c>
      <c r="E2945" t="s">
        <v>198</v>
      </c>
      <c r="F2945">
        <v>18</v>
      </c>
      <c r="G2945" t="s">
        <v>14</v>
      </c>
      <c r="H2945" t="s">
        <v>15</v>
      </c>
      <c r="I2945" t="s">
        <v>61</v>
      </c>
      <c r="J2945" t="s">
        <v>146</v>
      </c>
      <c r="K2945" t="s">
        <v>64</v>
      </c>
      <c r="L2945">
        <v>4</v>
      </c>
      <c r="M2945" s="12">
        <v>250</v>
      </c>
      <c r="N2945" s="12">
        <v>155</v>
      </c>
      <c r="O2945">
        <v>0</v>
      </c>
      <c r="P2945" s="12">
        <v>1000</v>
      </c>
      <c r="Q2945" s="12">
        <v>620</v>
      </c>
      <c r="R2945" s="12">
        <v>380</v>
      </c>
      <c r="S2945" t="s">
        <v>113</v>
      </c>
      <c r="T2945" t="s">
        <v>107</v>
      </c>
      <c r="U2945" t="s">
        <v>1199</v>
      </c>
    </row>
    <row r="2946" spans="1:21" x14ac:dyDescent="0.25">
      <c r="A2946" t="s">
        <v>5021</v>
      </c>
      <c r="B2946" s="8">
        <v>45962</v>
      </c>
      <c r="C2946" t="s">
        <v>1927</v>
      </c>
      <c r="D2946" t="s">
        <v>1041</v>
      </c>
      <c r="E2946" t="s">
        <v>198</v>
      </c>
      <c r="F2946">
        <v>26</v>
      </c>
      <c r="G2946" t="s">
        <v>7</v>
      </c>
      <c r="H2946" t="s">
        <v>8</v>
      </c>
      <c r="I2946" t="s">
        <v>28</v>
      </c>
      <c r="J2946" t="s">
        <v>35</v>
      </c>
      <c r="K2946" t="s">
        <v>22</v>
      </c>
      <c r="L2946">
        <v>4</v>
      </c>
      <c r="M2946" s="12">
        <v>16499</v>
      </c>
      <c r="N2946" s="12">
        <v>14519.12</v>
      </c>
      <c r="O2946">
        <v>15</v>
      </c>
      <c r="P2946" s="12">
        <v>56096.6</v>
      </c>
      <c r="Q2946" s="12">
        <v>58076.480000000003</v>
      </c>
      <c r="R2946" s="12">
        <v>-1979.8800000000047</v>
      </c>
      <c r="S2946" t="s">
        <v>1246</v>
      </c>
      <c r="T2946" t="s">
        <v>108</v>
      </c>
      <c r="U2946" t="s">
        <v>1203</v>
      </c>
    </row>
    <row r="2947" spans="1:21" x14ac:dyDescent="0.25">
      <c r="A2947" t="s">
        <v>5022</v>
      </c>
      <c r="B2947" s="8">
        <v>45682</v>
      </c>
      <c r="C2947" t="s">
        <v>1975</v>
      </c>
      <c r="D2947" t="s">
        <v>431</v>
      </c>
      <c r="E2947" t="s">
        <v>198</v>
      </c>
      <c r="F2947">
        <v>34</v>
      </c>
      <c r="G2947" t="s">
        <v>5</v>
      </c>
      <c r="H2947" t="s">
        <v>3</v>
      </c>
      <c r="I2947" t="s">
        <v>21</v>
      </c>
      <c r="J2947" t="s">
        <v>23</v>
      </c>
      <c r="K2947" t="s">
        <v>22</v>
      </c>
      <c r="L2947">
        <v>2</v>
      </c>
      <c r="M2947" s="12">
        <v>54999</v>
      </c>
      <c r="N2947" s="12">
        <v>45099.18</v>
      </c>
      <c r="O2947">
        <v>10</v>
      </c>
      <c r="P2947" s="12">
        <v>98998.2</v>
      </c>
      <c r="Q2947" s="12">
        <v>90198.36</v>
      </c>
      <c r="R2947" s="12">
        <v>8799.8399999999965</v>
      </c>
      <c r="S2947" t="s">
        <v>1249</v>
      </c>
      <c r="T2947" t="s">
        <v>107</v>
      </c>
      <c r="U2947" t="s">
        <v>1203</v>
      </c>
    </row>
    <row r="2948" spans="1:21" x14ac:dyDescent="0.25">
      <c r="A2948" t="s">
        <v>5023</v>
      </c>
      <c r="B2948" s="8">
        <v>45818</v>
      </c>
      <c r="C2948" t="s">
        <v>2758</v>
      </c>
      <c r="D2948" t="s">
        <v>1048</v>
      </c>
      <c r="E2948" t="s">
        <v>218</v>
      </c>
      <c r="F2948">
        <v>57</v>
      </c>
      <c r="G2948" t="s">
        <v>17</v>
      </c>
      <c r="H2948" t="s">
        <v>15</v>
      </c>
      <c r="I2948" t="s">
        <v>53</v>
      </c>
      <c r="J2948" t="s">
        <v>48</v>
      </c>
      <c r="K2948" t="s">
        <v>43</v>
      </c>
      <c r="L2948">
        <v>1</v>
      </c>
      <c r="M2948" s="12">
        <v>6499</v>
      </c>
      <c r="N2948" s="12">
        <v>4549.2999999999993</v>
      </c>
      <c r="O2948">
        <v>5</v>
      </c>
      <c r="P2948" s="12">
        <v>6174.0499999999993</v>
      </c>
      <c r="Q2948" s="12">
        <v>4549.2999999999993</v>
      </c>
      <c r="R2948" s="12">
        <v>1624.75</v>
      </c>
      <c r="S2948" t="s">
        <v>1246</v>
      </c>
      <c r="T2948" t="s">
        <v>107</v>
      </c>
      <c r="U2948" t="s">
        <v>1196</v>
      </c>
    </row>
    <row r="2949" spans="1:21" x14ac:dyDescent="0.25">
      <c r="A2949" t="s">
        <v>5024</v>
      </c>
      <c r="B2949" s="8">
        <v>45874</v>
      </c>
      <c r="C2949" t="s">
        <v>1248</v>
      </c>
      <c r="D2949" t="s">
        <v>540</v>
      </c>
      <c r="E2949" t="s">
        <v>218</v>
      </c>
      <c r="F2949">
        <v>18</v>
      </c>
      <c r="G2949" t="s">
        <v>16</v>
      </c>
      <c r="H2949" t="s">
        <v>15</v>
      </c>
      <c r="I2949" t="s">
        <v>36</v>
      </c>
      <c r="J2949" t="s">
        <v>136</v>
      </c>
      <c r="K2949" t="s">
        <v>22</v>
      </c>
      <c r="L2949">
        <v>1</v>
      </c>
      <c r="M2949" s="12">
        <v>3590</v>
      </c>
      <c r="N2949" s="12">
        <v>2333.5</v>
      </c>
      <c r="O2949">
        <v>3</v>
      </c>
      <c r="P2949" s="12">
        <v>3482.2999999999997</v>
      </c>
      <c r="Q2949" s="12">
        <v>2333.5</v>
      </c>
      <c r="R2949" s="12">
        <v>1148.7999999999997</v>
      </c>
      <c r="S2949" t="s">
        <v>1246</v>
      </c>
      <c r="T2949" t="s">
        <v>110</v>
      </c>
      <c r="U2949" t="s">
        <v>1199</v>
      </c>
    </row>
    <row r="2950" spans="1:21" x14ac:dyDescent="0.25">
      <c r="A2950" t="s">
        <v>5025</v>
      </c>
      <c r="B2950" s="8">
        <v>45688</v>
      </c>
      <c r="C2950" t="s">
        <v>1703</v>
      </c>
      <c r="D2950" t="s">
        <v>1091</v>
      </c>
      <c r="E2950" t="s">
        <v>218</v>
      </c>
      <c r="F2950">
        <v>58</v>
      </c>
      <c r="G2950" t="s">
        <v>11</v>
      </c>
      <c r="H2950" t="s">
        <v>12</v>
      </c>
      <c r="I2950" t="s">
        <v>36</v>
      </c>
      <c r="J2950" t="s">
        <v>136</v>
      </c>
      <c r="K2950" t="s">
        <v>22</v>
      </c>
      <c r="L2950">
        <v>1</v>
      </c>
      <c r="M2950" s="12">
        <v>3590</v>
      </c>
      <c r="N2950" s="12">
        <v>2333.5</v>
      </c>
      <c r="O2950">
        <v>7</v>
      </c>
      <c r="P2950" s="12">
        <v>3338.7</v>
      </c>
      <c r="Q2950" s="12">
        <v>2333.5</v>
      </c>
      <c r="R2950" s="12">
        <v>1005.1999999999998</v>
      </c>
      <c r="S2950" t="s">
        <v>1246</v>
      </c>
      <c r="T2950" t="s">
        <v>109</v>
      </c>
      <c r="U2950" t="s">
        <v>1201</v>
      </c>
    </row>
    <row r="2951" spans="1:21" x14ac:dyDescent="0.25">
      <c r="A2951" t="s">
        <v>5026</v>
      </c>
      <c r="B2951" s="8">
        <v>45724</v>
      </c>
      <c r="C2951" t="s">
        <v>1370</v>
      </c>
      <c r="D2951" t="s">
        <v>676</v>
      </c>
      <c r="E2951" t="s">
        <v>218</v>
      </c>
      <c r="F2951">
        <v>20</v>
      </c>
      <c r="G2951" t="s">
        <v>14</v>
      </c>
      <c r="H2951" t="s">
        <v>15</v>
      </c>
      <c r="I2951" t="s">
        <v>61</v>
      </c>
      <c r="J2951" t="s">
        <v>146</v>
      </c>
      <c r="K2951" t="s">
        <v>64</v>
      </c>
      <c r="L2951">
        <v>3</v>
      </c>
      <c r="M2951" s="12">
        <v>250</v>
      </c>
      <c r="N2951" s="12">
        <v>155</v>
      </c>
      <c r="O2951">
        <v>4</v>
      </c>
      <c r="P2951" s="12">
        <v>720</v>
      </c>
      <c r="Q2951" s="12">
        <v>465</v>
      </c>
      <c r="R2951" s="12">
        <v>255</v>
      </c>
      <c r="S2951" t="s">
        <v>113</v>
      </c>
      <c r="T2951" t="s">
        <v>109</v>
      </c>
      <c r="U2951" t="s">
        <v>1199</v>
      </c>
    </row>
    <row r="2952" spans="1:21" x14ac:dyDescent="0.25">
      <c r="A2952" t="s">
        <v>5027</v>
      </c>
      <c r="B2952" s="8">
        <v>45921</v>
      </c>
      <c r="C2952" t="s">
        <v>1479</v>
      </c>
      <c r="D2952" t="s">
        <v>1085</v>
      </c>
      <c r="E2952" t="s">
        <v>218</v>
      </c>
      <c r="F2952">
        <v>49</v>
      </c>
      <c r="G2952" t="s">
        <v>14</v>
      </c>
      <c r="H2952" t="s">
        <v>15</v>
      </c>
      <c r="I2952" t="s">
        <v>55</v>
      </c>
      <c r="J2952" t="s">
        <v>65</v>
      </c>
      <c r="K2952" t="s">
        <v>64</v>
      </c>
      <c r="L2952">
        <v>3</v>
      </c>
      <c r="M2952" s="12">
        <v>80</v>
      </c>
      <c r="N2952" s="12">
        <v>56</v>
      </c>
      <c r="O2952">
        <v>0</v>
      </c>
      <c r="P2952" s="12">
        <v>240</v>
      </c>
      <c r="Q2952" s="12">
        <v>168</v>
      </c>
      <c r="R2952" s="12">
        <v>72</v>
      </c>
      <c r="S2952" t="s">
        <v>1246</v>
      </c>
      <c r="T2952" t="s">
        <v>107</v>
      </c>
      <c r="U2952" t="s">
        <v>1209</v>
      </c>
    </row>
    <row r="2953" spans="1:21" x14ac:dyDescent="0.25">
      <c r="A2953" t="s">
        <v>5028</v>
      </c>
      <c r="B2953" s="8">
        <v>45748</v>
      </c>
      <c r="C2953" t="s">
        <v>1772</v>
      </c>
      <c r="D2953" t="s">
        <v>695</v>
      </c>
      <c r="E2953" t="s">
        <v>198</v>
      </c>
      <c r="F2953">
        <v>21</v>
      </c>
      <c r="G2953" t="s">
        <v>14</v>
      </c>
      <c r="H2953" t="s">
        <v>15</v>
      </c>
      <c r="I2953" t="s">
        <v>51</v>
      </c>
      <c r="J2953" t="s">
        <v>54</v>
      </c>
      <c r="K2953" t="s">
        <v>43</v>
      </c>
      <c r="L2953">
        <v>1</v>
      </c>
      <c r="M2953" s="12">
        <v>27499</v>
      </c>
      <c r="N2953" s="12">
        <v>21724.210000000003</v>
      </c>
      <c r="O2953">
        <v>7</v>
      </c>
      <c r="P2953" s="12">
        <v>25574.07</v>
      </c>
      <c r="Q2953" s="12">
        <v>21724.210000000003</v>
      </c>
      <c r="R2953" s="12">
        <v>3849.8599999999969</v>
      </c>
      <c r="S2953" t="s">
        <v>113</v>
      </c>
      <c r="T2953" t="s">
        <v>107</v>
      </c>
      <c r="U2953" t="s">
        <v>1198</v>
      </c>
    </row>
    <row r="2954" spans="1:21" x14ac:dyDescent="0.25">
      <c r="A2954" t="s">
        <v>5029</v>
      </c>
      <c r="B2954" s="8">
        <v>45847</v>
      </c>
      <c r="C2954" t="s">
        <v>3228</v>
      </c>
      <c r="D2954" t="s">
        <v>1114</v>
      </c>
      <c r="E2954" t="s">
        <v>218</v>
      </c>
      <c r="F2954">
        <v>60</v>
      </c>
      <c r="G2954" t="s">
        <v>7</v>
      </c>
      <c r="H2954" t="s">
        <v>8</v>
      </c>
      <c r="I2954" t="s">
        <v>28</v>
      </c>
      <c r="J2954" t="s">
        <v>35</v>
      </c>
      <c r="K2954" t="s">
        <v>22</v>
      </c>
      <c r="L2954">
        <v>4</v>
      </c>
      <c r="M2954" s="12">
        <v>16499</v>
      </c>
      <c r="N2954" s="12">
        <v>14519.12</v>
      </c>
      <c r="O2954">
        <v>5</v>
      </c>
      <c r="P2954" s="12">
        <v>62696.2</v>
      </c>
      <c r="Q2954" s="12">
        <v>58076.480000000003</v>
      </c>
      <c r="R2954" s="12">
        <v>4619.7199999999939</v>
      </c>
      <c r="S2954" t="s">
        <v>1246</v>
      </c>
      <c r="T2954" t="s">
        <v>107</v>
      </c>
      <c r="U2954" t="s">
        <v>1201</v>
      </c>
    </row>
    <row r="2955" spans="1:21" x14ac:dyDescent="0.25">
      <c r="A2955" t="s">
        <v>5030</v>
      </c>
      <c r="B2955" s="8">
        <v>45835</v>
      </c>
      <c r="C2955" t="s">
        <v>2609</v>
      </c>
      <c r="D2955" t="s">
        <v>507</v>
      </c>
      <c r="E2955" t="s">
        <v>218</v>
      </c>
      <c r="F2955">
        <v>37</v>
      </c>
      <c r="G2955" t="s">
        <v>9</v>
      </c>
      <c r="H2955" t="s">
        <v>8</v>
      </c>
      <c r="I2955" t="s">
        <v>45</v>
      </c>
      <c r="J2955" t="s">
        <v>46</v>
      </c>
      <c r="K2955" t="s">
        <v>43</v>
      </c>
      <c r="L2955">
        <v>3</v>
      </c>
      <c r="M2955" s="12">
        <v>11999</v>
      </c>
      <c r="N2955" s="12">
        <v>8999.25</v>
      </c>
      <c r="O2955">
        <v>3</v>
      </c>
      <c r="P2955" s="12">
        <v>34917.089999999997</v>
      </c>
      <c r="Q2955" s="12">
        <v>26997.75</v>
      </c>
      <c r="R2955" s="12">
        <v>7919.3399999999965</v>
      </c>
      <c r="S2955" t="s">
        <v>1246</v>
      </c>
      <c r="T2955" t="s">
        <v>109</v>
      </c>
      <c r="U2955" t="s">
        <v>1205</v>
      </c>
    </row>
    <row r="2956" spans="1:21" x14ac:dyDescent="0.25">
      <c r="A2956" t="s">
        <v>5031</v>
      </c>
      <c r="B2956" s="8">
        <v>45882</v>
      </c>
      <c r="C2956" t="s">
        <v>1823</v>
      </c>
      <c r="D2956" t="s">
        <v>1097</v>
      </c>
      <c r="E2956" t="s">
        <v>218</v>
      </c>
      <c r="F2956">
        <v>41</v>
      </c>
      <c r="G2956" t="s">
        <v>2</v>
      </c>
      <c r="H2956" t="s">
        <v>3</v>
      </c>
      <c r="I2956" t="s">
        <v>30</v>
      </c>
      <c r="J2956" t="s">
        <v>41</v>
      </c>
      <c r="K2956" t="s">
        <v>22</v>
      </c>
      <c r="L2956">
        <v>2</v>
      </c>
      <c r="M2956" s="12">
        <v>13749</v>
      </c>
      <c r="N2956" s="12">
        <v>10999.2</v>
      </c>
      <c r="O2956">
        <v>6</v>
      </c>
      <c r="P2956" s="12">
        <v>25848.12</v>
      </c>
      <c r="Q2956" s="12">
        <v>21998.400000000001</v>
      </c>
      <c r="R2956" s="12">
        <v>3849.7199999999975</v>
      </c>
      <c r="S2956" t="s">
        <v>113</v>
      </c>
      <c r="T2956" t="s">
        <v>110</v>
      </c>
      <c r="U2956" t="s">
        <v>1199</v>
      </c>
    </row>
    <row r="2957" spans="1:21" x14ac:dyDescent="0.25">
      <c r="A2957" t="s">
        <v>5032</v>
      </c>
      <c r="B2957" s="8">
        <v>45677</v>
      </c>
      <c r="C2957" t="s">
        <v>5096</v>
      </c>
      <c r="D2957" t="s">
        <v>701</v>
      </c>
      <c r="E2957" t="s">
        <v>198</v>
      </c>
      <c r="F2957">
        <v>20</v>
      </c>
      <c r="G2957" t="s">
        <v>14</v>
      </c>
      <c r="H2957" t="s">
        <v>15</v>
      </c>
      <c r="I2957" t="s">
        <v>49</v>
      </c>
      <c r="J2957" t="s">
        <v>56</v>
      </c>
      <c r="K2957" t="s">
        <v>43</v>
      </c>
      <c r="L2957">
        <v>4</v>
      </c>
      <c r="M2957" s="12">
        <v>31999</v>
      </c>
      <c r="N2957" s="12">
        <v>25599.200000000001</v>
      </c>
      <c r="O2957">
        <v>3</v>
      </c>
      <c r="P2957" s="12">
        <v>124156.12</v>
      </c>
      <c r="Q2957" s="12">
        <v>102396.8</v>
      </c>
      <c r="R2957" s="12">
        <v>21759.319999999992</v>
      </c>
      <c r="S2957" t="s">
        <v>1246</v>
      </c>
      <c r="T2957" t="s">
        <v>107</v>
      </c>
      <c r="U2957" t="s">
        <v>1201</v>
      </c>
    </row>
    <row r="2958" spans="1:21" x14ac:dyDescent="0.25">
      <c r="A2958" t="s">
        <v>5033</v>
      </c>
      <c r="B2958" s="8">
        <v>45740</v>
      </c>
      <c r="C2958" t="s">
        <v>1314</v>
      </c>
      <c r="D2958" t="s">
        <v>773</v>
      </c>
      <c r="E2958" t="s">
        <v>198</v>
      </c>
      <c r="F2958">
        <v>34</v>
      </c>
      <c r="G2958" t="s">
        <v>7</v>
      </c>
      <c r="H2958" t="s">
        <v>8</v>
      </c>
      <c r="I2958" t="s">
        <v>28</v>
      </c>
      <c r="J2958" t="s">
        <v>35</v>
      </c>
      <c r="K2958" t="s">
        <v>22</v>
      </c>
      <c r="L2958">
        <v>1</v>
      </c>
      <c r="M2958" s="12">
        <v>16499</v>
      </c>
      <c r="N2958" s="12">
        <v>14519.12</v>
      </c>
      <c r="O2958">
        <v>4</v>
      </c>
      <c r="P2958" s="12">
        <v>15839.039999999999</v>
      </c>
      <c r="Q2958" s="12">
        <v>14519.12</v>
      </c>
      <c r="R2958" s="12">
        <v>1319.9199999999983</v>
      </c>
      <c r="S2958" t="s">
        <v>113</v>
      </c>
      <c r="T2958" t="s">
        <v>110</v>
      </c>
      <c r="U2958" t="s">
        <v>1198</v>
      </c>
    </row>
    <row r="2959" spans="1:21" x14ac:dyDescent="0.25">
      <c r="A2959" t="s">
        <v>5034</v>
      </c>
      <c r="B2959" s="8">
        <v>45767</v>
      </c>
      <c r="C2959" t="s">
        <v>1594</v>
      </c>
      <c r="D2959" t="s">
        <v>938</v>
      </c>
      <c r="E2959" t="s">
        <v>218</v>
      </c>
      <c r="F2959">
        <v>34</v>
      </c>
      <c r="G2959" t="s">
        <v>11</v>
      </c>
      <c r="H2959" t="s">
        <v>12</v>
      </c>
      <c r="I2959" t="s">
        <v>57</v>
      </c>
      <c r="J2959" t="s">
        <v>67</v>
      </c>
      <c r="K2959" t="s">
        <v>64</v>
      </c>
      <c r="L2959">
        <v>3</v>
      </c>
      <c r="M2959" s="12">
        <v>150</v>
      </c>
      <c r="N2959" s="12">
        <v>97.5</v>
      </c>
      <c r="O2959">
        <v>4</v>
      </c>
      <c r="P2959" s="12">
        <v>432</v>
      </c>
      <c r="Q2959" s="12">
        <v>292.5</v>
      </c>
      <c r="R2959" s="12">
        <v>139.5</v>
      </c>
      <c r="S2959" t="s">
        <v>113</v>
      </c>
      <c r="T2959" t="s">
        <v>108</v>
      </c>
      <c r="U2959" t="s">
        <v>1199</v>
      </c>
    </row>
    <row r="2960" spans="1:21" x14ac:dyDescent="0.25">
      <c r="A2960" t="s">
        <v>5035</v>
      </c>
      <c r="B2960" s="8">
        <v>45713</v>
      </c>
      <c r="C2960" t="s">
        <v>2195</v>
      </c>
      <c r="D2960" t="s">
        <v>506</v>
      </c>
      <c r="E2960" t="s">
        <v>198</v>
      </c>
      <c r="F2960">
        <v>45</v>
      </c>
      <c r="G2960" t="s">
        <v>14</v>
      </c>
      <c r="H2960" t="s">
        <v>15</v>
      </c>
      <c r="I2960" t="s">
        <v>28</v>
      </c>
      <c r="J2960" t="s">
        <v>35</v>
      </c>
      <c r="K2960" t="s">
        <v>22</v>
      </c>
      <c r="L2960">
        <v>5</v>
      </c>
      <c r="M2960" s="12">
        <v>16499</v>
      </c>
      <c r="N2960" s="12">
        <v>14519.12</v>
      </c>
      <c r="O2960">
        <v>5</v>
      </c>
      <c r="P2960" s="12">
        <v>78370.25</v>
      </c>
      <c r="Q2960" s="12">
        <v>72595.600000000006</v>
      </c>
      <c r="R2960" s="12">
        <v>5774.6499999999942</v>
      </c>
      <c r="S2960" t="s">
        <v>113</v>
      </c>
      <c r="T2960" t="s">
        <v>109</v>
      </c>
      <c r="U2960" t="s">
        <v>1196</v>
      </c>
    </row>
    <row r="2961" spans="1:21" x14ac:dyDescent="0.25">
      <c r="A2961" t="s">
        <v>5036</v>
      </c>
      <c r="B2961" s="8">
        <v>45676</v>
      </c>
      <c r="C2961" t="s">
        <v>3907</v>
      </c>
      <c r="D2961" t="s">
        <v>1066</v>
      </c>
      <c r="E2961" t="s">
        <v>198</v>
      </c>
      <c r="F2961">
        <v>43</v>
      </c>
      <c r="G2961" t="s">
        <v>4</v>
      </c>
      <c r="H2961" t="s">
        <v>3</v>
      </c>
      <c r="I2961" t="s">
        <v>32</v>
      </c>
      <c r="J2961" t="s">
        <v>29</v>
      </c>
      <c r="K2961" t="s">
        <v>22</v>
      </c>
      <c r="L2961">
        <v>4</v>
      </c>
      <c r="M2961" s="12">
        <v>9500</v>
      </c>
      <c r="N2961" s="12">
        <v>6650</v>
      </c>
      <c r="O2961">
        <v>6</v>
      </c>
      <c r="P2961" s="12">
        <v>35720</v>
      </c>
      <c r="Q2961" s="12">
        <v>26600</v>
      </c>
      <c r="R2961" s="12">
        <v>9120</v>
      </c>
      <c r="S2961" t="s">
        <v>1249</v>
      </c>
      <c r="T2961" t="s">
        <v>108</v>
      </c>
      <c r="U2961" t="s">
        <v>1201</v>
      </c>
    </row>
    <row r="2962" spans="1:21" x14ac:dyDescent="0.25">
      <c r="A2962" t="s">
        <v>5037</v>
      </c>
      <c r="B2962" s="8">
        <v>45802</v>
      </c>
      <c r="C2962" t="s">
        <v>4666</v>
      </c>
      <c r="D2962" t="s">
        <v>1173</v>
      </c>
      <c r="E2962" t="s">
        <v>218</v>
      </c>
      <c r="F2962">
        <v>18</v>
      </c>
      <c r="G2962" t="s">
        <v>11</v>
      </c>
      <c r="H2962" t="s">
        <v>12</v>
      </c>
      <c r="I2962" t="s">
        <v>59</v>
      </c>
      <c r="J2962" t="s">
        <v>73</v>
      </c>
      <c r="K2962" t="s">
        <v>64</v>
      </c>
      <c r="L2962">
        <v>3</v>
      </c>
      <c r="M2962" s="12">
        <v>120</v>
      </c>
      <c r="N2962" s="12">
        <v>81.599999999999994</v>
      </c>
      <c r="O2962">
        <v>12</v>
      </c>
      <c r="P2962" s="12">
        <v>316.8</v>
      </c>
      <c r="Q2962" s="12">
        <v>244.79999999999998</v>
      </c>
      <c r="R2962" s="12">
        <v>72.000000000000028</v>
      </c>
      <c r="S2962" t="s">
        <v>113</v>
      </c>
      <c r="T2962" t="s">
        <v>107</v>
      </c>
      <c r="U2962" t="s">
        <v>1205</v>
      </c>
    </row>
    <row r="2963" spans="1:21" x14ac:dyDescent="0.25">
      <c r="A2963" t="s">
        <v>5038</v>
      </c>
      <c r="B2963" s="8">
        <v>45781</v>
      </c>
      <c r="C2963" t="s">
        <v>2259</v>
      </c>
      <c r="D2963" t="s">
        <v>798</v>
      </c>
      <c r="E2963" t="s">
        <v>218</v>
      </c>
      <c r="F2963">
        <v>55</v>
      </c>
      <c r="G2963" t="s">
        <v>16</v>
      </c>
      <c r="H2963" t="s">
        <v>15</v>
      </c>
      <c r="I2963" t="s">
        <v>36</v>
      </c>
      <c r="J2963" t="s">
        <v>136</v>
      </c>
      <c r="K2963" t="s">
        <v>22</v>
      </c>
      <c r="L2963">
        <v>2</v>
      </c>
      <c r="M2963" s="12">
        <v>3590</v>
      </c>
      <c r="N2963" s="12">
        <v>2333.5</v>
      </c>
      <c r="O2963">
        <v>5</v>
      </c>
      <c r="P2963" s="12">
        <v>6821</v>
      </c>
      <c r="Q2963" s="12">
        <v>4667</v>
      </c>
      <c r="R2963" s="12">
        <v>2154</v>
      </c>
      <c r="S2963" t="s">
        <v>113</v>
      </c>
      <c r="T2963" t="s">
        <v>109</v>
      </c>
      <c r="U2963" t="s">
        <v>1201</v>
      </c>
    </row>
    <row r="2964" spans="1:21" x14ac:dyDescent="0.25">
      <c r="A2964" t="s">
        <v>5039</v>
      </c>
      <c r="B2964" s="8">
        <v>45711</v>
      </c>
      <c r="C2964" t="s">
        <v>2237</v>
      </c>
      <c r="D2964" t="s">
        <v>487</v>
      </c>
      <c r="E2964" t="s">
        <v>218</v>
      </c>
      <c r="F2964">
        <v>58</v>
      </c>
      <c r="G2964" t="s">
        <v>5</v>
      </c>
      <c r="H2964" t="s">
        <v>3</v>
      </c>
      <c r="I2964" t="s">
        <v>24</v>
      </c>
      <c r="J2964" t="s">
        <v>25</v>
      </c>
      <c r="K2964" t="s">
        <v>22</v>
      </c>
      <c r="L2964">
        <v>4</v>
      </c>
      <c r="M2964" s="12">
        <v>35800</v>
      </c>
      <c r="N2964" s="12">
        <v>28640</v>
      </c>
      <c r="O2964">
        <v>6</v>
      </c>
      <c r="P2964" s="12">
        <v>134608</v>
      </c>
      <c r="Q2964" s="12">
        <v>114560</v>
      </c>
      <c r="R2964" s="12">
        <v>20048</v>
      </c>
      <c r="S2964" t="s">
        <v>113</v>
      </c>
      <c r="T2964" t="s">
        <v>107</v>
      </c>
      <c r="U2964" t="s">
        <v>1194</v>
      </c>
    </row>
    <row r="2965" spans="1:21" x14ac:dyDescent="0.25">
      <c r="A2965" t="s">
        <v>5040</v>
      </c>
      <c r="B2965" s="8">
        <v>45951</v>
      </c>
      <c r="C2965" t="s">
        <v>3162</v>
      </c>
      <c r="D2965" t="s">
        <v>1144</v>
      </c>
      <c r="E2965" t="s">
        <v>198</v>
      </c>
      <c r="F2965">
        <v>45</v>
      </c>
      <c r="G2965" t="s">
        <v>290</v>
      </c>
      <c r="H2965" t="s">
        <v>3</v>
      </c>
      <c r="I2965" t="s">
        <v>45</v>
      </c>
      <c r="J2965" t="s">
        <v>46</v>
      </c>
      <c r="K2965" t="s">
        <v>43</v>
      </c>
      <c r="L2965">
        <v>5</v>
      </c>
      <c r="M2965" s="12">
        <v>11999</v>
      </c>
      <c r="N2965" s="12">
        <v>8999.25</v>
      </c>
      <c r="O2965">
        <v>10</v>
      </c>
      <c r="P2965" s="12">
        <v>53995.5</v>
      </c>
      <c r="Q2965" s="12">
        <v>44996.25</v>
      </c>
      <c r="R2965" s="12">
        <v>8999.25</v>
      </c>
      <c r="S2965" t="s">
        <v>113</v>
      </c>
      <c r="T2965" t="s">
        <v>108</v>
      </c>
      <c r="U2965" t="s">
        <v>1209</v>
      </c>
    </row>
    <row r="2966" spans="1:21" x14ac:dyDescent="0.25">
      <c r="A2966" t="s">
        <v>5041</v>
      </c>
      <c r="B2966" s="8">
        <v>45796</v>
      </c>
      <c r="C2966" t="s">
        <v>2390</v>
      </c>
      <c r="D2966" t="s">
        <v>994</v>
      </c>
      <c r="E2966" t="s">
        <v>218</v>
      </c>
      <c r="F2966">
        <v>26</v>
      </c>
      <c r="G2966" t="s">
        <v>2</v>
      </c>
      <c r="H2966" t="s">
        <v>3</v>
      </c>
      <c r="I2966" t="s">
        <v>32</v>
      </c>
      <c r="J2966" t="s">
        <v>29</v>
      </c>
      <c r="K2966" t="s">
        <v>22</v>
      </c>
      <c r="L2966">
        <v>5</v>
      </c>
      <c r="M2966" s="12">
        <v>9500</v>
      </c>
      <c r="N2966" s="12">
        <v>6650</v>
      </c>
      <c r="O2966">
        <v>7</v>
      </c>
      <c r="P2966" s="12">
        <v>44175</v>
      </c>
      <c r="Q2966" s="12">
        <v>33250</v>
      </c>
      <c r="R2966" s="12">
        <v>10925</v>
      </c>
      <c r="S2966" t="s">
        <v>113</v>
      </c>
      <c r="T2966" t="s">
        <v>109</v>
      </c>
      <c r="U2966" t="s">
        <v>1205</v>
      </c>
    </row>
    <row r="2967" spans="1:21" x14ac:dyDescent="0.25">
      <c r="A2967" t="s">
        <v>5042</v>
      </c>
      <c r="B2967" s="8">
        <v>45907</v>
      </c>
      <c r="C2967" t="s">
        <v>3961</v>
      </c>
      <c r="D2967" t="s">
        <v>1086</v>
      </c>
      <c r="E2967" t="s">
        <v>218</v>
      </c>
      <c r="F2967">
        <v>18</v>
      </c>
      <c r="G2967" t="s">
        <v>5</v>
      </c>
      <c r="H2967" t="s">
        <v>3</v>
      </c>
      <c r="I2967" t="s">
        <v>26</v>
      </c>
      <c r="J2967" t="s">
        <v>27</v>
      </c>
      <c r="K2967" t="s">
        <v>22</v>
      </c>
      <c r="L2967">
        <v>2</v>
      </c>
      <c r="M2967" s="12">
        <v>27499</v>
      </c>
      <c r="N2967" s="12">
        <v>23374.149999999998</v>
      </c>
      <c r="O2967">
        <v>5</v>
      </c>
      <c r="P2967" s="12">
        <v>52248.1</v>
      </c>
      <c r="Q2967" s="12">
        <v>46748.299999999996</v>
      </c>
      <c r="R2967" s="12">
        <v>5499.8000000000029</v>
      </c>
      <c r="S2967" t="s">
        <v>113</v>
      </c>
      <c r="T2967" t="s">
        <v>108</v>
      </c>
      <c r="U2967" t="s">
        <v>1203</v>
      </c>
    </row>
    <row r="2968" spans="1:21" x14ac:dyDescent="0.25">
      <c r="A2968" t="s">
        <v>5043</v>
      </c>
      <c r="B2968" s="8">
        <v>45996</v>
      </c>
      <c r="C2968" t="s">
        <v>1316</v>
      </c>
      <c r="D2968" t="s">
        <v>881</v>
      </c>
      <c r="E2968" t="s">
        <v>218</v>
      </c>
      <c r="F2968">
        <v>34</v>
      </c>
      <c r="G2968" t="s">
        <v>7</v>
      </c>
      <c r="H2968" t="s">
        <v>8</v>
      </c>
      <c r="I2968" t="s">
        <v>49</v>
      </c>
      <c r="J2968" t="s">
        <v>56</v>
      </c>
      <c r="K2968" t="s">
        <v>43</v>
      </c>
      <c r="L2968">
        <v>1</v>
      </c>
      <c r="M2968" s="12">
        <v>31999</v>
      </c>
      <c r="N2968" s="12">
        <v>25599.200000000001</v>
      </c>
      <c r="O2968">
        <v>12</v>
      </c>
      <c r="P2968" s="12">
        <v>28159.119999999999</v>
      </c>
      <c r="Q2968" s="12">
        <v>25599.200000000001</v>
      </c>
      <c r="R2968" s="12">
        <v>2559.9199999999983</v>
      </c>
      <c r="S2968" t="s">
        <v>1246</v>
      </c>
      <c r="T2968" t="s">
        <v>107</v>
      </c>
      <c r="U2968" t="s">
        <v>1211</v>
      </c>
    </row>
    <row r="2969" spans="1:21" x14ac:dyDescent="0.25">
      <c r="A2969" t="s">
        <v>5045</v>
      </c>
      <c r="B2969" s="8">
        <v>45669</v>
      </c>
      <c r="C2969" t="s">
        <v>3325</v>
      </c>
      <c r="D2969" t="s">
        <v>849</v>
      </c>
      <c r="E2969" t="s">
        <v>198</v>
      </c>
      <c r="F2969">
        <v>27</v>
      </c>
      <c r="G2969" t="s">
        <v>17</v>
      </c>
      <c r="H2969" t="s">
        <v>15</v>
      </c>
      <c r="I2969" t="s">
        <v>59</v>
      </c>
      <c r="J2969" t="s">
        <v>73</v>
      </c>
      <c r="K2969" t="s">
        <v>64</v>
      </c>
      <c r="L2969">
        <v>4</v>
      </c>
      <c r="M2969" s="12">
        <v>120</v>
      </c>
      <c r="N2969" s="12">
        <v>81.599999999999994</v>
      </c>
      <c r="O2969">
        <v>15</v>
      </c>
      <c r="P2969" s="12">
        <v>408</v>
      </c>
      <c r="Q2969" s="12">
        <v>326.39999999999998</v>
      </c>
      <c r="R2969" s="12">
        <v>81.600000000000023</v>
      </c>
      <c r="S2969" t="s">
        <v>113</v>
      </c>
      <c r="T2969" t="s">
        <v>111</v>
      </c>
      <c r="U2969" t="s">
        <v>1209</v>
      </c>
    </row>
    <row r="2970" spans="1:21" x14ac:dyDescent="0.25">
      <c r="A2970" t="s">
        <v>5046</v>
      </c>
      <c r="B2970" s="8">
        <v>45758</v>
      </c>
      <c r="C2970" t="s">
        <v>3710</v>
      </c>
      <c r="D2970" t="s">
        <v>901</v>
      </c>
      <c r="E2970" t="s">
        <v>218</v>
      </c>
      <c r="F2970">
        <v>59</v>
      </c>
      <c r="G2970" t="s">
        <v>289</v>
      </c>
      <c r="H2970" t="s">
        <v>3</v>
      </c>
      <c r="I2970" t="s">
        <v>28</v>
      </c>
      <c r="J2970" t="s">
        <v>35</v>
      </c>
      <c r="K2970" t="s">
        <v>22</v>
      </c>
      <c r="L2970">
        <v>4</v>
      </c>
      <c r="M2970" s="12">
        <v>16499</v>
      </c>
      <c r="N2970" s="12">
        <v>14519.12</v>
      </c>
      <c r="O2970">
        <v>7</v>
      </c>
      <c r="P2970" s="12">
        <v>61376.28</v>
      </c>
      <c r="Q2970" s="12">
        <v>58076.480000000003</v>
      </c>
      <c r="R2970" s="12">
        <v>3299.7999999999956</v>
      </c>
      <c r="S2970" t="s">
        <v>113</v>
      </c>
      <c r="T2970" t="s">
        <v>109</v>
      </c>
      <c r="U2970" t="s">
        <v>1199</v>
      </c>
    </row>
    <row r="2971" spans="1:21" x14ac:dyDescent="0.25">
      <c r="A2971" t="s">
        <v>5047</v>
      </c>
      <c r="B2971" s="8">
        <v>46009</v>
      </c>
      <c r="C2971" t="s">
        <v>1659</v>
      </c>
      <c r="D2971" t="s">
        <v>847</v>
      </c>
      <c r="E2971" t="s">
        <v>198</v>
      </c>
      <c r="F2971">
        <v>52</v>
      </c>
      <c r="G2971" t="s">
        <v>2</v>
      </c>
      <c r="H2971" t="s">
        <v>3</v>
      </c>
      <c r="I2971" t="s">
        <v>59</v>
      </c>
      <c r="J2971" t="s">
        <v>73</v>
      </c>
      <c r="K2971" t="s">
        <v>64</v>
      </c>
      <c r="L2971">
        <v>4</v>
      </c>
      <c r="M2971" s="12">
        <v>120</v>
      </c>
      <c r="N2971" s="12">
        <v>81.599999999999994</v>
      </c>
      <c r="O2971">
        <v>8</v>
      </c>
      <c r="P2971" s="12">
        <v>441.6</v>
      </c>
      <c r="Q2971" s="12">
        <v>326.39999999999998</v>
      </c>
      <c r="R2971" s="12">
        <v>115.20000000000005</v>
      </c>
      <c r="S2971" t="s">
        <v>1246</v>
      </c>
      <c r="T2971" t="s">
        <v>107</v>
      </c>
      <c r="U2971" t="s">
        <v>1198</v>
      </c>
    </row>
    <row r="2972" spans="1:21" x14ac:dyDescent="0.25">
      <c r="A2972" t="s">
        <v>5048</v>
      </c>
      <c r="B2972" s="8">
        <v>45759</v>
      </c>
      <c r="C2972" t="s">
        <v>4168</v>
      </c>
      <c r="D2972" t="s">
        <v>725</v>
      </c>
      <c r="E2972" t="s">
        <v>198</v>
      </c>
      <c r="F2972">
        <v>51</v>
      </c>
      <c r="G2972" t="s">
        <v>11</v>
      </c>
      <c r="H2972" t="s">
        <v>12</v>
      </c>
      <c r="I2972" t="s">
        <v>36</v>
      </c>
      <c r="J2972" t="s">
        <v>136</v>
      </c>
      <c r="K2972" t="s">
        <v>22</v>
      </c>
      <c r="L2972">
        <v>2</v>
      </c>
      <c r="M2972" s="12">
        <v>3590</v>
      </c>
      <c r="N2972" s="12">
        <v>2333.5</v>
      </c>
      <c r="O2972">
        <v>6</v>
      </c>
      <c r="P2972" s="12">
        <v>6749.2</v>
      </c>
      <c r="Q2972" s="12">
        <v>4667</v>
      </c>
      <c r="R2972" s="12">
        <v>2082.1999999999998</v>
      </c>
      <c r="S2972" t="s">
        <v>1249</v>
      </c>
      <c r="T2972" t="s">
        <v>109</v>
      </c>
      <c r="U2972" t="s">
        <v>1207</v>
      </c>
    </row>
    <row r="2973" spans="1:21" x14ac:dyDescent="0.25">
      <c r="A2973" t="s">
        <v>5049</v>
      </c>
      <c r="B2973" s="8">
        <v>45918</v>
      </c>
      <c r="C2973" t="s">
        <v>1839</v>
      </c>
      <c r="D2973" t="s">
        <v>630</v>
      </c>
      <c r="E2973" t="s">
        <v>218</v>
      </c>
      <c r="F2973">
        <v>30</v>
      </c>
      <c r="G2973" t="s">
        <v>11</v>
      </c>
      <c r="H2973" t="s">
        <v>12</v>
      </c>
      <c r="I2973" t="s">
        <v>57</v>
      </c>
      <c r="J2973" t="s">
        <v>67</v>
      </c>
      <c r="K2973" t="s">
        <v>64</v>
      </c>
      <c r="L2973">
        <v>5</v>
      </c>
      <c r="M2973" s="12">
        <v>150</v>
      </c>
      <c r="N2973" s="12">
        <v>97.5</v>
      </c>
      <c r="O2973">
        <v>4</v>
      </c>
      <c r="P2973" s="12">
        <v>720</v>
      </c>
      <c r="Q2973" s="12">
        <v>487.5</v>
      </c>
      <c r="R2973" s="12">
        <v>232.5</v>
      </c>
      <c r="S2973" t="s">
        <v>113</v>
      </c>
      <c r="T2973" t="s">
        <v>109</v>
      </c>
      <c r="U2973" t="s">
        <v>1205</v>
      </c>
    </row>
    <row r="2974" spans="1:21" x14ac:dyDescent="0.25">
      <c r="A2974" t="s">
        <v>5050</v>
      </c>
      <c r="B2974" s="8">
        <v>45710</v>
      </c>
      <c r="C2974" t="s">
        <v>3033</v>
      </c>
      <c r="D2974" t="s">
        <v>1036</v>
      </c>
      <c r="E2974" t="s">
        <v>218</v>
      </c>
      <c r="F2974">
        <v>60</v>
      </c>
      <c r="G2974" t="s">
        <v>2</v>
      </c>
      <c r="H2974" t="s">
        <v>3</v>
      </c>
      <c r="I2974" t="s">
        <v>26</v>
      </c>
      <c r="J2974" t="s">
        <v>27</v>
      </c>
      <c r="K2974" t="s">
        <v>22</v>
      </c>
      <c r="L2974">
        <v>4</v>
      </c>
      <c r="M2974" s="12">
        <v>27499</v>
      </c>
      <c r="N2974" s="12">
        <v>23374.149999999998</v>
      </c>
      <c r="O2974">
        <v>4</v>
      </c>
      <c r="P2974" s="12">
        <v>105596.15999999999</v>
      </c>
      <c r="Q2974" s="12">
        <v>93496.599999999991</v>
      </c>
      <c r="R2974" s="12">
        <v>12099.559999999998</v>
      </c>
      <c r="S2974" t="s">
        <v>1246</v>
      </c>
      <c r="T2974" t="s">
        <v>107</v>
      </c>
      <c r="U2974" t="s">
        <v>1207</v>
      </c>
    </row>
    <row r="2975" spans="1:21" x14ac:dyDescent="0.25">
      <c r="A2975" t="s">
        <v>5051</v>
      </c>
      <c r="B2975" s="8">
        <v>45943</v>
      </c>
      <c r="C2975" t="s">
        <v>2082</v>
      </c>
      <c r="D2975" t="s">
        <v>708</v>
      </c>
      <c r="E2975" t="s">
        <v>198</v>
      </c>
      <c r="F2975">
        <v>43</v>
      </c>
      <c r="G2975" t="s">
        <v>10</v>
      </c>
      <c r="H2975" t="s">
        <v>8</v>
      </c>
      <c r="I2975" t="s">
        <v>49</v>
      </c>
      <c r="J2975" t="s">
        <v>56</v>
      </c>
      <c r="K2975" t="s">
        <v>43</v>
      </c>
      <c r="L2975">
        <v>2</v>
      </c>
      <c r="M2975" s="12">
        <v>31999</v>
      </c>
      <c r="N2975" s="12">
        <v>25599.200000000001</v>
      </c>
      <c r="O2975">
        <v>8</v>
      </c>
      <c r="P2975" s="12">
        <v>58878.16</v>
      </c>
      <c r="Q2975" s="12">
        <v>51198.400000000001</v>
      </c>
      <c r="R2975" s="12">
        <v>7679.760000000002</v>
      </c>
      <c r="S2975" t="s">
        <v>113</v>
      </c>
      <c r="T2975" t="s">
        <v>111</v>
      </c>
      <c r="U2975" t="s">
        <v>1211</v>
      </c>
    </row>
    <row r="2976" spans="1:21" x14ac:dyDescent="0.25">
      <c r="A2976" t="s">
        <v>5052</v>
      </c>
      <c r="B2976" s="8">
        <v>45892</v>
      </c>
      <c r="C2976" t="s">
        <v>5105</v>
      </c>
      <c r="D2976" t="s">
        <v>885</v>
      </c>
      <c r="E2976" t="s">
        <v>218</v>
      </c>
      <c r="F2976">
        <v>56</v>
      </c>
      <c r="G2976" t="s">
        <v>290</v>
      </c>
      <c r="H2976" t="s">
        <v>3</v>
      </c>
      <c r="I2976" t="s">
        <v>45</v>
      </c>
      <c r="J2976" t="s">
        <v>46</v>
      </c>
      <c r="K2976" t="s">
        <v>43</v>
      </c>
      <c r="L2976">
        <v>1</v>
      </c>
      <c r="M2976" s="12">
        <v>11999</v>
      </c>
      <c r="N2976" s="12">
        <v>8999.25</v>
      </c>
      <c r="O2976">
        <v>8</v>
      </c>
      <c r="P2976" s="12">
        <v>11039.08</v>
      </c>
      <c r="Q2976" s="12">
        <v>8999.25</v>
      </c>
      <c r="R2976" s="12">
        <v>2039.83</v>
      </c>
      <c r="S2976" t="s">
        <v>113</v>
      </c>
      <c r="T2976" t="s">
        <v>110</v>
      </c>
      <c r="U2976" t="s">
        <v>1201</v>
      </c>
    </row>
    <row r="2977" spans="1:21" x14ac:dyDescent="0.25">
      <c r="A2977" t="s">
        <v>5053</v>
      </c>
      <c r="B2977" s="8">
        <v>45687</v>
      </c>
      <c r="C2977" t="s">
        <v>1248</v>
      </c>
      <c r="D2977" t="s">
        <v>540</v>
      </c>
      <c r="E2977" t="s">
        <v>218</v>
      </c>
      <c r="F2977">
        <v>18</v>
      </c>
      <c r="G2977" t="s">
        <v>16</v>
      </c>
      <c r="H2977" t="s">
        <v>15</v>
      </c>
      <c r="I2977" t="s">
        <v>28</v>
      </c>
      <c r="J2977" t="s">
        <v>35</v>
      </c>
      <c r="K2977" t="s">
        <v>22</v>
      </c>
      <c r="L2977">
        <v>2</v>
      </c>
      <c r="M2977" s="12">
        <v>16499</v>
      </c>
      <c r="N2977" s="12">
        <v>14519.12</v>
      </c>
      <c r="O2977">
        <v>10</v>
      </c>
      <c r="P2977" s="12">
        <v>29698.2</v>
      </c>
      <c r="Q2977" s="12">
        <v>29038.240000000002</v>
      </c>
      <c r="R2977" s="12">
        <v>659.95999999999913</v>
      </c>
      <c r="S2977" t="s">
        <v>113</v>
      </c>
      <c r="T2977" t="s">
        <v>107</v>
      </c>
      <c r="U2977" t="s">
        <v>1211</v>
      </c>
    </row>
    <row r="2978" spans="1:21" x14ac:dyDescent="0.25">
      <c r="A2978" t="s">
        <v>5054</v>
      </c>
      <c r="B2978" s="8">
        <v>45791</v>
      </c>
      <c r="C2978" t="s">
        <v>3643</v>
      </c>
      <c r="D2978" t="s">
        <v>632</v>
      </c>
      <c r="E2978" t="s">
        <v>198</v>
      </c>
      <c r="F2978">
        <v>36</v>
      </c>
      <c r="G2978" t="s">
        <v>289</v>
      </c>
      <c r="H2978" t="s">
        <v>3</v>
      </c>
      <c r="I2978" t="s">
        <v>49</v>
      </c>
      <c r="J2978" t="s">
        <v>56</v>
      </c>
      <c r="K2978" t="s">
        <v>43</v>
      </c>
      <c r="L2978">
        <v>5</v>
      </c>
      <c r="M2978" s="12">
        <v>31999</v>
      </c>
      <c r="N2978" s="12">
        <v>25599.200000000001</v>
      </c>
      <c r="O2978">
        <v>3</v>
      </c>
      <c r="P2978" s="12">
        <v>155195.15</v>
      </c>
      <c r="Q2978" s="12">
        <v>127996</v>
      </c>
      <c r="R2978" s="12">
        <v>27199.149999999994</v>
      </c>
      <c r="S2978" t="s">
        <v>1249</v>
      </c>
      <c r="T2978" t="s">
        <v>111</v>
      </c>
      <c r="U2978" t="s">
        <v>1203</v>
      </c>
    </row>
    <row r="2979" spans="1:21" x14ac:dyDescent="0.25">
      <c r="A2979" t="s">
        <v>5055</v>
      </c>
      <c r="B2979" s="8">
        <v>45699</v>
      </c>
      <c r="C2979" t="s">
        <v>1557</v>
      </c>
      <c r="D2979" t="s">
        <v>889</v>
      </c>
      <c r="E2979" t="s">
        <v>218</v>
      </c>
      <c r="F2979">
        <v>31</v>
      </c>
      <c r="G2979" t="s">
        <v>9</v>
      </c>
      <c r="H2979" t="s">
        <v>8</v>
      </c>
      <c r="I2979" t="s">
        <v>45</v>
      </c>
      <c r="J2979" t="s">
        <v>46</v>
      </c>
      <c r="K2979" t="s">
        <v>43</v>
      </c>
      <c r="L2979">
        <v>2</v>
      </c>
      <c r="M2979" s="12">
        <v>11999</v>
      </c>
      <c r="N2979" s="12">
        <v>8999.25</v>
      </c>
      <c r="O2979">
        <v>8</v>
      </c>
      <c r="P2979" s="12">
        <v>22078.16</v>
      </c>
      <c r="Q2979" s="12">
        <v>17998.5</v>
      </c>
      <c r="R2979" s="12">
        <v>4079.66</v>
      </c>
      <c r="S2979" t="s">
        <v>1246</v>
      </c>
      <c r="T2979" t="s">
        <v>107</v>
      </c>
      <c r="U2979" t="s">
        <v>1205</v>
      </c>
    </row>
    <row r="2980" spans="1:21" x14ac:dyDescent="0.25">
      <c r="A2980" t="s">
        <v>5056</v>
      </c>
      <c r="B2980" s="8">
        <v>45712</v>
      </c>
      <c r="C2980" t="s">
        <v>1546</v>
      </c>
      <c r="D2980" t="s">
        <v>975</v>
      </c>
      <c r="E2980" t="s">
        <v>198</v>
      </c>
      <c r="F2980">
        <v>25</v>
      </c>
      <c r="G2980" t="s">
        <v>7</v>
      </c>
      <c r="H2980" t="s">
        <v>8</v>
      </c>
      <c r="I2980" t="s">
        <v>51</v>
      </c>
      <c r="J2980" t="s">
        <v>54</v>
      </c>
      <c r="K2980" t="s">
        <v>43</v>
      </c>
      <c r="L2980">
        <v>4</v>
      </c>
      <c r="M2980" s="12">
        <v>27499</v>
      </c>
      <c r="N2980" s="12">
        <v>21724.210000000003</v>
      </c>
      <c r="O2980">
        <v>9</v>
      </c>
      <c r="P2980" s="12">
        <v>100096.36</v>
      </c>
      <c r="Q2980" s="12">
        <v>86896.840000000011</v>
      </c>
      <c r="R2980" s="12">
        <v>13199.51999999999</v>
      </c>
      <c r="S2980" t="s">
        <v>113</v>
      </c>
      <c r="T2980" t="s">
        <v>111</v>
      </c>
      <c r="U2980" t="s">
        <v>1209</v>
      </c>
    </row>
    <row r="2981" spans="1:21" x14ac:dyDescent="0.25">
      <c r="A2981" t="s">
        <v>5057</v>
      </c>
      <c r="B2981" s="8">
        <v>46021</v>
      </c>
      <c r="C2981" t="s">
        <v>1605</v>
      </c>
      <c r="D2981" t="s">
        <v>375</v>
      </c>
      <c r="E2981" t="s">
        <v>198</v>
      </c>
      <c r="F2981">
        <v>38</v>
      </c>
      <c r="G2981" t="s">
        <v>290</v>
      </c>
      <c r="H2981" t="s">
        <v>3</v>
      </c>
      <c r="I2981" t="s">
        <v>55</v>
      </c>
      <c r="J2981" t="s">
        <v>65</v>
      </c>
      <c r="K2981" t="s">
        <v>64</v>
      </c>
      <c r="L2981">
        <v>2</v>
      </c>
      <c r="M2981" s="12">
        <v>80</v>
      </c>
      <c r="N2981" s="12">
        <v>56</v>
      </c>
      <c r="O2981">
        <v>5</v>
      </c>
      <c r="P2981" s="12">
        <v>152</v>
      </c>
      <c r="Q2981" s="12">
        <v>112</v>
      </c>
      <c r="R2981" s="12">
        <v>40</v>
      </c>
      <c r="S2981" t="s">
        <v>113</v>
      </c>
      <c r="T2981" t="s">
        <v>107</v>
      </c>
      <c r="U2981" t="s">
        <v>1201</v>
      </c>
    </row>
    <row r="2982" spans="1:21" x14ac:dyDescent="0.25">
      <c r="A2982" t="s">
        <v>5058</v>
      </c>
      <c r="B2982" s="8">
        <v>45961</v>
      </c>
      <c r="C2982" t="s">
        <v>3423</v>
      </c>
      <c r="D2982" t="s">
        <v>866</v>
      </c>
      <c r="E2982" t="s">
        <v>218</v>
      </c>
      <c r="F2982">
        <v>56</v>
      </c>
      <c r="G2982" t="s">
        <v>5</v>
      </c>
      <c r="H2982" t="s">
        <v>3</v>
      </c>
      <c r="I2982" t="s">
        <v>63</v>
      </c>
      <c r="J2982" t="s">
        <v>77</v>
      </c>
      <c r="K2982" t="s">
        <v>64</v>
      </c>
      <c r="L2982">
        <v>3</v>
      </c>
      <c r="M2982" s="12">
        <v>650</v>
      </c>
      <c r="N2982" s="12">
        <v>468</v>
      </c>
      <c r="O2982">
        <v>2</v>
      </c>
      <c r="P2982" s="12">
        <v>1911</v>
      </c>
      <c r="Q2982" s="12">
        <v>1404</v>
      </c>
      <c r="R2982" s="12">
        <v>507</v>
      </c>
      <c r="S2982" t="s">
        <v>1246</v>
      </c>
      <c r="T2982" t="s">
        <v>108</v>
      </c>
      <c r="U2982" t="s">
        <v>1199</v>
      </c>
    </row>
    <row r="2983" spans="1:21" x14ac:dyDescent="0.25">
      <c r="A2983" t="s">
        <v>5059</v>
      </c>
      <c r="B2983" s="8">
        <v>45855</v>
      </c>
      <c r="C2983" t="s">
        <v>1442</v>
      </c>
      <c r="D2983" t="s">
        <v>883</v>
      </c>
      <c r="E2983" t="s">
        <v>218</v>
      </c>
      <c r="F2983">
        <v>54</v>
      </c>
      <c r="G2983" t="s">
        <v>14</v>
      </c>
      <c r="H2983" t="s">
        <v>15</v>
      </c>
      <c r="I2983" t="s">
        <v>34</v>
      </c>
      <c r="J2983" t="s">
        <v>137</v>
      </c>
      <c r="K2983" t="s">
        <v>22</v>
      </c>
      <c r="L2983">
        <v>5</v>
      </c>
      <c r="M2983" s="12">
        <v>6900</v>
      </c>
      <c r="N2983" s="12">
        <v>5727</v>
      </c>
      <c r="O2983">
        <v>8</v>
      </c>
      <c r="P2983" s="12">
        <v>31740</v>
      </c>
      <c r="Q2983" s="12">
        <v>28635</v>
      </c>
      <c r="R2983" s="12">
        <v>3105</v>
      </c>
      <c r="S2983" t="s">
        <v>113</v>
      </c>
      <c r="T2983" t="s">
        <v>107</v>
      </c>
      <c r="U2983" t="s">
        <v>1199</v>
      </c>
    </row>
    <row r="2984" spans="1:21" x14ac:dyDescent="0.25">
      <c r="A2984" t="s">
        <v>5060</v>
      </c>
      <c r="B2984" s="8">
        <v>45827</v>
      </c>
      <c r="C2984" t="s">
        <v>1981</v>
      </c>
      <c r="D2984" t="s">
        <v>1137</v>
      </c>
      <c r="E2984" t="s">
        <v>218</v>
      </c>
      <c r="F2984">
        <v>36</v>
      </c>
      <c r="G2984" t="s">
        <v>5</v>
      </c>
      <c r="H2984" t="s">
        <v>3</v>
      </c>
      <c r="I2984" t="s">
        <v>47</v>
      </c>
      <c r="J2984" t="s">
        <v>52</v>
      </c>
      <c r="K2984" t="s">
        <v>43</v>
      </c>
      <c r="L2984">
        <v>4</v>
      </c>
      <c r="M2984" s="12">
        <v>42999</v>
      </c>
      <c r="N2984" s="12">
        <v>33539.22</v>
      </c>
      <c r="O2984">
        <v>3</v>
      </c>
      <c r="P2984" s="12">
        <v>166836.12</v>
      </c>
      <c r="Q2984" s="12">
        <v>134156.88</v>
      </c>
      <c r="R2984" s="12">
        <v>32679.239999999991</v>
      </c>
      <c r="S2984" t="s">
        <v>113</v>
      </c>
      <c r="T2984" t="s">
        <v>109</v>
      </c>
      <c r="U2984" t="s">
        <v>1201</v>
      </c>
    </row>
    <row r="2985" spans="1:21" x14ac:dyDescent="0.25">
      <c r="A2985" t="s">
        <v>5061</v>
      </c>
      <c r="B2985" s="8">
        <v>45944</v>
      </c>
      <c r="C2985" t="s">
        <v>1553</v>
      </c>
      <c r="D2985" t="s">
        <v>580</v>
      </c>
      <c r="E2985" t="s">
        <v>198</v>
      </c>
      <c r="F2985">
        <v>52</v>
      </c>
      <c r="G2985" t="s">
        <v>14</v>
      </c>
      <c r="H2985" t="s">
        <v>15</v>
      </c>
      <c r="I2985" t="s">
        <v>42</v>
      </c>
      <c r="J2985" t="s">
        <v>44</v>
      </c>
      <c r="K2985" t="s">
        <v>43</v>
      </c>
      <c r="L2985">
        <v>3</v>
      </c>
      <c r="M2985" s="12">
        <v>8999</v>
      </c>
      <c r="N2985" s="12">
        <v>6479.28</v>
      </c>
      <c r="O2985">
        <v>8</v>
      </c>
      <c r="P2985" s="12">
        <v>24837.24</v>
      </c>
      <c r="Q2985" s="12">
        <v>19437.84</v>
      </c>
      <c r="R2985" s="12">
        <v>5399.4000000000015</v>
      </c>
      <c r="S2985" t="s">
        <v>113</v>
      </c>
      <c r="T2985" t="s">
        <v>107</v>
      </c>
      <c r="U2985" t="s">
        <v>1205</v>
      </c>
    </row>
    <row r="2986" spans="1:21" x14ac:dyDescent="0.25">
      <c r="A2986" t="s">
        <v>5062</v>
      </c>
      <c r="B2986" s="8">
        <v>45768</v>
      </c>
      <c r="C2986" t="s">
        <v>1494</v>
      </c>
      <c r="D2986" t="s">
        <v>930</v>
      </c>
      <c r="E2986" t="s">
        <v>198</v>
      </c>
      <c r="F2986">
        <v>54</v>
      </c>
      <c r="G2986" t="s">
        <v>289</v>
      </c>
      <c r="H2986" t="s">
        <v>3</v>
      </c>
      <c r="I2986" t="s">
        <v>53</v>
      </c>
      <c r="J2986" t="s">
        <v>48</v>
      </c>
      <c r="K2986" t="s">
        <v>43</v>
      </c>
      <c r="L2986">
        <v>3</v>
      </c>
      <c r="M2986" s="12">
        <v>6499</v>
      </c>
      <c r="N2986" s="12">
        <v>4549.2999999999993</v>
      </c>
      <c r="O2986">
        <v>8</v>
      </c>
      <c r="P2986" s="12">
        <v>17937.240000000002</v>
      </c>
      <c r="Q2986" s="12">
        <v>13647.899999999998</v>
      </c>
      <c r="R2986" s="12">
        <v>4289.3400000000038</v>
      </c>
      <c r="S2986" t="s">
        <v>113</v>
      </c>
      <c r="T2986" t="s">
        <v>108</v>
      </c>
      <c r="U2986" t="s">
        <v>1198</v>
      </c>
    </row>
    <row r="2987" spans="1:21" x14ac:dyDescent="0.25">
      <c r="A2987" t="s">
        <v>5063</v>
      </c>
      <c r="B2987" s="8">
        <v>45727</v>
      </c>
      <c r="C2987" t="s">
        <v>3701</v>
      </c>
      <c r="D2987" t="s">
        <v>372</v>
      </c>
      <c r="E2987" t="s">
        <v>218</v>
      </c>
      <c r="F2987">
        <v>28</v>
      </c>
      <c r="G2987" t="s">
        <v>289</v>
      </c>
      <c r="H2987" t="s">
        <v>3</v>
      </c>
      <c r="I2987" t="s">
        <v>51</v>
      </c>
      <c r="J2987" t="s">
        <v>54</v>
      </c>
      <c r="K2987" t="s">
        <v>43</v>
      </c>
      <c r="L2987">
        <v>5</v>
      </c>
      <c r="M2987" s="12">
        <v>27499</v>
      </c>
      <c r="N2987" s="12">
        <v>21724.210000000003</v>
      </c>
      <c r="O2987">
        <v>10</v>
      </c>
      <c r="P2987" s="12">
        <v>123745.5</v>
      </c>
      <c r="Q2987" s="12">
        <v>108621.05000000002</v>
      </c>
      <c r="R2987" s="12">
        <v>15124.449999999983</v>
      </c>
      <c r="S2987" t="s">
        <v>1246</v>
      </c>
      <c r="T2987" t="s">
        <v>108</v>
      </c>
      <c r="U2987" t="s">
        <v>1211</v>
      </c>
    </row>
    <row r="2988" spans="1:21" x14ac:dyDescent="0.25">
      <c r="A2988" t="s">
        <v>5064</v>
      </c>
      <c r="B2988" s="8">
        <v>45695</v>
      </c>
      <c r="C2988" t="s">
        <v>2548</v>
      </c>
      <c r="D2988" t="s">
        <v>734</v>
      </c>
      <c r="E2988" t="s">
        <v>218</v>
      </c>
      <c r="F2988">
        <v>38</v>
      </c>
      <c r="G2988" t="s">
        <v>16</v>
      </c>
      <c r="H2988" t="s">
        <v>15</v>
      </c>
      <c r="I2988" t="s">
        <v>34</v>
      </c>
      <c r="J2988" t="s">
        <v>137</v>
      </c>
      <c r="K2988" t="s">
        <v>22</v>
      </c>
      <c r="L2988">
        <v>3</v>
      </c>
      <c r="M2988" s="12">
        <v>6900</v>
      </c>
      <c r="N2988" s="12">
        <v>5727</v>
      </c>
      <c r="O2988">
        <v>4</v>
      </c>
      <c r="P2988" s="12">
        <v>19872</v>
      </c>
      <c r="Q2988" s="12">
        <v>17181</v>
      </c>
      <c r="R2988" s="12">
        <v>2691</v>
      </c>
      <c r="S2988" t="s">
        <v>1249</v>
      </c>
      <c r="T2988" t="s">
        <v>107</v>
      </c>
      <c r="U2988" t="s">
        <v>1211</v>
      </c>
    </row>
    <row r="2989" spans="1:21" x14ac:dyDescent="0.25">
      <c r="A2989" t="s">
        <v>5065</v>
      </c>
      <c r="B2989" s="8">
        <v>45915</v>
      </c>
      <c r="C2989" t="s">
        <v>2349</v>
      </c>
      <c r="D2989" t="s">
        <v>626</v>
      </c>
      <c r="E2989" t="s">
        <v>198</v>
      </c>
      <c r="F2989">
        <v>40</v>
      </c>
      <c r="G2989" t="s">
        <v>290</v>
      </c>
      <c r="H2989" t="s">
        <v>3</v>
      </c>
      <c r="I2989" t="s">
        <v>40</v>
      </c>
      <c r="J2989" t="s">
        <v>39</v>
      </c>
      <c r="K2989" t="s">
        <v>22</v>
      </c>
      <c r="L2989">
        <v>4</v>
      </c>
      <c r="M2989" s="12">
        <v>1100</v>
      </c>
      <c r="N2989" s="12">
        <v>715</v>
      </c>
      <c r="O2989">
        <v>6</v>
      </c>
      <c r="P2989" s="12">
        <v>4136</v>
      </c>
      <c r="Q2989" s="12">
        <v>2860</v>
      </c>
      <c r="R2989" s="12">
        <v>1276</v>
      </c>
      <c r="S2989" t="s">
        <v>1246</v>
      </c>
      <c r="T2989" t="s">
        <v>108</v>
      </c>
      <c r="U2989" t="s">
        <v>1201</v>
      </c>
    </row>
    <row r="2990" spans="1:21" x14ac:dyDescent="0.25">
      <c r="A2990" t="s">
        <v>5066</v>
      </c>
      <c r="B2990" s="8">
        <v>45833</v>
      </c>
      <c r="C2990" t="s">
        <v>2935</v>
      </c>
      <c r="D2990" t="s">
        <v>1026</v>
      </c>
      <c r="E2990" t="s">
        <v>198</v>
      </c>
      <c r="F2990">
        <v>48</v>
      </c>
      <c r="G2990" t="s">
        <v>4</v>
      </c>
      <c r="H2990" t="s">
        <v>3</v>
      </c>
      <c r="I2990" t="s">
        <v>32</v>
      </c>
      <c r="J2990" t="s">
        <v>29</v>
      </c>
      <c r="K2990" t="s">
        <v>22</v>
      </c>
      <c r="L2990">
        <v>4</v>
      </c>
      <c r="M2990" s="12">
        <v>9500</v>
      </c>
      <c r="N2990" s="12">
        <v>6650</v>
      </c>
      <c r="O2990">
        <v>5</v>
      </c>
      <c r="P2990" s="12">
        <v>36100</v>
      </c>
      <c r="Q2990" s="12">
        <v>26600</v>
      </c>
      <c r="R2990" s="12">
        <v>9500</v>
      </c>
      <c r="S2990" t="s">
        <v>1246</v>
      </c>
      <c r="T2990" t="s">
        <v>109</v>
      </c>
      <c r="U2990" t="s">
        <v>1196</v>
      </c>
    </row>
    <row r="2991" spans="1:21" x14ac:dyDescent="0.25">
      <c r="A2991" t="s">
        <v>5067</v>
      </c>
      <c r="B2991" s="8">
        <v>45955</v>
      </c>
      <c r="C2991" t="s">
        <v>1654</v>
      </c>
      <c r="D2991" t="s">
        <v>713</v>
      </c>
      <c r="E2991" t="s">
        <v>218</v>
      </c>
      <c r="F2991">
        <v>26</v>
      </c>
      <c r="G2991" t="s">
        <v>7</v>
      </c>
      <c r="H2991" t="s">
        <v>8</v>
      </c>
      <c r="I2991" t="s">
        <v>47</v>
      </c>
      <c r="J2991" t="s">
        <v>52</v>
      </c>
      <c r="K2991" t="s">
        <v>43</v>
      </c>
      <c r="L2991">
        <v>5</v>
      </c>
      <c r="M2991" s="12">
        <v>42999</v>
      </c>
      <c r="N2991" s="12">
        <v>33539.22</v>
      </c>
      <c r="O2991">
        <v>9</v>
      </c>
      <c r="P2991" s="12">
        <v>195645.45</v>
      </c>
      <c r="Q2991" s="12">
        <v>167696.1</v>
      </c>
      <c r="R2991" s="12">
        <v>27949.350000000006</v>
      </c>
      <c r="S2991" t="s">
        <v>113</v>
      </c>
      <c r="T2991" t="s">
        <v>107</v>
      </c>
      <c r="U2991" t="s">
        <v>1209</v>
      </c>
    </row>
    <row r="2992" spans="1:21" x14ac:dyDescent="0.25">
      <c r="A2992" t="s">
        <v>5068</v>
      </c>
      <c r="B2992" s="8">
        <v>45776</v>
      </c>
      <c r="C2992" t="s">
        <v>2036</v>
      </c>
      <c r="D2992" t="s">
        <v>1077</v>
      </c>
      <c r="E2992" t="s">
        <v>218</v>
      </c>
      <c r="F2992">
        <v>32</v>
      </c>
      <c r="G2992" t="s">
        <v>16</v>
      </c>
      <c r="H2992" t="s">
        <v>15</v>
      </c>
      <c r="I2992" t="s">
        <v>49</v>
      </c>
      <c r="J2992" t="s">
        <v>56</v>
      </c>
      <c r="K2992" t="s">
        <v>43</v>
      </c>
      <c r="L2992">
        <v>2</v>
      </c>
      <c r="M2992" s="12">
        <v>31999</v>
      </c>
      <c r="N2992" s="12">
        <v>25599.200000000001</v>
      </c>
      <c r="O2992">
        <v>7</v>
      </c>
      <c r="P2992" s="12">
        <v>59518.14</v>
      </c>
      <c r="Q2992" s="12">
        <v>51198.400000000001</v>
      </c>
      <c r="R2992" s="12">
        <v>8319.739999999998</v>
      </c>
      <c r="S2992" t="s">
        <v>1246</v>
      </c>
      <c r="T2992" t="s">
        <v>107</v>
      </c>
      <c r="U2992" t="s">
        <v>1198</v>
      </c>
    </row>
    <row r="2993" spans="1:21" x14ac:dyDescent="0.25">
      <c r="A2993" t="s">
        <v>5069</v>
      </c>
      <c r="B2993" s="8">
        <v>45733</v>
      </c>
      <c r="C2993" t="s">
        <v>2265</v>
      </c>
      <c r="D2993" t="s">
        <v>878</v>
      </c>
      <c r="E2993" t="s">
        <v>218</v>
      </c>
      <c r="F2993">
        <v>34</v>
      </c>
      <c r="G2993" t="s">
        <v>17</v>
      </c>
      <c r="H2993" t="s">
        <v>15</v>
      </c>
      <c r="I2993" t="s">
        <v>51</v>
      </c>
      <c r="J2993" t="s">
        <v>54</v>
      </c>
      <c r="K2993" t="s">
        <v>43</v>
      </c>
      <c r="L2993">
        <v>2</v>
      </c>
      <c r="M2993" s="12">
        <v>27499</v>
      </c>
      <c r="N2993" s="12">
        <v>21724.210000000003</v>
      </c>
      <c r="O2993">
        <v>5</v>
      </c>
      <c r="P2993" s="12">
        <v>52248.1</v>
      </c>
      <c r="Q2993" s="12">
        <v>43448.420000000006</v>
      </c>
      <c r="R2993" s="12">
        <v>8799.679999999993</v>
      </c>
      <c r="S2993" t="s">
        <v>113</v>
      </c>
      <c r="T2993" t="s">
        <v>108</v>
      </c>
      <c r="U2993" t="s">
        <v>1205</v>
      </c>
    </row>
    <row r="2994" spans="1:21" x14ac:dyDescent="0.25">
      <c r="A2994" t="s">
        <v>5070</v>
      </c>
      <c r="B2994" s="8">
        <v>45739</v>
      </c>
      <c r="C2994" t="s">
        <v>1450</v>
      </c>
      <c r="D2994" t="s">
        <v>627</v>
      </c>
      <c r="E2994" t="s">
        <v>218</v>
      </c>
      <c r="F2994">
        <v>34</v>
      </c>
      <c r="G2994" t="s">
        <v>4</v>
      </c>
      <c r="H2994" t="s">
        <v>3</v>
      </c>
      <c r="I2994" t="s">
        <v>24</v>
      </c>
      <c r="J2994" t="s">
        <v>25</v>
      </c>
      <c r="K2994" t="s">
        <v>22</v>
      </c>
      <c r="L2994">
        <v>4</v>
      </c>
      <c r="M2994" s="12">
        <v>35800</v>
      </c>
      <c r="N2994" s="12">
        <v>28640</v>
      </c>
      <c r="O2994">
        <v>4</v>
      </c>
      <c r="P2994" s="12">
        <v>137472</v>
      </c>
      <c r="Q2994" s="12">
        <v>114560</v>
      </c>
      <c r="R2994" s="12">
        <v>22912</v>
      </c>
      <c r="S2994" t="s">
        <v>1246</v>
      </c>
      <c r="T2994" t="s">
        <v>110</v>
      </c>
      <c r="U2994" t="s">
        <v>1196</v>
      </c>
    </row>
    <row r="2995" spans="1:21" x14ac:dyDescent="0.25">
      <c r="A2995" t="s">
        <v>5071</v>
      </c>
      <c r="B2995" s="8">
        <v>45989</v>
      </c>
      <c r="C2995" t="s">
        <v>1392</v>
      </c>
      <c r="D2995" t="s">
        <v>754</v>
      </c>
      <c r="E2995" t="s">
        <v>218</v>
      </c>
      <c r="F2995">
        <v>46</v>
      </c>
      <c r="G2995" t="s">
        <v>16</v>
      </c>
      <c r="H2995" t="s">
        <v>15</v>
      </c>
      <c r="I2995" t="s">
        <v>21</v>
      </c>
      <c r="J2995" t="s">
        <v>23</v>
      </c>
      <c r="K2995" t="s">
        <v>22</v>
      </c>
      <c r="L2995">
        <v>5</v>
      </c>
      <c r="M2995" s="12">
        <v>54999</v>
      </c>
      <c r="N2995" s="12">
        <v>45099.18</v>
      </c>
      <c r="O2995">
        <v>15</v>
      </c>
      <c r="P2995" s="12">
        <v>233745.75</v>
      </c>
      <c r="Q2995" s="12">
        <v>225495.9</v>
      </c>
      <c r="R2995" s="12">
        <v>8249.8500000000058</v>
      </c>
      <c r="S2995" t="s">
        <v>113</v>
      </c>
      <c r="T2995" t="s">
        <v>109</v>
      </c>
      <c r="U2995" t="s">
        <v>1199</v>
      </c>
    </row>
    <row r="2996" spans="1:21" x14ac:dyDescent="0.25">
      <c r="A2996" t="s">
        <v>5072</v>
      </c>
      <c r="B2996" s="8">
        <v>45770</v>
      </c>
      <c r="C2996" t="s">
        <v>3375</v>
      </c>
      <c r="D2996" t="s">
        <v>956</v>
      </c>
      <c r="E2996" t="s">
        <v>218</v>
      </c>
      <c r="F2996">
        <v>21</v>
      </c>
      <c r="G2996" t="s">
        <v>17</v>
      </c>
      <c r="H2996" t="s">
        <v>15</v>
      </c>
      <c r="I2996" t="s">
        <v>49</v>
      </c>
      <c r="J2996" t="s">
        <v>56</v>
      </c>
      <c r="K2996" t="s">
        <v>43</v>
      </c>
      <c r="L2996">
        <v>1</v>
      </c>
      <c r="M2996" s="12">
        <v>31999</v>
      </c>
      <c r="N2996" s="12">
        <v>25599.200000000001</v>
      </c>
      <c r="O2996">
        <v>7</v>
      </c>
      <c r="P2996" s="12">
        <v>29759.07</v>
      </c>
      <c r="Q2996" s="12">
        <v>25599.200000000001</v>
      </c>
      <c r="R2996" s="12">
        <v>4159.869999999999</v>
      </c>
      <c r="S2996" t="s">
        <v>1246</v>
      </c>
      <c r="T2996" t="s">
        <v>107</v>
      </c>
      <c r="U2996" t="s">
        <v>1205</v>
      </c>
    </row>
    <row r="2997" spans="1:21" x14ac:dyDescent="0.25">
      <c r="A2997" t="s">
        <v>5073</v>
      </c>
      <c r="B2997" s="8">
        <v>45950</v>
      </c>
      <c r="C2997" t="s">
        <v>1553</v>
      </c>
      <c r="D2997" t="s">
        <v>580</v>
      </c>
      <c r="E2997" t="s">
        <v>198</v>
      </c>
      <c r="F2997">
        <v>52</v>
      </c>
      <c r="G2997" t="s">
        <v>14</v>
      </c>
      <c r="H2997" t="s">
        <v>15</v>
      </c>
      <c r="I2997" t="s">
        <v>53</v>
      </c>
      <c r="J2997" t="s">
        <v>48</v>
      </c>
      <c r="K2997" t="s">
        <v>43</v>
      </c>
      <c r="L2997">
        <v>1</v>
      </c>
      <c r="M2997" s="12">
        <v>6499</v>
      </c>
      <c r="N2997" s="12">
        <v>4549.2999999999993</v>
      </c>
      <c r="O2997">
        <v>8</v>
      </c>
      <c r="P2997" s="12">
        <v>5979.08</v>
      </c>
      <c r="Q2997" s="12">
        <v>4549.2999999999993</v>
      </c>
      <c r="R2997" s="12">
        <v>1429.7800000000007</v>
      </c>
      <c r="S2997" t="s">
        <v>1246</v>
      </c>
      <c r="T2997" t="s">
        <v>108</v>
      </c>
      <c r="U2997" t="s">
        <v>1209</v>
      </c>
    </row>
    <row r="2998" spans="1:21" x14ac:dyDescent="0.25">
      <c r="A2998" t="s">
        <v>5074</v>
      </c>
      <c r="B2998" s="8">
        <v>45810</v>
      </c>
      <c r="C2998" t="s">
        <v>5107</v>
      </c>
      <c r="D2998" t="s">
        <v>361</v>
      </c>
      <c r="E2998" t="s">
        <v>218</v>
      </c>
      <c r="F2998">
        <v>52</v>
      </c>
      <c r="G2998" t="s">
        <v>17</v>
      </c>
      <c r="H2998" t="s">
        <v>15</v>
      </c>
      <c r="I2998" t="s">
        <v>61</v>
      </c>
      <c r="J2998" t="s">
        <v>146</v>
      </c>
      <c r="K2998" t="s">
        <v>64</v>
      </c>
      <c r="L2998">
        <v>5</v>
      </c>
      <c r="M2998" s="12">
        <v>250</v>
      </c>
      <c r="N2998" s="12">
        <v>155</v>
      </c>
      <c r="O2998">
        <v>15</v>
      </c>
      <c r="P2998" s="12">
        <v>1062.5</v>
      </c>
      <c r="Q2998" s="12">
        <v>775</v>
      </c>
      <c r="R2998" s="12">
        <v>287.5</v>
      </c>
      <c r="S2998" t="s">
        <v>113</v>
      </c>
      <c r="T2998" t="s">
        <v>107</v>
      </c>
      <c r="U2998" t="s">
        <v>1205</v>
      </c>
    </row>
    <row r="2999" spans="1:21" x14ac:dyDescent="0.25">
      <c r="A2999" t="s">
        <v>5076</v>
      </c>
      <c r="B2999" s="8">
        <v>45916</v>
      </c>
      <c r="C2999" t="s">
        <v>2261</v>
      </c>
      <c r="D2999" t="s">
        <v>489</v>
      </c>
      <c r="E2999" t="s">
        <v>198</v>
      </c>
      <c r="F2999">
        <v>40</v>
      </c>
      <c r="G2999" t="s">
        <v>289</v>
      </c>
      <c r="H2999" t="s">
        <v>3</v>
      </c>
      <c r="I2999" t="s">
        <v>36</v>
      </c>
      <c r="J2999" t="s">
        <v>136</v>
      </c>
      <c r="K2999" t="s">
        <v>22</v>
      </c>
      <c r="L2999">
        <v>2</v>
      </c>
      <c r="M2999" s="12">
        <v>3590</v>
      </c>
      <c r="N2999" s="12">
        <v>2333.5</v>
      </c>
      <c r="O2999">
        <v>7</v>
      </c>
      <c r="P2999" s="12">
        <v>6677.4</v>
      </c>
      <c r="Q2999" s="12">
        <v>4667</v>
      </c>
      <c r="R2999" s="12">
        <v>2010.3999999999996</v>
      </c>
      <c r="S2999" t="s">
        <v>113</v>
      </c>
      <c r="T2999" t="s">
        <v>107</v>
      </c>
      <c r="U2999" t="s">
        <v>1209</v>
      </c>
    </row>
    <row r="3000" spans="1:21" x14ac:dyDescent="0.25">
      <c r="A3000" t="s">
        <v>5077</v>
      </c>
      <c r="B3000" s="8">
        <v>45731</v>
      </c>
      <c r="C3000" t="s">
        <v>1843</v>
      </c>
      <c r="D3000" t="s">
        <v>985</v>
      </c>
      <c r="E3000" t="s">
        <v>218</v>
      </c>
      <c r="F3000">
        <v>21</v>
      </c>
      <c r="G3000" t="s">
        <v>7</v>
      </c>
      <c r="H3000" t="s">
        <v>8</v>
      </c>
      <c r="I3000" t="s">
        <v>57</v>
      </c>
      <c r="J3000" t="s">
        <v>67</v>
      </c>
      <c r="K3000" t="s">
        <v>64</v>
      </c>
      <c r="L3000">
        <v>4</v>
      </c>
      <c r="M3000" s="12">
        <v>150</v>
      </c>
      <c r="N3000" s="12">
        <v>97.5</v>
      </c>
      <c r="O3000">
        <v>2</v>
      </c>
      <c r="P3000" s="12">
        <v>588</v>
      </c>
      <c r="Q3000" s="12">
        <v>390</v>
      </c>
      <c r="R3000" s="12">
        <v>198</v>
      </c>
      <c r="S3000" t="s">
        <v>1246</v>
      </c>
      <c r="T3000" t="s">
        <v>110</v>
      </c>
      <c r="U3000" t="s">
        <v>1207</v>
      </c>
    </row>
    <row r="3001" spans="1:21" x14ac:dyDescent="0.25">
      <c r="A3001" t="s">
        <v>5078</v>
      </c>
      <c r="B3001" s="8">
        <v>45866</v>
      </c>
      <c r="C3001" t="s">
        <v>2951</v>
      </c>
      <c r="D3001" t="s">
        <v>594</v>
      </c>
      <c r="E3001" t="s">
        <v>218</v>
      </c>
      <c r="F3001">
        <v>60</v>
      </c>
      <c r="G3001" t="s">
        <v>7</v>
      </c>
      <c r="H3001" t="s">
        <v>8</v>
      </c>
      <c r="I3001" t="s">
        <v>26</v>
      </c>
      <c r="J3001" t="s">
        <v>27</v>
      </c>
      <c r="K3001" t="s">
        <v>22</v>
      </c>
      <c r="L3001">
        <v>2</v>
      </c>
      <c r="M3001" s="12">
        <v>27499</v>
      </c>
      <c r="N3001" s="12">
        <v>23374.149999999998</v>
      </c>
      <c r="O3001">
        <v>5</v>
      </c>
      <c r="P3001" s="12">
        <v>52248.1</v>
      </c>
      <c r="Q3001" s="12">
        <v>46748.299999999996</v>
      </c>
      <c r="R3001" s="12">
        <v>5499.8000000000029</v>
      </c>
      <c r="S3001" t="s">
        <v>1246</v>
      </c>
      <c r="T3001" t="s">
        <v>107</v>
      </c>
      <c r="U3001" t="s">
        <v>1209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>
      <selection activeCell="E11" sqref="E11"/>
    </sheetView>
  </sheetViews>
  <sheetFormatPr defaultRowHeight="15" x14ac:dyDescent="0.25"/>
  <cols>
    <col min="1" max="1" width="13.5703125" customWidth="1"/>
    <col min="2" max="2" width="13.140625" customWidth="1"/>
    <col min="3" max="3" width="21" customWidth="1"/>
    <col min="4" max="4" width="16.5703125" customWidth="1"/>
    <col min="7" max="7" width="9.7109375" customWidth="1"/>
    <col min="10" max="10" width="11" customWidth="1"/>
    <col min="11" max="11" width="13.140625" customWidth="1"/>
    <col min="12" max="12" width="12.5703125" customWidth="1"/>
    <col min="15" max="15" width="9.7109375" customWidth="1"/>
  </cols>
  <sheetData>
    <row r="1" spans="1:15" x14ac:dyDescent="0.25">
      <c r="A1" s="1" t="s">
        <v>162</v>
      </c>
      <c r="B1" s="4" t="s">
        <v>163</v>
      </c>
      <c r="C1" s="4" t="s">
        <v>164</v>
      </c>
      <c r="D1" s="4" t="s">
        <v>165</v>
      </c>
      <c r="F1" s="1" t="s">
        <v>169</v>
      </c>
      <c r="G1" s="4" t="s">
        <v>170</v>
      </c>
      <c r="H1" s="4" t="s">
        <v>171</v>
      </c>
      <c r="J1" s="1" t="s">
        <v>183</v>
      </c>
      <c r="K1" s="4" t="s">
        <v>163</v>
      </c>
      <c r="L1" s="4" t="s">
        <v>184</v>
      </c>
      <c r="N1" s="1" t="s">
        <v>188</v>
      </c>
      <c r="O1" s="4" t="s">
        <v>170</v>
      </c>
    </row>
    <row r="2" spans="1:15" x14ac:dyDescent="0.25">
      <c r="A2" s="2" t="s">
        <v>166</v>
      </c>
      <c r="B2" s="7">
        <v>0.6</v>
      </c>
      <c r="C2" s="3">
        <v>1</v>
      </c>
      <c r="D2" s="3">
        <v>1140</v>
      </c>
      <c r="F2" s="2" t="s">
        <v>172</v>
      </c>
      <c r="G2" s="7">
        <v>0.11</v>
      </c>
      <c r="H2" s="3">
        <v>209</v>
      </c>
      <c r="J2" s="2" t="s">
        <v>185</v>
      </c>
      <c r="K2" s="7">
        <v>0.35</v>
      </c>
      <c r="L2" s="3">
        <v>315</v>
      </c>
      <c r="N2" s="2" t="s">
        <v>189</v>
      </c>
      <c r="O2" s="7">
        <v>0.08</v>
      </c>
    </row>
    <row r="3" spans="1:15" x14ac:dyDescent="0.25">
      <c r="A3" s="2" t="s">
        <v>167</v>
      </c>
      <c r="B3" s="7">
        <v>0.3</v>
      </c>
      <c r="C3" s="3">
        <v>2</v>
      </c>
      <c r="D3" s="3">
        <v>570</v>
      </c>
      <c r="F3" s="2" t="s">
        <v>173</v>
      </c>
      <c r="G3" s="7">
        <v>0.06</v>
      </c>
      <c r="H3" s="3">
        <v>114</v>
      </c>
      <c r="J3" s="2" t="s">
        <v>186</v>
      </c>
      <c r="K3" s="7">
        <v>0.45</v>
      </c>
      <c r="L3" s="3">
        <v>405</v>
      </c>
      <c r="N3" s="2" t="s">
        <v>190</v>
      </c>
      <c r="O3" s="7">
        <v>0.1</v>
      </c>
    </row>
    <row r="4" spans="1:15" ht="30" x14ac:dyDescent="0.25">
      <c r="A4" s="2" t="s">
        <v>168</v>
      </c>
      <c r="B4" s="7">
        <v>0.1</v>
      </c>
      <c r="C4" s="3">
        <v>3</v>
      </c>
      <c r="D4" s="3">
        <v>190</v>
      </c>
      <c r="F4" s="2" t="s">
        <v>174</v>
      </c>
      <c r="G4" s="7">
        <v>0.08</v>
      </c>
      <c r="H4" s="3">
        <v>152</v>
      </c>
      <c r="J4" s="2" t="s">
        <v>187</v>
      </c>
      <c r="K4" s="7">
        <v>0.2</v>
      </c>
      <c r="L4" s="3">
        <v>180</v>
      </c>
      <c r="N4" s="2" t="s">
        <v>191</v>
      </c>
      <c r="O4" s="7">
        <v>0.13</v>
      </c>
    </row>
    <row r="5" spans="1:15" x14ac:dyDescent="0.25">
      <c r="F5" s="2" t="s">
        <v>175</v>
      </c>
      <c r="G5" s="7">
        <v>0.06</v>
      </c>
      <c r="H5" s="3">
        <v>114</v>
      </c>
      <c r="N5" s="2" t="s">
        <v>192</v>
      </c>
      <c r="O5" s="7">
        <v>0.14000000000000001</v>
      </c>
    </row>
    <row r="6" spans="1:15" x14ac:dyDescent="0.25">
      <c r="F6" s="2" t="s">
        <v>176</v>
      </c>
      <c r="G6" s="7">
        <v>0.09</v>
      </c>
      <c r="H6" s="3">
        <v>171</v>
      </c>
      <c r="N6" s="2" t="s">
        <v>193</v>
      </c>
      <c r="O6" s="7">
        <v>0.17</v>
      </c>
    </row>
    <row r="7" spans="1:15" x14ac:dyDescent="0.25">
      <c r="F7" s="2" t="s">
        <v>177</v>
      </c>
      <c r="G7" s="7">
        <v>0.11</v>
      </c>
      <c r="H7" s="3">
        <v>209</v>
      </c>
      <c r="N7" s="2" t="s">
        <v>194</v>
      </c>
      <c r="O7" s="7">
        <v>0.19</v>
      </c>
    </row>
    <row r="8" spans="1:15" x14ac:dyDescent="0.25">
      <c r="F8" s="2" t="s">
        <v>178</v>
      </c>
      <c r="G8" s="7">
        <v>7.0000000000000007E-2</v>
      </c>
      <c r="H8" s="3">
        <v>133</v>
      </c>
      <c r="N8" s="2" t="s">
        <v>195</v>
      </c>
      <c r="O8" s="7">
        <v>0.19</v>
      </c>
    </row>
    <row r="9" spans="1:15" x14ac:dyDescent="0.25">
      <c r="F9" s="2" t="s">
        <v>179</v>
      </c>
      <c r="G9" s="7">
        <v>7.0000000000000007E-2</v>
      </c>
      <c r="H9" s="3">
        <v>133</v>
      </c>
    </row>
    <row r="10" spans="1:15" x14ac:dyDescent="0.25">
      <c r="F10" s="2" t="s">
        <v>180</v>
      </c>
      <c r="G10" s="7">
        <v>0.08</v>
      </c>
      <c r="H10" s="3">
        <v>152</v>
      </c>
    </row>
    <row r="11" spans="1:15" x14ac:dyDescent="0.25">
      <c r="F11" s="2" t="s">
        <v>181</v>
      </c>
      <c r="G11" s="7">
        <v>0.09</v>
      </c>
      <c r="H11" s="3">
        <v>171</v>
      </c>
    </row>
    <row r="12" spans="1:15" x14ac:dyDescent="0.25">
      <c r="F12" s="2" t="s">
        <v>182</v>
      </c>
      <c r="G12" s="7">
        <v>0.11</v>
      </c>
      <c r="H12" s="3">
        <v>209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1"/>
  <sheetViews>
    <sheetView workbookViewId="0">
      <selection activeCell="F2" sqref="F2:G13"/>
    </sheetView>
  </sheetViews>
  <sheetFormatPr defaultRowHeight="15" x14ac:dyDescent="0.25"/>
  <cols>
    <col min="1" max="1" width="13.28515625" customWidth="1"/>
    <col min="2" max="2" width="9.85546875" customWidth="1"/>
    <col min="4" max="4" width="12.85546875" customWidth="1"/>
    <col min="7" max="7" width="9.28515625" customWidth="1"/>
    <col min="8" max="8" width="12.5703125" customWidth="1"/>
    <col min="10" max="10" width="17" customWidth="1"/>
    <col min="11" max="11" width="12.5703125" customWidth="1"/>
    <col min="13" max="13" width="9.85546875" customWidth="1"/>
    <col min="14" max="14" width="12.5703125" customWidth="1"/>
    <col min="16" max="16" width="13.140625" customWidth="1"/>
    <col min="19" max="19" width="12.5703125" customWidth="1"/>
  </cols>
  <sheetData>
    <row r="1" spans="1:19" ht="30" x14ac:dyDescent="0.25">
      <c r="A1" s="1" t="s">
        <v>196</v>
      </c>
      <c r="B1" s="1" t="s">
        <v>119</v>
      </c>
      <c r="D1" s="1" t="s">
        <v>238</v>
      </c>
      <c r="F1" s="1" t="s">
        <v>0</v>
      </c>
      <c r="G1" s="1" t="s">
        <v>1</v>
      </c>
      <c r="H1" s="4" t="s">
        <v>184</v>
      </c>
      <c r="J1" s="1" t="s">
        <v>291</v>
      </c>
      <c r="K1" s="4" t="s">
        <v>184</v>
      </c>
      <c r="M1" s="1" t="s">
        <v>119</v>
      </c>
      <c r="N1" s="4" t="s">
        <v>184</v>
      </c>
      <c r="P1" s="1" t="s">
        <v>292</v>
      </c>
      <c r="Q1" s="4" t="s">
        <v>293</v>
      </c>
      <c r="R1" s="4" t="s">
        <v>294</v>
      </c>
      <c r="S1" s="4" t="s">
        <v>184</v>
      </c>
    </row>
    <row r="2" spans="1:19" x14ac:dyDescent="0.25">
      <c r="A2" s="2" t="s">
        <v>197</v>
      </c>
      <c r="B2" s="2" t="s">
        <v>198</v>
      </c>
      <c r="D2" s="2" t="s">
        <v>239</v>
      </c>
      <c r="F2" s="2" t="s">
        <v>2</v>
      </c>
      <c r="G2" s="2" t="s">
        <v>3</v>
      </c>
      <c r="H2" s="3">
        <v>140</v>
      </c>
      <c r="J2" s="2" t="s">
        <v>185</v>
      </c>
      <c r="K2" s="3">
        <v>315</v>
      </c>
      <c r="M2" s="2" t="s">
        <v>198</v>
      </c>
      <c r="N2" s="3">
        <v>495</v>
      </c>
      <c r="P2" s="2" t="s">
        <v>295</v>
      </c>
      <c r="Q2" s="3">
        <v>18</v>
      </c>
      <c r="R2" s="3">
        <v>24</v>
      </c>
      <c r="S2" s="3">
        <v>225</v>
      </c>
    </row>
    <row r="3" spans="1:19" x14ac:dyDescent="0.25">
      <c r="A3" s="2" t="s">
        <v>199</v>
      </c>
      <c r="B3" s="2" t="s">
        <v>198</v>
      </c>
      <c r="D3" s="2" t="s">
        <v>240</v>
      </c>
      <c r="F3" s="2" t="s">
        <v>4</v>
      </c>
      <c r="G3" s="2" t="s">
        <v>3</v>
      </c>
      <c r="H3" s="3">
        <v>100</v>
      </c>
      <c r="J3" s="2" t="s">
        <v>186</v>
      </c>
      <c r="K3" s="3">
        <v>405</v>
      </c>
      <c r="M3" s="2" t="s">
        <v>218</v>
      </c>
      <c r="N3" s="3">
        <v>405</v>
      </c>
      <c r="P3" s="2" t="s">
        <v>296</v>
      </c>
      <c r="Q3" s="3">
        <v>25</v>
      </c>
      <c r="R3" s="3">
        <v>34</v>
      </c>
      <c r="S3" s="3">
        <v>315</v>
      </c>
    </row>
    <row r="4" spans="1:19" ht="30" x14ac:dyDescent="0.25">
      <c r="A4" s="2" t="s">
        <v>200</v>
      </c>
      <c r="B4" s="2" t="s">
        <v>198</v>
      </c>
      <c r="D4" s="2" t="s">
        <v>241</v>
      </c>
      <c r="F4" s="2" t="s">
        <v>5</v>
      </c>
      <c r="G4" s="2" t="s">
        <v>3</v>
      </c>
      <c r="H4" s="3">
        <v>70</v>
      </c>
      <c r="J4" s="2" t="s">
        <v>187</v>
      </c>
      <c r="K4" s="3">
        <v>180</v>
      </c>
      <c r="P4" s="2" t="s">
        <v>297</v>
      </c>
      <c r="Q4" s="3">
        <v>35</v>
      </c>
      <c r="R4" s="3">
        <v>44</v>
      </c>
      <c r="S4" s="3">
        <v>198</v>
      </c>
    </row>
    <row r="5" spans="1:19" x14ac:dyDescent="0.25">
      <c r="A5" s="2" t="s">
        <v>201</v>
      </c>
      <c r="B5" s="2" t="s">
        <v>198</v>
      </c>
      <c r="D5" s="2" t="s">
        <v>242</v>
      </c>
      <c r="F5" s="2" t="s">
        <v>289</v>
      </c>
      <c r="G5" s="2" t="s">
        <v>3</v>
      </c>
      <c r="H5" s="3">
        <v>40</v>
      </c>
      <c r="P5" s="2" t="s">
        <v>298</v>
      </c>
      <c r="Q5" s="3">
        <v>45</v>
      </c>
      <c r="R5" s="3">
        <v>54</v>
      </c>
      <c r="S5" s="3">
        <v>108</v>
      </c>
    </row>
    <row r="6" spans="1:19" x14ac:dyDescent="0.25">
      <c r="A6" s="2" t="s">
        <v>202</v>
      </c>
      <c r="B6" s="2" t="s">
        <v>198</v>
      </c>
      <c r="D6" s="2" t="s">
        <v>243</v>
      </c>
      <c r="F6" s="2" t="s">
        <v>290</v>
      </c>
      <c r="G6" s="2" t="s">
        <v>3</v>
      </c>
      <c r="H6" s="3">
        <v>40</v>
      </c>
      <c r="P6" s="2" t="s">
        <v>299</v>
      </c>
      <c r="Q6" s="3">
        <v>55</v>
      </c>
      <c r="R6" s="3">
        <v>65</v>
      </c>
      <c r="S6" s="3">
        <v>54</v>
      </c>
    </row>
    <row r="7" spans="1:19" x14ac:dyDescent="0.25">
      <c r="A7" s="2" t="s">
        <v>203</v>
      </c>
      <c r="B7" s="2" t="s">
        <v>198</v>
      </c>
      <c r="D7" s="2" t="s">
        <v>244</v>
      </c>
      <c r="F7" s="2" t="s">
        <v>7</v>
      </c>
      <c r="G7" s="2" t="s">
        <v>8</v>
      </c>
      <c r="H7" s="3">
        <v>95</v>
      </c>
    </row>
    <row r="8" spans="1:19" x14ac:dyDescent="0.25">
      <c r="A8" s="2" t="s">
        <v>204</v>
      </c>
      <c r="B8" s="2" t="s">
        <v>198</v>
      </c>
      <c r="D8" s="2" t="s">
        <v>245</v>
      </c>
      <c r="F8" s="2" t="s">
        <v>9</v>
      </c>
      <c r="G8" s="2" t="s">
        <v>8</v>
      </c>
      <c r="H8" s="3">
        <v>55</v>
      </c>
    </row>
    <row r="9" spans="1:19" ht="30" x14ac:dyDescent="0.25">
      <c r="A9" s="2" t="s">
        <v>205</v>
      </c>
      <c r="B9" s="2" t="s">
        <v>198</v>
      </c>
      <c r="D9" s="2" t="s">
        <v>246</v>
      </c>
      <c r="F9" s="2" t="s">
        <v>10</v>
      </c>
      <c r="G9" s="2" t="s">
        <v>8</v>
      </c>
      <c r="H9" s="3">
        <v>50</v>
      </c>
    </row>
    <row r="10" spans="1:19" ht="30" x14ac:dyDescent="0.25">
      <c r="A10" s="2" t="s">
        <v>206</v>
      </c>
      <c r="B10" s="2" t="s">
        <v>198</v>
      </c>
      <c r="D10" s="2" t="s">
        <v>247</v>
      </c>
      <c r="F10" s="2" t="s">
        <v>16</v>
      </c>
      <c r="G10" s="2" t="s">
        <v>15</v>
      </c>
      <c r="H10" s="3">
        <v>90</v>
      </c>
    </row>
    <row r="11" spans="1:19" ht="30" x14ac:dyDescent="0.25">
      <c r="A11" s="2" t="s">
        <v>207</v>
      </c>
      <c r="B11" s="2" t="s">
        <v>198</v>
      </c>
      <c r="D11" s="2" t="s">
        <v>248</v>
      </c>
      <c r="F11" s="2" t="s">
        <v>17</v>
      </c>
      <c r="G11" s="2" t="s">
        <v>15</v>
      </c>
      <c r="H11" s="3">
        <v>80</v>
      </c>
    </row>
    <row r="12" spans="1:19" x14ac:dyDescent="0.25">
      <c r="A12" s="2" t="s">
        <v>208</v>
      </c>
      <c r="B12" s="2" t="s">
        <v>198</v>
      </c>
      <c r="D12" s="2" t="s">
        <v>249</v>
      </c>
      <c r="F12" s="2" t="s">
        <v>14</v>
      </c>
      <c r="G12" s="2" t="s">
        <v>15</v>
      </c>
      <c r="H12" s="3">
        <v>75</v>
      </c>
    </row>
    <row r="13" spans="1:19" x14ac:dyDescent="0.25">
      <c r="A13" s="2" t="s">
        <v>209</v>
      </c>
      <c r="B13" s="2" t="s">
        <v>198</v>
      </c>
      <c r="D13" s="2" t="s">
        <v>250</v>
      </c>
      <c r="F13" s="2" t="s">
        <v>11</v>
      </c>
      <c r="G13" s="2" t="s">
        <v>12</v>
      </c>
      <c r="H13" s="3">
        <v>65</v>
      </c>
    </row>
    <row r="14" spans="1:19" x14ac:dyDescent="0.25">
      <c r="A14" s="2" t="s">
        <v>210</v>
      </c>
      <c r="B14" s="2" t="s">
        <v>198</v>
      </c>
      <c r="D14" s="2" t="s">
        <v>251</v>
      </c>
    </row>
    <row r="15" spans="1:19" x14ac:dyDescent="0.25">
      <c r="A15" s="2" t="s">
        <v>211</v>
      </c>
      <c r="B15" s="2" t="s">
        <v>198</v>
      </c>
      <c r="D15" s="2" t="s">
        <v>252</v>
      </c>
    </row>
    <row r="16" spans="1:19" x14ac:dyDescent="0.25">
      <c r="A16" s="2" t="s">
        <v>212</v>
      </c>
      <c r="B16" s="2" t="s">
        <v>198</v>
      </c>
      <c r="D16" s="2" t="s">
        <v>253</v>
      </c>
    </row>
    <row r="17" spans="1:4" x14ac:dyDescent="0.25">
      <c r="A17" s="2" t="s">
        <v>213</v>
      </c>
      <c r="B17" s="2" t="s">
        <v>198</v>
      </c>
      <c r="D17" s="2" t="s">
        <v>254</v>
      </c>
    </row>
    <row r="18" spans="1:4" x14ac:dyDescent="0.25">
      <c r="A18" s="2" t="s">
        <v>214</v>
      </c>
      <c r="B18" s="2" t="s">
        <v>198</v>
      </c>
      <c r="D18" s="2" t="s">
        <v>255</v>
      </c>
    </row>
    <row r="19" spans="1:4" x14ac:dyDescent="0.25">
      <c r="A19" s="2" t="s">
        <v>215</v>
      </c>
      <c r="B19" s="2" t="s">
        <v>198</v>
      </c>
      <c r="D19" s="2" t="s">
        <v>256</v>
      </c>
    </row>
    <row r="20" spans="1:4" x14ac:dyDescent="0.25">
      <c r="A20" s="2" t="s">
        <v>216</v>
      </c>
      <c r="B20" s="2" t="s">
        <v>198</v>
      </c>
      <c r="D20" s="2" t="s">
        <v>257</v>
      </c>
    </row>
    <row r="21" spans="1:4" x14ac:dyDescent="0.25">
      <c r="A21" s="2" t="s">
        <v>300</v>
      </c>
      <c r="B21" s="2" t="s">
        <v>198</v>
      </c>
      <c r="D21" s="2" t="s">
        <v>258</v>
      </c>
    </row>
    <row r="22" spans="1:4" x14ac:dyDescent="0.25">
      <c r="A22" s="2" t="s">
        <v>301</v>
      </c>
      <c r="B22" s="2" t="s">
        <v>198</v>
      </c>
      <c r="D22" s="2" t="s">
        <v>259</v>
      </c>
    </row>
    <row r="23" spans="1:4" x14ac:dyDescent="0.25">
      <c r="A23" s="2" t="s">
        <v>302</v>
      </c>
      <c r="B23" s="2" t="s">
        <v>198</v>
      </c>
      <c r="D23" s="2" t="s">
        <v>260</v>
      </c>
    </row>
    <row r="24" spans="1:4" x14ac:dyDescent="0.25">
      <c r="A24" s="2" t="s">
        <v>303</v>
      </c>
      <c r="B24" s="2" t="s">
        <v>198</v>
      </c>
      <c r="D24" s="2" t="s">
        <v>261</v>
      </c>
    </row>
    <row r="25" spans="1:4" x14ac:dyDescent="0.25">
      <c r="A25" s="2" t="s">
        <v>304</v>
      </c>
      <c r="B25" s="2" t="s">
        <v>198</v>
      </c>
      <c r="D25" s="2" t="s">
        <v>262</v>
      </c>
    </row>
    <row r="26" spans="1:4" x14ac:dyDescent="0.25">
      <c r="A26" s="2" t="s">
        <v>305</v>
      </c>
      <c r="B26" s="2" t="s">
        <v>198</v>
      </c>
      <c r="D26" s="2" t="s">
        <v>263</v>
      </c>
    </row>
    <row r="27" spans="1:4" x14ac:dyDescent="0.25">
      <c r="A27" s="2" t="s">
        <v>306</v>
      </c>
      <c r="B27" s="2" t="s">
        <v>198</v>
      </c>
      <c r="D27" s="2" t="s">
        <v>264</v>
      </c>
    </row>
    <row r="28" spans="1:4" x14ac:dyDescent="0.25">
      <c r="A28" s="2" t="s">
        <v>307</v>
      </c>
      <c r="B28" s="2" t="s">
        <v>198</v>
      </c>
      <c r="D28" s="2" t="s">
        <v>265</v>
      </c>
    </row>
    <row r="29" spans="1:4" x14ac:dyDescent="0.25">
      <c r="A29" s="2" t="s">
        <v>308</v>
      </c>
      <c r="B29" s="2" t="s">
        <v>198</v>
      </c>
      <c r="D29" s="2" t="s">
        <v>266</v>
      </c>
    </row>
    <row r="30" spans="1:4" x14ac:dyDescent="0.25">
      <c r="A30" s="2" t="s">
        <v>309</v>
      </c>
      <c r="B30" s="2" t="s">
        <v>198</v>
      </c>
      <c r="D30" s="2" t="s">
        <v>267</v>
      </c>
    </row>
    <row r="31" spans="1:4" x14ac:dyDescent="0.25">
      <c r="A31" s="2" t="s">
        <v>310</v>
      </c>
      <c r="B31" s="2" t="s">
        <v>198</v>
      </c>
      <c r="D31" s="2" t="s">
        <v>268</v>
      </c>
    </row>
    <row r="32" spans="1:4" x14ac:dyDescent="0.25">
      <c r="A32" s="2" t="s">
        <v>311</v>
      </c>
      <c r="B32" s="2" t="s">
        <v>198</v>
      </c>
      <c r="D32" s="2" t="s">
        <v>269</v>
      </c>
    </row>
    <row r="33" spans="1:4" x14ac:dyDescent="0.25">
      <c r="A33" s="2" t="s">
        <v>312</v>
      </c>
      <c r="B33" s="2" t="s">
        <v>198</v>
      </c>
      <c r="D33" s="2" t="s">
        <v>270</v>
      </c>
    </row>
    <row r="34" spans="1:4" x14ac:dyDescent="0.25">
      <c r="A34" s="2" t="s">
        <v>313</v>
      </c>
      <c r="B34" s="2" t="s">
        <v>198</v>
      </c>
      <c r="D34" s="2" t="s">
        <v>271</v>
      </c>
    </row>
    <row r="35" spans="1:4" x14ac:dyDescent="0.25">
      <c r="A35" s="2" t="s">
        <v>314</v>
      </c>
      <c r="B35" s="2" t="s">
        <v>198</v>
      </c>
      <c r="D35" s="2" t="s">
        <v>272</v>
      </c>
    </row>
    <row r="36" spans="1:4" x14ac:dyDescent="0.25">
      <c r="A36" s="2" t="s">
        <v>315</v>
      </c>
      <c r="B36" s="2" t="s">
        <v>198</v>
      </c>
      <c r="D36" s="2" t="s">
        <v>273</v>
      </c>
    </row>
    <row r="37" spans="1:4" x14ac:dyDescent="0.25">
      <c r="A37" s="2" t="s">
        <v>316</v>
      </c>
      <c r="B37" s="2" t="s">
        <v>198</v>
      </c>
      <c r="D37" s="2" t="s">
        <v>274</v>
      </c>
    </row>
    <row r="38" spans="1:4" x14ac:dyDescent="0.25">
      <c r="A38" s="2" t="s">
        <v>317</v>
      </c>
      <c r="B38" s="2" t="s">
        <v>198</v>
      </c>
      <c r="D38" s="2" t="s">
        <v>275</v>
      </c>
    </row>
    <row r="39" spans="1:4" x14ac:dyDescent="0.25">
      <c r="A39" s="2" t="s">
        <v>318</v>
      </c>
      <c r="B39" s="2" t="s">
        <v>198</v>
      </c>
      <c r="D39" s="2" t="s">
        <v>276</v>
      </c>
    </row>
    <row r="40" spans="1:4" x14ac:dyDescent="0.25">
      <c r="A40" s="2" t="s">
        <v>319</v>
      </c>
      <c r="B40" s="2" t="s">
        <v>198</v>
      </c>
      <c r="D40" s="2" t="s">
        <v>277</v>
      </c>
    </row>
    <row r="41" spans="1:4" x14ac:dyDescent="0.25">
      <c r="A41" s="2" t="s">
        <v>320</v>
      </c>
      <c r="B41" s="2" t="s">
        <v>198</v>
      </c>
      <c r="D41" s="2" t="s">
        <v>278</v>
      </c>
    </row>
    <row r="42" spans="1:4" x14ac:dyDescent="0.25">
      <c r="A42" s="2" t="s">
        <v>321</v>
      </c>
      <c r="B42" s="2" t="s">
        <v>198</v>
      </c>
      <c r="D42" s="2" t="s">
        <v>279</v>
      </c>
    </row>
    <row r="43" spans="1:4" x14ac:dyDescent="0.25">
      <c r="A43" s="2" t="s">
        <v>322</v>
      </c>
      <c r="B43" s="2" t="s">
        <v>198</v>
      </c>
      <c r="D43" s="2" t="s">
        <v>280</v>
      </c>
    </row>
    <row r="44" spans="1:4" x14ac:dyDescent="0.25">
      <c r="A44" s="2" t="s">
        <v>323</v>
      </c>
      <c r="B44" s="2" t="s">
        <v>198</v>
      </c>
      <c r="D44" s="2" t="s">
        <v>281</v>
      </c>
    </row>
    <row r="45" spans="1:4" x14ac:dyDescent="0.25">
      <c r="A45" s="2" t="s">
        <v>324</v>
      </c>
      <c r="B45" s="2" t="s">
        <v>198</v>
      </c>
      <c r="D45" s="2" t="s">
        <v>282</v>
      </c>
    </row>
    <row r="46" spans="1:4" x14ac:dyDescent="0.25">
      <c r="A46" s="2" t="s">
        <v>325</v>
      </c>
      <c r="B46" s="2" t="s">
        <v>198</v>
      </c>
      <c r="D46" s="2" t="s">
        <v>283</v>
      </c>
    </row>
    <row r="47" spans="1:4" x14ac:dyDescent="0.25">
      <c r="A47" s="2" t="s">
        <v>326</v>
      </c>
      <c r="B47" s="2" t="s">
        <v>198</v>
      </c>
      <c r="D47" s="2" t="s">
        <v>284</v>
      </c>
    </row>
    <row r="48" spans="1:4" x14ac:dyDescent="0.25">
      <c r="A48" s="2" t="s">
        <v>327</v>
      </c>
      <c r="B48" s="2" t="s">
        <v>198</v>
      </c>
      <c r="D48" s="2" t="s">
        <v>285</v>
      </c>
    </row>
    <row r="49" spans="1:4" x14ac:dyDescent="0.25">
      <c r="A49" s="2" t="s">
        <v>328</v>
      </c>
      <c r="B49" s="2" t="s">
        <v>198</v>
      </c>
      <c r="D49" s="2" t="s">
        <v>286</v>
      </c>
    </row>
    <row r="50" spans="1:4" x14ac:dyDescent="0.25">
      <c r="A50" s="2" t="s">
        <v>329</v>
      </c>
      <c r="B50" s="2" t="s">
        <v>198</v>
      </c>
      <c r="D50" s="2" t="s">
        <v>287</v>
      </c>
    </row>
    <row r="51" spans="1:4" x14ac:dyDescent="0.25">
      <c r="A51" s="2" t="s">
        <v>330</v>
      </c>
      <c r="B51" s="2" t="s">
        <v>198</v>
      </c>
      <c r="D51" s="2" t="s">
        <v>288</v>
      </c>
    </row>
    <row r="52" spans="1:4" x14ac:dyDescent="0.25">
      <c r="A52" s="2" t="s">
        <v>217</v>
      </c>
      <c r="B52" s="2" t="s">
        <v>218</v>
      </c>
    </row>
    <row r="53" spans="1:4" x14ac:dyDescent="0.25">
      <c r="A53" s="2" t="s">
        <v>219</v>
      </c>
      <c r="B53" s="2" t="s">
        <v>218</v>
      </c>
    </row>
    <row r="54" spans="1:4" x14ac:dyDescent="0.25">
      <c r="A54" s="2" t="s">
        <v>220</v>
      </c>
      <c r="B54" s="2" t="s">
        <v>218</v>
      </c>
    </row>
    <row r="55" spans="1:4" x14ac:dyDescent="0.25">
      <c r="A55" s="2" t="s">
        <v>221</v>
      </c>
      <c r="B55" s="2" t="s">
        <v>218</v>
      </c>
    </row>
    <row r="56" spans="1:4" x14ac:dyDescent="0.25">
      <c r="A56" s="2" t="s">
        <v>222</v>
      </c>
      <c r="B56" s="2" t="s">
        <v>218</v>
      </c>
    </row>
    <row r="57" spans="1:4" x14ac:dyDescent="0.25">
      <c r="A57" s="2" t="s">
        <v>223</v>
      </c>
      <c r="B57" s="2" t="s">
        <v>218</v>
      </c>
    </row>
    <row r="58" spans="1:4" x14ac:dyDescent="0.25">
      <c r="A58" s="2" t="s">
        <v>224</v>
      </c>
      <c r="B58" s="2" t="s">
        <v>218</v>
      </c>
    </row>
    <row r="59" spans="1:4" x14ac:dyDescent="0.25">
      <c r="A59" s="2" t="s">
        <v>225</v>
      </c>
      <c r="B59" s="2" t="s">
        <v>218</v>
      </c>
    </row>
    <row r="60" spans="1:4" x14ac:dyDescent="0.25">
      <c r="A60" s="2" t="s">
        <v>226</v>
      </c>
      <c r="B60" s="2" t="s">
        <v>218</v>
      </c>
    </row>
    <row r="61" spans="1:4" x14ac:dyDescent="0.25">
      <c r="A61" s="2" t="s">
        <v>227</v>
      </c>
      <c r="B61" s="2" t="s">
        <v>218</v>
      </c>
    </row>
    <row r="62" spans="1:4" x14ac:dyDescent="0.25">
      <c r="A62" s="2" t="s">
        <v>228</v>
      </c>
      <c r="B62" s="2" t="s">
        <v>218</v>
      </c>
    </row>
    <row r="63" spans="1:4" x14ac:dyDescent="0.25">
      <c r="A63" s="2" t="s">
        <v>229</v>
      </c>
      <c r="B63" s="2" t="s">
        <v>218</v>
      </c>
    </row>
    <row r="64" spans="1:4" x14ac:dyDescent="0.25">
      <c r="A64" s="2" t="s">
        <v>230</v>
      </c>
      <c r="B64" s="2" t="s">
        <v>218</v>
      </c>
    </row>
    <row r="65" spans="1:2" x14ac:dyDescent="0.25">
      <c r="A65" s="2" t="s">
        <v>231</v>
      </c>
      <c r="B65" s="2" t="s">
        <v>218</v>
      </c>
    </row>
    <row r="66" spans="1:2" x14ac:dyDescent="0.25">
      <c r="A66" s="2" t="s">
        <v>232</v>
      </c>
      <c r="B66" s="2" t="s">
        <v>218</v>
      </c>
    </row>
    <row r="67" spans="1:2" x14ac:dyDescent="0.25">
      <c r="A67" s="2" t="s">
        <v>233</v>
      </c>
      <c r="B67" s="2" t="s">
        <v>218</v>
      </c>
    </row>
    <row r="68" spans="1:2" x14ac:dyDescent="0.25">
      <c r="A68" s="2" t="s">
        <v>234</v>
      </c>
      <c r="B68" s="2" t="s">
        <v>218</v>
      </c>
    </row>
    <row r="69" spans="1:2" x14ac:dyDescent="0.25">
      <c r="A69" s="2" t="s">
        <v>235</v>
      </c>
      <c r="B69" s="2" t="s">
        <v>218</v>
      </c>
    </row>
    <row r="70" spans="1:2" x14ac:dyDescent="0.25">
      <c r="A70" s="2" t="s">
        <v>236</v>
      </c>
      <c r="B70" s="2" t="s">
        <v>218</v>
      </c>
    </row>
    <row r="71" spans="1:2" x14ac:dyDescent="0.25">
      <c r="A71" s="2" t="s">
        <v>237</v>
      </c>
      <c r="B71" s="2" t="s">
        <v>218</v>
      </c>
    </row>
    <row r="72" spans="1:2" x14ac:dyDescent="0.25">
      <c r="A72" s="2" t="s">
        <v>331</v>
      </c>
      <c r="B72" s="2" t="s">
        <v>218</v>
      </c>
    </row>
    <row r="73" spans="1:2" x14ac:dyDescent="0.25">
      <c r="A73" s="2" t="s">
        <v>332</v>
      </c>
      <c r="B73" s="2" t="s">
        <v>218</v>
      </c>
    </row>
    <row r="74" spans="1:2" x14ac:dyDescent="0.25">
      <c r="A74" s="2" t="s">
        <v>333</v>
      </c>
      <c r="B74" s="2" t="s">
        <v>218</v>
      </c>
    </row>
    <row r="75" spans="1:2" x14ac:dyDescent="0.25">
      <c r="A75" s="2" t="s">
        <v>334</v>
      </c>
      <c r="B75" s="2" t="s">
        <v>218</v>
      </c>
    </row>
    <row r="76" spans="1:2" x14ac:dyDescent="0.25">
      <c r="A76" s="2" t="s">
        <v>335</v>
      </c>
      <c r="B76" s="2" t="s">
        <v>218</v>
      </c>
    </row>
    <row r="77" spans="1:2" x14ac:dyDescent="0.25">
      <c r="A77" s="2" t="s">
        <v>336</v>
      </c>
      <c r="B77" s="2" t="s">
        <v>218</v>
      </c>
    </row>
    <row r="78" spans="1:2" x14ac:dyDescent="0.25">
      <c r="A78" s="2" t="s">
        <v>337</v>
      </c>
      <c r="B78" s="2" t="s">
        <v>218</v>
      </c>
    </row>
    <row r="79" spans="1:2" x14ac:dyDescent="0.25">
      <c r="A79" s="2" t="s">
        <v>338</v>
      </c>
      <c r="B79" s="2" t="s">
        <v>218</v>
      </c>
    </row>
    <row r="80" spans="1:2" x14ac:dyDescent="0.25">
      <c r="A80" s="2" t="s">
        <v>339</v>
      </c>
      <c r="B80" s="2" t="s">
        <v>218</v>
      </c>
    </row>
    <row r="81" spans="1:2" x14ac:dyDescent="0.25">
      <c r="A81" s="2" t="s">
        <v>340</v>
      </c>
      <c r="B81" s="2" t="s">
        <v>218</v>
      </c>
    </row>
    <row r="82" spans="1:2" x14ac:dyDescent="0.25">
      <c r="A82" s="2" t="s">
        <v>341</v>
      </c>
      <c r="B82" s="2" t="s">
        <v>218</v>
      </c>
    </row>
    <row r="83" spans="1:2" x14ac:dyDescent="0.25">
      <c r="A83" s="2" t="s">
        <v>342</v>
      </c>
      <c r="B83" s="2" t="s">
        <v>218</v>
      </c>
    </row>
    <row r="84" spans="1:2" x14ac:dyDescent="0.25">
      <c r="A84" s="2" t="s">
        <v>343</v>
      </c>
      <c r="B84" s="2" t="s">
        <v>218</v>
      </c>
    </row>
    <row r="85" spans="1:2" x14ac:dyDescent="0.25">
      <c r="A85" s="2" t="s">
        <v>344</v>
      </c>
      <c r="B85" s="2" t="s">
        <v>218</v>
      </c>
    </row>
    <row r="86" spans="1:2" x14ac:dyDescent="0.25">
      <c r="A86" s="2" t="s">
        <v>345</v>
      </c>
      <c r="B86" s="2" t="s">
        <v>218</v>
      </c>
    </row>
    <row r="87" spans="1:2" x14ac:dyDescent="0.25">
      <c r="A87" s="2" t="s">
        <v>346</v>
      </c>
      <c r="B87" s="2" t="s">
        <v>218</v>
      </c>
    </row>
    <row r="88" spans="1:2" x14ac:dyDescent="0.25">
      <c r="A88" s="2" t="s">
        <v>347</v>
      </c>
      <c r="B88" s="2" t="s">
        <v>218</v>
      </c>
    </row>
    <row r="89" spans="1:2" x14ac:dyDescent="0.25">
      <c r="A89" s="2" t="s">
        <v>348</v>
      </c>
      <c r="B89" s="2" t="s">
        <v>218</v>
      </c>
    </row>
    <row r="90" spans="1:2" x14ac:dyDescent="0.25">
      <c r="A90" s="2" t="s">
        <v>349</v>
      </c>
      <c r="B90" s="2" t="s">
        <v>218</v>
      </c>
    </row>
    <row r="91" spans="1:2" x14ac:dyDescent="0.25">
      <c r="A91" s="2" t="s">
        <v>350</v>
      </c>
      <c r="B91" s="2" t="s">
        <v>218</v>
      </c>
    </row>
    <row r="92" spans="1:2" x14ac:dyDescent="0.25">
      <c r="A92" s="2" t="s">
        <v>351</v>
      </c>
      <c r="B92" s="2" t="s">
        <v>218</v>
      </c>
    </row>
    <row r="93" spans="1:2" x14ac:dyDescent="0.25">
      <c r="A93" s="2" t="s">
        <v>352</v>
      </c>
      <c r="B93" s="2" t="s">
        <v>218</v>
      </c>
    </row>
    <row r="94" spans="1:2" x14ac:dyDescent="0.25">
      <c r="A94" s="2" t="s">
        <v>353</v>
      </c>
      <c r="B94" s="2" t="s">
        <v>218</v>
      </c>
    </row>
    <row r="95" spans="1:2" x14ac:dyDescent="0.25">
      <c r="A95" s="2" t="s">
        <v>354</v>
      </c>
      <c r="B95" s="2" t="s">
        <v>218</v>
      </c>
    </row>
    <row r="96" spans="1:2" x14ac:dyDescent="0.25">
      <c r="A96" s="2" t="s">
        <v>355</v>
      </c>
      <c r="B96" s="2" t="s">
        <v>218</v>
      </c>
    </row>
    <row r="97" spans="1:2" x14ac:dyDescent="0.25">
      <c r="A97" s="2" t="s">
        <v>356</v>
      </c>
      <c r="B97" s="2" t="s">
        <v>218</v>
      </c>
    </row>
    <row r="98" spans="1:2" x14ac:dyDescent="0.25">
      <c r="A98" s="2" t="s">
        <v>357</v>
      </c>
      <c r="B98" s="2" t="s">
        <v>218</v>
      </c>
    </row>
    <row r="99" spans="1:2" x14ac:dyDescent="0.25">
      <c r="A99" s="2" t="s">
        <v>358</v>
      </c>
      <c r="B99" s="2" t="s">
        <v>218</v>
      </c>
    </row>
    <row r="100" spans="1:2" x14ac:dyDescent="0.25">
      <c r="A100" s="2" t="s">
        <v>359</v>
      </c>
      <c r="B100" s="2" t="s">
        <v>218</v>
      </c>
    </row>
    <row r="101" spans="1:2" x14ac:dyDescent="0.25">
      <c r="A101" s="2" t="s">
        <v>360</v>
      </c>
      <c r="B101" s="2" t="s">
        <v>218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activeCell="O11" sqref="O11"/>
    </sheetView>
  </sheetViews>
  <sheetFormatPr defaultRowHeight="15" x14ac:dyDescent="0.25"/>
  <cols>
    <col min="1" max="1" width="16.7109375" customWidth="1"/>
    <col min="2" max="2" width="20.140625" customWidth="1"/>
    <col min="3" max="3" width="9.85546875" customWidth="1"/>
    <col min="5" max="5" width="16.7109375" customWidth="1"/>
    <col min="8" max="8" width="16.7109375" customWidth="1"/>
    <col min="12" max="12" width="9.28515625" customWidth="1"/>
  </cols>
  <sheetData>
    <row r="1" spans="1:12" x14ac:dyDescent="0.25">
      <c r="A1" s="1" t="s">
        <v>84</v>
      </c>
      <c r="B1" s="1" t="s">
        <v>85</v>
      </c>
      <c r="C1" s="1" t="s">
        <v>119</v>
      </c>
      <c r="E1" s="1" t="s">
        <v>84</v>
      </c>
      <c r="F1" s="1" t="s">
        <v>1213</v>
      </c>
      <c r="H1" s="1" t="s">
        <v>84</v>
      </c>
      <c r="I1" s="1" t="s">
        <v>0</v>
      </c>
      <c r="K1" s="1" t="s">
        <v>0</v>
      </c>
      <c r="L1" s="1" t="s">
        <v>1</v>
      </c>
    </row>
    <row r="2" spans="1:12" x14ac:dyDescent="0.25">
      <c r="A2" s="2" t="s">
        <v>1194</v>
      </c>
      <c r="B2" s="2" t="s">
        <v>1195</v>
      </c>
      <c r="C2" s="2" t="s">
        <v>198</v>
      </c>
      <c r="E2" s="2" t="s">
        <v>1194</v>
      </c>
      <c r="F2" s="2" t="s">
        <v>1214</v>
      </c>
      <c r="H2" s="2" t="s">
        <v>1194</v>
      </c>
      <c r="I2" s="2" t="s">
        <v>2</v>
      </c>
      <c r="K2" s="2" t="s">
        <v>2</v>
      </c>
      <c r="L2" s="2" t="s">
        <v>3</v>
      </c>
    </row>
    <row r="3" spans="1:12" x14ac:dyDescent="0.25">
      <c r="A3" s="2" t="s">
        <v>1196</v>
      </c>
      <c r="B3" s="2" t="s">
        <v>1197</v>
      </c>
      <c r="C3" s="2" t="s">
        <v>218</v>
      </c>
      <c r="E3" s="2" t="s">
        <v>1196</v>
      </c>
      <c r="F3" s="2" t="s">
        <v>1214</v>
      </c>
      <c r="H3" s="2" t="s">
        <v>1196</v>
      </c>
      <c r="I3" s="2" t="s">
        <v>4</v>
      </c>
      <c r="K3" s="2" t="s">
        <v>4</v>
      </c>
      <c r="L3" s="2" t="s">
        <v>3</v>
      </c>
    </row>
    <row r="4" spans="1:12" ht="30" x14ac:dyDescent="0.25">
      <c r="A4" s="2" t="s">
        <v>1198</v>
      </c>
      <c r="B4" s="2" t="s">
        <v>87</v>
      </c>
      <c r="C4" s="2" t="s">
        <v>198</v>
      </c>
      <c r="E4" s="2" t="s">
        <v>1198</v>
      </c>
      <c r="F4" s="2" t="s">
        <v>1215</v>
      </c>
      <c r="H4" s="2" t="s">
        <v>1198</v>
      </c>
      <c r="I4" s="2" t="s">
        <v>7</v>
      </c>
      <c r="K4" s="2" t="s">
        <v>5</v>
      </c>
      <c r="L4" s="2" t="s">
        <v>3</v>
      </c>
    </row>
    <row r="5" spans="1:12" x14ac:dyDescent="0.25">
      <c r="A5" s="2" t="s">
        <v>1199</v>
      </c>
      <c r="B5" s="2" t="s">
        <v>1200</v>
      </c>
      <c r="C5" s="2" t="s">
        <v>218</v>
      </c>
      <c r="E5" s="2" t="s">
        <v>1199</v>
      </c>
      <c r="F5" s="2" t="s">
        <v>1215</v>
      </c>
      <c r="H5" s="2" t="s">
        <v>1199</v>
      </c>
      <c r="I5" s="2" t="s">
        <v>9</v>
      </c>
      <c r="K5" s="2" t="s">
        <v>289</v>
      </c>
      <c r="L5" s="2" t="s">
        <v>3</v>
      </c>
    </row>
    <row r="6" spans="1:12" ht="30" x14ac:dyDescent="0.25">
      <c r="A6" s="2" t="s">
        <v>1201</v>
      </c>
      <c r="B6" s="2" t="s">
        <v>1202</v>
      </c>
      <c r="C6" s="2" t="s">
        <v>198</v>
      </c>
      <c r="E6" s="2" t="s">
        <v>1201</v>
      </c>
      <c r="F6" s="2" t="s">
        <v>1216</v>
      </c>
      <c r="H6" s="2" t="s">
        <v>1201</v>
      </c>
      <c r="I6" s="2" t="s">
        <v>16</v>
      </c>
      <c r="K6" s="2" t="s">
        <v>290</v>
      </c>
      <c r="L6" s="2" t="s">
        <v>3</v>
      </c>
    </row>
    <row r="7" spans="1:12" ht="30" x14ac:dyDescent="0.25">
      <c r="A7" s="2" t="s">
        <v>1203</v>
      </c>
      <c r="B7" s="2" t="s">
        <v>1204</v>
      </c>
      <c r="C7" s="2" t="s">
        <v>218</v>
      </c>
      <c r="E7" s="2" t="s">
        <v>1203</v>
      </c>
      <c r="F7" s="2" t="s">
        <v>1216</v>
      </c>
      <c r="H7" s="2" t="s">
        <v>1203</v>
      </c>
      <c r="I7" s="2" t="s">
        <v>17</v>
      </c>
      <c r="K7" s="2" t="s">
        <v>7</v>
      </c>
      <c r="L7" s="2" t="s">
        <v>8</v>
      </c>
    </row>
    <row r="8" spans="1:12" x14ac:dyDescent="0.25">
      <c r="A8" s="2" t="s">
        <v>1205</v>
      </c>
      <c r="B8" s="2" t="s">
        <v>1206</v>
      </c>
      <c r="C8" s="2" t="s">
        <v>198</v>
      </c>
      <c r="E8" s="2" t="s">
        <v>1205</v>
      </c>
      <c r="F8" s="2" t="s">
        <v>1217</v>
      </c>
      <c r="H8" s="2" t="s">
        <v>1205</v>
      </c>
      <c r="I8" s="2" t="s">
        <v>14</v>
      </c>
      <c r="K8" s="2" t="s">
        <v>9</v>
      </c>
      <c r="L8" s="2" t="s">
        <v>8</v>
      </c>
    </row>
    <row r="9" spans="1:12" x14ac:dyDescent="0.25">
      <c r="A9" s="2" t="s">
        <v>1207</v>
      </c>
      <c r="B9" s="2" t="s">
        <v>1208</v>
      </c>
      <c r="C9" s="2" t="s">
        <v>218</v>
      </c>
      <c r="E9" s="2" t="s">
        <v>1207</v>
      </c>
      <c r="F9" s="2" t="s">
        <v>1217</v>
      </c>
      <c r="H9" s="2" t="s">
        <v>1207</v>
      </c>
      <c r="I9" s="2" t="s">
        <v>11</v>
      </c>
      <c r="K9" s="2" t="s">
        <v>10</v>
      </c>
      <c r="L9" s="2" t="s">
        <v>8</v>
      </c>
    </row>
    <row r="10" spans="1:12" ht="30" x14ac:dyDescent="0.25">
      <c r="A10" s="2" t="s">
        <v>1209</v>
      </c>
      <c r="B10" s="2" t="s">
        <v>1210</v>
      </c>
      <c r="C10" s="2" t="s">
        <v>198</v>
      </c>
      <c r="E10" s="2" t="s">
        <v>1209</v>
      </c>
      <c r="F10" s="2" t="s">
        <v>1218</v>
      </c>
      <c r="H10" s="2" t="s">
        <v>1209</v>
      </c>
      <c r="I10" s="2" t="s">
        <v>5</v>
      </c>
      <c r="K10" s="2" t="s">
        <v>16</v>
      </c>
      <c r="L10" s="2" t="s">
        <v>15</v>
      </c>
    </row>
    <row r="11" spans="1:12" ht="30" x14ac:dyDescent="0.25">
      <c r="A11" s="2" t="s">
        <v>1211</v>
      </c>
      <c r="B11" s="2" t="s">
        <v>1212</v>
      </c>
      <c r="C11" s="2" t="s">
        <v>218</v>
      </c>
      <c r="E11" s="2" t="s">
        <v>1211</v>
      </c>
      <c r="F11" s="2" t="s">
        <v>1218</v>
      </c>
      <c r="H11" s="2" t="s">
        <v>1211</v>
      </c>
      <c r="I11" s="2" t="s">
        <v>290</v>
      </c>
      <c r="K11" s="2" t="s">
        <v>17</v>
      </c>
      <c r="L11" s="2" t="s">
        <v>15</v>
      </c>
    </row>
    <row r="12" spans="1:12" x14ac:dyDescent="0.25">
      <c r="K12" s="2" t="s">
        <v>14</v>
      </c>
      <c r="L12" s="2" t="s">
        <v>15</v>
      </c>
    </row>
    <row r="13" spans="1:12" x14ac:dyDescent="0.25">
      <c r="K13" s="2" t="s">
        <v>11</v>
      </c>
      <c r="L13" s="2" t="s">
        <v>12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B2" sqref="B2:B11"/>
    </sheetView>
  </sheetViews>
  <sheetFormatPr defaultRowHeight="15" x14ac:dyDescent="0.25"/>
  <cols>
    <col min="1" max="1" width="16.7109375" customWidth="1"/>
    <col min="2" max="2" width="20.140625" customWidth="1"/>
    <col min="3" max="3" width="10.28515625" customWidth="1"/>
    <col min="6" max="6" width="9.28515625" customWidth="1"/>
  </cols>
  <sheetData>
    <row r="1" spans="1:6" x14ac:dyDescent="0.25">
      <c r="A1" t="s">
        <v>84</v>
      </c>
      <c r="B1" t="s">
        <v>85</v>
      </c>
      <c r="C1" t="s">
        <v>1219</v>
      </c>
      <c r="D1" t="s">
        <v>1213</v>
      </c>
      <c r="E1" t="s">
        <v>0</v>
      </c>
      <c r="F1" t="s">
        <v>1</v>
      </c>
    </row>
    <row r="2" spans="1:6" x14ac:dyDescent="0.25">
      <c r="A2" s="2" t="s">
        <v>1194</v>
      </c>
      <c r="B2" t="str">
        <f>VLOOKUP(A2,Salesperson_Helper!$A$2:$C$11,2,FALSE)</f>
        <v>Aarav Patel</v>
      </c>
      <c r="C2" t="str">
        <f>VLOOKUP(A2,Salesperson_Helper!$A$2:$C$11,3,FALSE)</f>
        <v>Male</v>
      </c>
      <c r="D2" t="str">
        <f>VLOOKUP(A2,Salesperson_Helper!$E$2:$F$11,2,FALSE)</f>
        <v>Alpha</v>
      </c>
      <c r="E2" t="str">
        <f>VLOOKUP(A2,Salesperson_Helper!$H$2:$I$11,2,FALSE)</f>
        <v>Mumbai</v>
      </c>
      <c r="F2" t="str">
        <f>VLOOKUP(E2,Salesperson_Helper!$K$2:$L$13,2,FALSE)</f>
        <v>West</v>
      </c>
    </row>
    <row r="3" spans="1:6" x14ac:dyDescent="0.25">
      <c r="A3" s="2" t="s">
        <v>1196</v>
      </c>
      <c r="B3" t="str">
        <f>VLOOKUP(A3,Salesperson_Helper!$A$2:$C$11,2,FALSE)</f>
        <v>Priya Shah</v>
      </c>
      <c r="C3" t="str">
        <f>VLOOKUP(A3,Salesperson_Helper!$A$2:$C$11,3,FALSE)</f>
        <v>Female</v>
      </c>
      <c r="D3" t="str">
        <f>VLOOKUP(A3,Salesperson_Helper!$E$2:$F$11,2,FALSE)</f>
        <v>Alpha</v>
      </c>
      <c r="E3" t="str">
        <f>VLOOKUP(A3,Salesperson_Helper!$H$2:$I$11,2,FALSE)</f>
        <v>Pune</v>
      </c>
      <c r="F3" t="str">
        <f>VLOOKUP(E3,Salesperson_Helper!$K$2:$L$13,2,FALSE)</f>
        <v>West</v>
      </c>
    </row>
    <row r="4" spans="1:6" x14ac:dyDescent="0.25">
      <c r="A4" s="2" t="s">
        <v>1198</v>
      </c>
      <c r="B4" t="str">
        <f>VLOOKUP(A4,Salesperson_Helper!$A$2:$C$11,2,FALSE)</f>
        <v>Rahul Sharma</v>
      </c>
      <c r="C4" t="str">
        <f>VLOOKUP(A4,Salesperson_Helper!$A$2:$C$11,3,FALSE)</f>
        <v>Male</v>
      </c>
      <c r="D4" t="str">
        <f>VLOOKUP(A4,Salesperson_Helper!$E$2:$F$11,2,FALSE)</f>
        <v>Beta</v>
      </c>
      <c r="E4" t="str">
        <f>VLOOKUP(A4,Salesperson_Helper!$H$2:$I$11,2,FALSE)</f>
        <v>Delhi</v>
      </c>
      <c r="F4" t="str">
        <f>VLOOKUP(E4,Salesperson_Helper!$K$2:$L$13,2,FALSE)</f>
        <v>North</v>
      </c>
    </row>
    <row r="5" spans="1:6" x14ac:dyDescent="0.25">
      <c r="A5" s="2" t="s">
        <v>1199</v>
      </c>
      <c r="B5" t="str">
        <f>VLOOKUP(A5,Salesperson_Helper!$A$2:$C$11,2,FALSE)</f>
        <v>Sneha Mehta</v>
      </c>
      <c r="C5" t="str">
        <f>VLOOKUP(A5,Salesperson_Helper!$A$2:$C$11,3,FALSE)</f>
        <v>Female</v>
      </c>
      <c r="D5" t="str">
        <f>VLOOKUP(A5,Salesperson_Helper!$E$2:$F$11,2,FALSE)</f>
        <v>Beta</v>
      </c>
      <c r="E5" t="str">
        <f>VLOOKUP(A5,Salesperson_Helper!$H$2:$I$11,2,FALSE)</f>
        <v>Jaipur</v>
      </c>
      <c r="F5" t="str">
        <f>VLOOKUP(E5,Salesperson_Helper!$K$2:$L$13,2,FALSE)</f>
        <v>North</v>
      </c>
    </row>
    <row r="6" spans="1:6" x14ac:dyDescent="0.25">
      <c r="A6" s="2" t="s">
        <v>1201</v>
      </c>
      <c r="B6" t="str">
        <f>VLOOKUP(A6,Salesperson_Helper!$A$2:$C$11,2,FALSE)</f>
        <v>Vivek Gupta</v>
      </c>
      <c r="C6" t="str">
        <f>VLOOKUP(A6,Salesperson_Helper!$A$2:$C$11,3,FALSE)</f>
        <v>Male</v>
      </c>
      <c r="D6" t="str">
        <f>VLOOKUP(A6,Salesperson_Helper!$E$2:$F$11,2,FALSE)</f>
        <v>Gamma</v>
      </c>
      <c r="E6" t="str">
        <f>VLOOKUP(A6,Salesperson_Helper!$H$2:$I$11,2,FALSE)</f>
        <v>Bengaluru</v>
      </c>
      <c r="F6" t="str">
        <f>VLOOKUP(E6,Salesperson_Helper!$K$2:$L$13,2,FALSE)</f>
        <v>South</v>
      </c>
    </row>
    <row r="7" spans="1:6" x14ac:dyDescent="0.25">
      <c r="A7" s="2" t="s">
        <v>1203</v>
      </c>
      <c r="B7" t="str">
        <f>VLOOKUP(A7,Salesperson_Helper!$A$2:$C$11,2,FALSE)</f>
        <v>Ananya Joshi</v>
      </c>
      <c r="C7" t="str">
        <f>VLOOKUP(A7,Salesperson_Helper!$A$2:$C$11,3,FALSE)</f>
        <v>Female</v>
      </c>
      <c r="D7" t="str">
        <f>VLOOKUP(A7,Salesperson_Helper!$E$2:$F$11,2,FALSE)</f>
        <v>Gamma</v>
      </c>
      <c r="E7" t="str">
        <f>VLOOKUP(A7,Salesperson_Helper!$H$2:$I$11,2,FALSE)</f>
        <v>Hyderabad</v>
      </c>
      <c r="F7" t="str">
        <f>VLOOKUP(E7,Salesperson_Helper!$K$2:$L$13,2,FALSE)</f>
        <v>South</v>
      </c>
    </row>
    <row r="8" spans="1:6" x14ac:dyDescent="0.25">
      <c r="A8" s="2" t="s">
        <v>1205</v>
      </c>
      <c r="B8" t="str">
        <f>VLOOKUP(A8,Salesperson_Helper!$A$2:$C$11,2,FALSE)</f>
        <v>Rohit Desai</v>
      </c>
      <c r="C8" t="str">
        <f>VLOOKUP(A8,Salesperson_Helper!$A$2:$C$11,3,FALSE)</f>
        <v>Male</v>
      </c>
      <c r="D8" t="str">
        <f>VLOOKUP(A8,Salesperson_Helper!$E$2:$F$11,2,FALSE)</f>
        <v>Delta</v>
      </c>
      <c r="E8" t="str">
        <f>VLOOKUP(A8,Salesperson_Helper!$H$2:$I$11,2,FALSE)</f>
        <v>Chennai</v>
      </c>
      <c r="F8" t="str">
        <f>VLOOKUP(E8,Salesperson_Helper!$K$2:$L$13,2,FALSE)</f>
        <v>South</v>
      </c>
    </row>
    <row r="9" spans="1:6" x14ac:dyDescent="0.25">
      <c r="A9" s="2" t="s">
        <v>1207</v>
      </c>
      <c r="B9" t="str">
        <f>VLOOKUP(A9,Salesperson_Helper!$A$2:$C$11,2,FALSE)</f>
        <v>Kavya Iyer</v>
      </c>
      <c r="C9" t="str">
        <f>VLOOKUP(A9,Salesperson_Helper!$A$2:$C$11,3,FALSE)</f>
        <v>Female</v>
      </c>
      <c r="D9" t="str">
        <f>VLOOKUP(A9,Salesperson_Helper!$E$2:$F$11,2,FALSE)</f>
        <v>Delta</v>
      </c>
      <c r="E9" t="str">
        <f>VLOOKUP(A9,Salesperson_Helper!$H$2:$I$11,2,FALSE)</f>
        <v>Kolkata</v>
      </c>
      <c r="F9" t="str">
        <f>VLOOKUP(E9,Salesperson_Helper!$K$2:$L$13,2,FALSE)</f>
        <v>East</v>
      </c>
    </row>
    <row r="10" spans="1:6" x14ac:dyDescent="0.25">
      <c r="A10" s="2" t="s">
        <v>1209</v>
      </c>
      <c r="B10" t="str">
        <f>VLOOKUP(A10,Salesperson_Helper!$A$2:$C$11,2,FALSE)</f>
        <v>Aditya Singh</v>
      </c>
      <c r="C10" t="str">
        <f>VLOOKUP(A10,Salesperson_Helper!$A$2:$C$11,3,FALSE)</f>
        <v>Male</v>
      </c>
      <c r="D10" t="str">
        <f>VLOOKUP(A10,Salesperson_Helper!$E$2:$F$11,2,FALSE)</f>
        <v>Omega</v>
      </c>
      <c r="E10" t="str">
        <f>VLOOKUP(A10,Salesperson_Helper!$H$2:$I$11,2,FALSE)</f>
        <v>Ahmedabad</v>
      </c>
      <c r="F10" t="str">
        <f>VLOOKUP(E10,Salesperson_Helper!$K$2:$L$13,2,FALSE)</f>
        <v>West</v>
      </c>
    </row>
    <row r="11" spans="1:6" x14ac:dyDescent="0.25">
      <c r="A11" s="2" t="s">
        <v>1211</v>
      </c>
      <c r="B11" t="str">
        <f>VLOOKUP(A11,Salesperson_Helper!$A$2:$C$11,2,FALSE)</f>
        <v>Neha Verma</v>
      </c>
      <c r="C11" t="str">
        <f>VLOOKUP(A11,Salesperson_Helper!$A$2:$C$11,3,FALSE)</f>
        <v>Female</v>
      </c>
      <c r="D11" t="str">
        <f>VLOOKUP(A11,Salesperson_Helper!$E$2:$F$11,2,FALSE)</f>
        <v>Omega</v>
      </c>
      <c r="E11" t="str">
        <f>VLOOKUP(A11,Salesperson_Helper!$H$2:$I$11,2,FALSE)</f>
        <v>Nagpur</v>
      </c>
      <c r="F11" t="str">
        <f>VLOOKUP(E11,Salesperson_Helper!$K$2:$L$13,2,FALSE)</f>
        <v>West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1"/>
  <sheetViews>
    <sheetView zoomScale="85" zoomScaleNormal="85" workbookViewId="0">
      <selection activeCell="I13" sqref="I13"/>
    </sheetView>
  </sheetViews>
  <sheetFormatPr defaultRowHeight="15" x14ac:dyDescent="0.25"/>
  <cols>
    <col min="1" max="1" width="14.5703125" customWidth="1"/>
    <col min="2" max="2" width="18" customWidth="1"/>
    <col min="3" max="3" width="9.85546875" customWidth="1"/>
    <col min="6" max="6" width="9.28515625" customWidth="1"/>
    <col min="7" max="7" width="17" customWidth="1"/>
  </cols>
  <sheetData>
    <row r="1" spans="1:7" x14ac:dyDescent="0.25">
      <c r="A1" t="s">
        <v>117</v>
      </c>
      <c r="B1" t="s">
        <v>118</v>
      </c>
      <c r="C1" t="s">
        <v>119</v>
      </c>
      <c r="D1" t="s">
        <v>120</v>
      </c>
      <c r="E1" t="s">
        <v>0</v>
      </c>
      <c r="F1" t="s">
        <v>1</v>
      </c>
      <c r="G1" t="s">
        <v>291</v>
      </c>
    </row>
    <row r="2" spans="1:7" x14ac:dyDescent="0.25">
      <c r="A2" t="str">
        <f>"C"&amp;TEXT(ROW()-1,"0000")</f>
        <v>C0001</v>
      </c>
      <c r="B2" t="s">
        <v>361</v>
      </c>
      <c r="C2" t="str">
        <f>VLOOKUP(LEFT(B2,FIND(" ",B2)-1),Customer_Helper!$A$2:$B$101,2,FALSE)</f>
        <v>Female</v>
      </c>
      <c r="D2">
        <v>52</v>
      </c>
      <c r="E2" t="s">
        <v>17</v>
      </c>
      <c r="F2" t="str">
        <f>VLOOKUP(E2,Customer_Helper!$F$2:$G$13,2,FALSE)</f>
        <v>South</v>
      </c>
      <c r="G2" t="s">
        <v>185</v>
      </c>
    </row>
    <row r="3" spans="1:7" x14ac:dyDescent="0.25">
      <c r="A3" t="str">
        <f t="shared" ref="A3:A66" si="0">"C"&amp;TEXT(ROW()-1,"0000")</f>
        <v>C0002</v>
      </c>
      <c r="B3" t="s">
        <v>362</v>
      </c>
      <c r="C3" t="str">
        <f>VLOOKUP(LEFT(B3,FIND(" ",B3)-1),Customer_Helper!$A$2:$B$101,2,FALSE)</f>
        <v>Female</v>
      </c>
      <c r="D3">
        <v>23</v>
      </c>
      <c r="E3" t="s">
        <v>2</v>
      </c>
      <c r="F3" t="str">
        <f>VLOOKUP(E3,Customer_Helper!$F$2:$G$13,2,FALSE)</f>
        <v>West</v>
      </c>
      <c r="G3" t="s">
        <v>186</v>
      </c>
    </row>
    <row r="4" spans="1:7" x14ac:dyDescent="0.25">
      <c r="A4" t="str">
        <f t="shared" si="0"/>
        <v>C0003</v>
      </c>
      <c r="B4" t="s">
        <v>363</v>
      </c>
      <c r="C4" t="str">
        <f>VLOOKUP(LEFT(B4,FIND(" ",B4)-1),Customer_Helper!$A$2:$B$101,2,FALSE)</f>
        <v>Female</v>
      </c>
      <c r="D4">
        <v>33</v>
      </c>
      <c r="E4" t="s">
        <v>5</v>
      </c>
      <c r="F4" t="str">
        <f>VLOOKUP(E4,Customer_Helper!$F$2:$G$13,2,FALSE)</f>
        <v>West</v>
      </c>
      <c r="G4" t="s">
        <v>185</v>
      </c>
    </row>
    <row r="5" spans="1:7" x14ac:dyDescent="0.25">
      <c r="A5" t="str">
        <f t="shared" si="0"/>
        <v>C0004</v>
      </c>
      <c r="B5" t="s">
        <v>364</v>
      </c>
      <c r="C5" t="str">
        <f>VLOOKUP(LEFT(B5,FIND(" ",B5)-1),Customer_Helper!$A$2:$B$101,2,FALSE)</f>
        <v>Male</v>
      </c>
      <c r="D5">
        <v>61</v>
      </c>
      <c r="E5" t="s">
        <v>2</v>
      </c>
      <c r="F5" t="str">
        <f>VLOOKUP(E5,Customer_Helper!$F$2:$G$13,2,FALSE)</f>
        <v>West</v>
      </c>
      <c r="G5" t="s">
        <v>187</v>
      </c>
    </row>
    <row r="6" spans="1:7" x14ac:dyDescent="0.25">
      <c r="A6" t="str">
        <f t="shared" si="0"/>
        <v>C0005</v>
      </c>
      <c r="B6" t="s">
        <v>365</v>
      </c>
      <c r="C6" t="str">
        <f>VLOOKUP(LEFT(B6,FIND(" ",B6)-1),Customer_Helper!$A$2:$B$101,2,FALSE)</f>
        <v>Female</v>
      </c>
      <c r="D6">
        <v>49</v>
      </c>
      <c r="E6" t="s">
        <v>4</v>
      </c>
      <c r="F6" t="str">
        <f>VLOOKUP(E6,Customer_Helper!$F$2:$G$13,2,FALSE)</f>
        <v>West</v>
      </c>
      <c r="G6" t="s">
        <v>187</v>
      </c>
    </row>
    <row r="7" spans="1:7" x14ac:dyDescent="0.25">
      <c r="A7" t="str">
        <f t="shared" si="0"/>
        <v>C0006</v>
      </c>
      <c r="B7" t="s">
        <v>366</v>
      </c>
      <c r="C7" t="str">
        <f>VLOOKUP(LEFT(B7,FIND(" ",B7)-1),Customer_Helper!$A$2:$B$101,2,FALSE)</f>
        <v>Male</v>
      </c>
      <c r="D7">
        <v>23</v>
      </c>
      <c r="E7" t="s">
        <v>4</v>
      </c>
      <c r="F7" t="str">
        <f>VLOOKUP(E7,Customer_Helper!$F$2:$G$13,2,FALSE)</f>
        <v>West</v>
      </c>
      <c r="G7" t="s">
        <v>187</v>
      </c>
    </row>
    <row r="8" spans="1:7" x14ac:dyDescent="0.25">
      <c r="A8" t="str">
        <f t="shared" si="0"/>
        <v>C0007</v>
      </c>
      <c r="B8" t="s">
        <v>367</v>
      </c>
      <c r="C8" t="str">
        <f>VLOOKUP(LEFT(B8,FIND(" ",B8)-1),Customer_Helper!$A$2:$B$101,2,FALSE)</f>
        <v>Female</v>
      </c>
      <c r="D8">
        <v>23</v>
      </c>
      <c r="E8" t="s">
        <v>7</v>
      </c>
      <c r="F8" t="str">
        <f>VLOOKUP(E8,Customer_Helper!$F$2:$G$13,2,FALSE)</f>
        <v>North</v>
      </c>
      <c r="G8" t="s">
        <v>186</v>
      </c>
    </row>
    <row r="9" spans="1:7" x14ac:dyDescent="0.25">
      <c r="A9" t="str">
        <f t="shared" si="0"/>
        <v>C0008</v>
      </c>
      <c r="B9" t="s">
        <v>368</v>
      </c>
      <c r="C9" t="str">
        <f>VLOOKUP(LEFT(B9,FIND(" ",B9)-1),Customer_Helper!$A$2:$B$101,2,FALSE)</f>
        <v>Male</v>
      </c>
      <c r="D9">
        <v>40</v>
      </c>
      <c r="E9" t="s">
        <v>16</v>
      </c>
      <c r="F9" t="str">
        <f>VLOOKUP(E9,Customer_Helper!$F$2:$G$13,2,FALSE)</f>
        <v>South</v>
      </c>
      <c r="G9" t="s">
        <v>185</v>
      </c>
    </row>
    <row r="10" spans="1:7" x14ac:dyDescent="0.25">
      <c r="A10" t="str">
        <f t="shared" si="0"/>
        <v>C0009</v>
      </c>
      <c r="B10" t="s">
        <v>369</v>
      </c>
      <c r="C10" t="str">
        <f>VLOOKUP(LEFT(B10,FIND(" ",B10)-1),Customer_Helper!$A$2:$B$101,2,FALSE)</f>
        <v>Male</v>
      </c>
      <c r="D10">
        <v>24</v>
      </c>
      <c r="E10" t="s">
        <v>9</v>
      </c>
      <c r="F10" t="str">
        <f>VLOOKUP(E10,Customer_Helper!$F$2:$G$13,2,FALSE)</f>
        <v>North</v>
      </c>
      <c r="G10" t="s">
        <v>186</v>
      </c>
    </row>
    <row r="11" spans="1:7" x14ac:dyDescent="0.25">
      <c r="A11" t="str">
        <f t="shared" si="0"/>
        <v>C0010</v>
      </c>
      <c r="B11" t="s">
        <v>370</v>
      </c>
      <c r="C11" t="str">
        <f>VLOOKUP(LEFT(B11,FIND(" ",B11)-1),Customer_Helper!$A$2:$B$101,2,FALSE)</f>
        <v>Female</v>
      </c>
      <c r="D11">
        <v>39</v>
      </c>
      <c r="E11" t="s">
        <v>290</v>
      </c>
      <c r="F11" t="str">
        <f>VLOOKUP(E11,Customer_Helper!$F$2:$G$13,2,FALSE)</f>
        <v>West</v>
      </c>
      <c r="G11" t="s">
        <v>186</v>
      </c>
    </row>
    <row r="12" spans="1:7" x14ac:dyDescent="0.25">
      <c r="A12" t="str">
        <f t="shared" si="0"/>
        <v>C0011</v>
      </c>
      <c r="B12" t="s">
        <v>371</v>
      </c>
      <c r="C12" t="str">
        <f>VLOOKUP(LEFT(B12,FIND(" ",B12)-1),Customer_Helper!$A$2:$B$101,2,FALSE)</f>
        <v>Female</v>
      </c>
      <c r="D12">
        <v>50</v>
      </c>
      <c r="E12" t="s">
        <v>290</v>
      </c>
      <c r="F12" t="str">
        <f>VLOOKUP(E12,Customer_Helper!$F$2:$G$13,2,FALSE)</f>
        <v>West</v>
      </c>
      <c r="G12" t="s">
        <v>185</v>
      </c>
    </row>
    <row r="13" spans="1:7" x14ac:dyDescent="0.25">
      <c r="A13" t="str">
        <f t="shared" si="0"/>
        <v>C0012</v>
      </c>
      <c r="B13" t="s">
        <v>372</v>
      </c>
      <c r="C13" t="str">
        <f>VLOOKUP(LEFT(B13,FIND(" ",B13)-1),Customer_Helper!$A$2:$B$101,2,FALSE)</f>
        <v>Female</v>
      </c>
      <c r="D13">
        <v>28</v>
      </c>
      <c r="E13" t="s">
        <v>289</v>
      </c>
      <c r="F13" t="str">
        <f>VLOOKUP(E13,Customer_Helper!$F$2:$G$13,2,FALSE)</f>
        <v>West</v>
      </c>
      <c r="G13" t="s">
        <v>187</v>
      </c>
    </row>
    <row r="14" spans="1:7" x14ac:dyDescent="0.25">
      <c r="A14" t="str">
        <f t="shared" si="0"/>
        <v>C0013</v>
      </c>
      <c r="B14" t="s">
        <v>373</v>
      </c>
      <c r="C14" t="str">
        <f>VLOOKUP(LEFT(B14,FIND(" ",B14)-1),Customer_Helper!$A$2:$B$101,2,FALSE)</f>
        <v>Male</v>
      </c>
      <c r="D14">
        <v>32</v>
      </c>
      <c r="E14" t="s">
        <v>9</v>
      </c>
      <c r="F14" t="str">
        <f>VLOOKUP(E14,Customer_Helper!$F$2:$G$13,2,FALSE)</f>
        <v>North</v>
      </c>
      <c r="G14" t="s">
        <v>186</v>
      </c>
    </row>
    <row r="15" spans="1:7" x14ac:dyDescent="0.25">
      <c r="A15" t="str">
        <f t="shared" si="0"/>
        <v>C0014</v>
      </c>
      <c r="B15" t="s">
        <v>374</v>
      </c>
      <c r="C15" t="str">
        <f>VLOOKUP(LEFT(B15,FIND(" ",B15)-1),Customer_Helper!$A$2:$B$101,2,FALSE)</f>
        <v>Female</v>
      </c>
      <c r="D15">
        <v>30</v>
      </c>
      <c r="E15" t="s">
        <v>14</v>
      </c>
      <c r="F15" t="str">
        <f>VLOOKUP(E15,Customer_Helper!$F$2:$G$13,2,FALSE)</f>
        <v>South</v>
      </c>
      <c r="G15" t="s">
        <v>186</v>
      </c>
    </row>
    <row r="16" spans="1:7" x14ac:dyDescent="0.25">
      <c r="A16" t="str">
        <f t="shared" si="0"/>
        <v>C0015</v>
      </c>
      <c r="B16" t="s">
        <v>375</v>
      </c>
      <c r="C16" t="str">
        <f>VLOOKUP(LEFT(B16,FIND(" ",B16)-1),Customer_Helper!$A$2:$B$101,2,FALSE)</f>
        <v>Male</v>
      </c>
      <c r="D16">
        <v>38</v>
      </c>
      <c r="E16" t="s">
        <v>290</v>
      </c>
      <c r="F16" t="str">
        <f>VLOOKUP(E16,Customer_Helper!$F$2:$G$13,2,FALSE)</f>
        <v>West</v>
      </c>
      <c r="G16" t="s">
        <v>185</v>
      </c>
    </row>
    <row r="17" spans="1:7" x14ac:dyDescent="0.25">
      <c r="A17" t="str">
        <f t="shared" si="0"/>
        <v>C0016</v>
      </c>
      <c r="B17" t="s">
        <v>376</v>
      </c>
      <c r="C17" t="str">
        <f>VLOOKUP(LEFT(B17,FIND(" ",B17)-1),Customer_Helper!$A$2:$B$101,2,FALSE)</f>
        <v>Female</v>
      </c>
      <c r="D17">
        <v>19</v>
      </c>
      <c r="E17" t="s">
        <v>4</v>
      </c>
      <c r="F17" t="str">
        <f>VLOOKUP(E17,Customer_Helper!$F$2:$G$13,2,FALSE)</f>
        <v>West</v>
      </c>
      <c r="G17" t="s">
        <v>185</v>
      </c>
    </row>
    <row r="18" spans="1:7" x14ac:dyDescent="0.25">
      <c r="A18" t="str">
        <f t="shared" si="0"/>
        <v>C0017</v>
      </c>
      <c r="B18" t="s">
        <v>377</v>
      </c>
      <c r="C18" t="str">
        <f>VLOOKUP(LEFT(B18,FIND(" ",B18)-1),Customer_Helper!$A$2:$B$101,2,FALSE)</f>
        <v>Female</v>
      </c>
      <c r="D18">
        <v>27</v>
      </c>
      <c r="E18" t="s">
        <v>14</v>
      </c>
      <c r="F18" t="str">
        <f>VLOOKUP(E18,Customer_Helper!$F$2:$G$13,2,FALSE)</f>
        <v>South</v>
      </c>
      <c r="G18" t="s">
        <v>186</v>
      </c>
    </row>
    <row r="19" spans="1:7" x14ac:dyDescent="0.25">
      <c r="A19" t="str">
        <f t="shared" si="0"/>
        <v>C0018</v>
      </c>
      <c r="B19" t="s">
        <v>378</v>
      </c>
      <c r="C19" t="str">
        <f>VLOOKUP(LEFT(B19,FIND(" ",B19)-1),Customer_Helper!$A$2:$B$101,2,FALSE)</f>
        <v>Male</v>
      </c>
      <c r="D19">
        <v>21</v>
      </c>
      <c r="E19" t="s">
        <v>17</v>
      </c>
      <c r="F19" t="str">
        <f>VLOOKUP(E19,Customer_Helper!$F$2:$G$13,2,FALSE)</f>
        <v>South</v>
      </c>
      <c r="G19" t="s">
        <v>185</v>
      </c>
    </row>
    <row r="20" spans="1:7" x14ac:dyDescent="0.25">
      <c r="A20" t="str">
        <f t="shared" si="0"/>
        <v>C0019</v>
      </c>
      <c r="B20" t="s">
        <v>95</v>
      </c>
      <c r="C20" t="str">
        <f>VLOOKUP(LEFT(B20,FIND(" ",B20)-1),Customer_Helper!$A$2:$B$101,2,FALSE)</f>
        <v>Male</v>
      </c>
      <c r="D20">
        <v>57</v>
      </c>
      <c r="E20" t="s">
        <v>4</v>
      </c>
      <c r="F20" t="str">
        <f>VLOOKUP(E20,Customer_Helper!$F$2:$G$13,2,FALSE)</f>
        <v>West</v>
      </c>
      <c r="G20" t="s">
        <v>186</v>
      </c>
    </row>
    <row r="21" spans="1:7" x14ac:dyDescent="0.25">
      <c r="A21" t="str">
        <f t="shared" si="0"/>
        <v>C0020</v>
      </c>
      <c r="B21" t="s">
        <v>379</v>
      </c>
      <c r="C21" t="str">
        <f>VLOOKUP(LEFT(B21,FIND(" ",B21)-1),Customer_Helper!$A$2:$B$101,2,FALSE)</f>
        <v>Male</v>
      </c>
      <c r="D21">
        <v>53</v>
      </c>
      <c r="E21" t="s">
        <v>2</v>
      </c>
      <c r="F21" t="str">
        <f>VLOOKUP(E21,Customer_Helper!$F$2:$G$13,2,FALSE)</f>
        <v>West</v>
      </c>
      <c r="G21" t="s">
        <v>185</v>
      </c>
    </row>
    <row r="22" spans="1:7" x14ac:dyDescent="0.25">
      <c r="A22" t="str">
        <f t="shared" si="0"/>
        <v>C0021</v>
      </c>
      <c r="B22" t="s">
        <v>380</v>
      </c>
      <c r="C22" t="str">
        <f>VLOOKUP(LEFT(B22,FIND(" ",B22)-1),Customer_Helper!$A$2:$B$101,2,FALSE)</f>
        <v>Female</v>
      </c>
      <c r="D22">
        <v>29</v>
      </c>
      <c r="E22" t="s">
        <v>9</v>
      </c>
      <c r="F22" t="str">
        <f>VLOOKUP(E22,Customer_Helper!$F$2:$G$13,2,FALSE)</f>
        <v>North</v>
      </c>
      <c r="G22" t="s">
        <v>187</v>
      </c>
    </row>
    <row r="23" spans="1:7" x14ac:dyDescent="0.25">
      <c r="A23" t="str">
        <f t="shared" si="0"/>
        <v>C0022</v>
      </c>
      <c r="B23" t="s">
        <v>381</v>
      </c>
      <c r="C23" t="str">
        <f>VLOOKUP(LEFT(B23,FIND(" ",B23)-1),Customer_Helper!$A$2:$B$101,2,FALSE)</f>
        <v>Female</v>
      </c>
      <c r="D23">
        <v>55</v>
      </c>
      <c r="E23" t="s">
        <v>2</v>
      </c>
      <c r="F23" t="str">
        <f>VLOOKUP(E23,Customer_Helper!$F$2:$G$13,2,FALSE)</f>
        <v>West</v>
      </c>
      <c r="G23" t="s">
        <v>185</v>
      </c>
    </row>
    <row r="24" spans="1:7" x14ac:dyDescent="0.25">
      <c r="A24" t="str">
        <f t="shared" si="0"/>
        <v>C0023</v>
      </c>
      <c r="B24" t="s">
        <v>382</v>
      </c>
      <c r="C24" t="str">
        <f>VLOOKUP(LEFT(B24,FIND(" ",B24)-1),Customer_Helper!$A$2:$B$101,2,FALSE)</f>
        <v>Male</v>
      </c>
      <c r="D24">
        <v>46</v>
      </c>
      <c r="E24" t="s">
        <v>289</v>
      </c>
      <c r="F24" t="str">
        <f>VLOOKUP(E24,Customer_Helper!$F$2:$G$13,2,FALSE)</f>
        <v>West</v>
      </c>
      <c r="G24" t="s">
        <v>187</v>
      </c>
    </row>
    <row r="25" spans="1:7" x14ac:dyDescent="0.25">
      <c r="A25" t="str">
        <f t="shared" si="0"/>
        <v>C0024</v>
      </c>
      <c r="B25" t="s">
        <v>383</v>
      </c>
      <c r="C25" t="str">
        <f>VLOOKUP(LEFT(B25,FIND(" ",B25)-1),Customer_Helper!$A$2:$B$101,2,FALSE)</f>
        <v>Male</v>
      </c>
      <c r="D25">
        <v>55</v>
      </c>
      <c r="E25" t="s">
        <v>17</v>
      </c>
      <c r="F25" t="str">
        <f>VLOOKUP(E25,Customer_Helper!$F$2:$G$13,2,FALSE)</f>
        <v>South</v>
      </c>
      <c r="G25" t="s">
        <v>185</v>
      </c>
    </row>
    <row r="26" spans="1:7" x14ac:dyDescent="0.25">
      <c r="A26" t="str">
        <f t="shared" si="0"/>
        <v>C0025</v>
      </c>
      <c r="B26" t="s">
        <v>384</v>
      </c>
      <c r="C26" t="str">
        <f>VLOOKUP(LEFT(B26,FIND(" ",B26)-1),Customer_Helper!$A$2:$B$101,2,FALSE)</f>
        <v>Female</v>
      </c>
      <c r="D26">
        <v>27</v>
      </c>
      <c r="E26" t="s">
        <v>4</v>
      </c>
      <c r="F26" t="str">
        <f>VLOOKUP(E26,Customer_Helper!$F$2:$G$13,2,FALSE)</f>
        <v>West</v>
      </c>
      <c r="G26" t="s">
        <v>187</v>
      </c>
    </row>
    <row r="27" spans="1:7" x14ac:dyDescent="0.25">
      <c r="A27" t="str">
        <f t="shared" si="0"/>
        <v>C0026</v>
      </c>
      <c r="B27" t="s">
        <v>385</v>
      </c>
      <c r="C27" t="str">
        <f>VLOOKUP(LEFT(B27,FIND(" ",B27)-1),Customer_Helper!$A$2:$B$101,2,FALSE)</f>
        <v>Male</v>
      </c>
      <c r="D27">
        <v>64</v>
      </c>
      <c r="E27" t="s">
        <v>16</v>
      </c>
      <c r="F27" t="str">
        <f>VLOOKUP(E27,Customer_Helper!$F$2:$G$13,2,FALSE)</f>
        <v>South</v>
      </c>
      <c r="G27" t="s">
        <v>186</v>
      </c>
    </row>
    <row r="28" spans="1:7" x14ac:dyDescent="0.25">
      <c r="A28" t="str">
        <f t="shared" si="0"/>
        <v>C0027</v>
      </c>
      <c r="B28" t="s">
        <v>386</v>
      </c>
      <c r="C28" t="str">
        <f>VLOOKUP(LEFT(B28,FIND(" ",B28)-1),Customer_Helper!$A$2:$B$101,2,FALSE)</f>
        <v>Male</v>
      </c>
      <c r="D28">
        <v>60</v>
      </c>
      <c r="E28" t="s">
        <v>289</v>
      </c>
      <c r="F28" t="str">
        <f>VLOOKUP(E28,Customer_Helper!$F$2:$G$13,2,FALSE)</f>
        <v>West</v>
      </c>
      <c r="G28" t="s">
        <v>187</v>
      </c>
    </row>
    <row r="29" spans="1:7" x14ac:dyDescent="0.25">
      <c r="A29" t="str">
        <f t="shared" si="0"/>
        <v>C0028</v>
      </c>
      <c r="B29" t="s">
        <v>387</v>
      </c>
      <c r="C29" t="str">
        <f>VLOOKUP(LEFT(B29,FIND(" ",B29)-1),Customer_Helper!$A$2:$B$101,2,FALSE)</f>
        <v>Male</v>
      </c>
      <c r="D29">
        <v>30</v>
      </c>
      <c r="E29" t="s">
        <v>9</v>
      </c>
      <c r="F29" t="str">
        <f>VLOOKUP(E29,Customer_Helper!$F$2:$G$13,2,FALSE)</f>
        <v>North</v>
      </c>
      <c r="G29" t="s">
        <v>187</v>
      </c>
    </row>
    <row r="30" spans="1:7" x14ac:dyDescent="0.25">
      <c r="A30" t="str">
        <f t="shared" si="0"/>
        <v>C0029</v>
      </c>
      <c r="B30" t="s">
        <v>388</v>
      </c>
      <c r="C30" t="str">
        <f>VLOOKUP(LEFT(B30,FIND(" ",B30)-1),Customer_Helper!$A$2:$B$101,2,FALSE)</f>
        <v>Male</v>
      </c>
      <c r="D30">
        <v>23</v>
      </c>
      <c r="E30" t="s">
        <v>10</v>
      </c>
      <c r="F30" t="str">
        <f>VLOOKUP(E30,Customer_Helper!$F$2:$G$13,2,FALSE)</f>
        <v>North</v>
      </c>
      <c r="G30" t="s">
        <v>185</v>
      </c>
    </row>
    <row r="31" spans="1:7" x14ac:dyDescent="0.25">
      <c r="A31" t="str">
        <f t="shared" si="0"/>
        <v>C0030</v>
      </c>
      <c r="B31" t="s">
        <v>389</v>
      </c>
      <c r="C31" t="str">
        <f>VLOOKUP(LEFT(B31,FIND(" ",B31)-1),Customer_Helper!$A$2:$B$101,2,FALSE)</f>
        <v>Female</v>
      </c>
      <c r="D31">
        <v>26</v>
      </c>
      <c r="E31" t="s">
        <v>10</v>
      </c>
      <c r="F31" t="str">
        <f>VLOOKUP(E31,Customer_Helper!$F$2:$G$13,2,FALSE)</f>
        <v>North</v>
      </c>
      <c r="G31" t="s">
        <v>187</v>
      </c>
    </row>
    <row r="32" spans="1:7" x14ac:dyDescent="0.25">
      <c r="A32" t="str">
        <f t="shared" si="0"/>
        <v>C0031</v>
      </c>
      <c r="B32" t="s">
        <v>390</v>
      </c>
      <c r="C32" t="str">
        <f>VLOOKUP(LEFT(B32,FIND(" ",B32)-1),Customer_Helper!$A$2:$B$101,2,FALSE)</f>
        <v>Male</v>
      </c>
      <c r="D32">
        <v>42</v>
      </c>
      <c r="E32" t="s">
        <v>4</v>
      </c>
      <c r="F32" t="str">
        <f>VLOOKUP(E32,Customer_Helper!$F$2:$G$13,2,FALSE)</f>
        <v>West</v>
      </c>
      <c r="G32" t="s">
        <v>187</v>
      </c>
    </row>
    <row r="33" spans="1:7" x14ac:dyDescent="0.25">
      <c r="A33" t="str">
        <f t="shared" si="0"/>
        <v>C0032</v>
      </c>
      <c r="B33" t="s">
        <v>391</v>
      </c>
      <c r="C33" t="str">
        <f>VLOOKUP(LEFT(B33,FIND(" ",B33)-1),Customer_Helper!$A$2:$B$101,2,FALSE)</f>
        <v>Male</v>
      </c>
      <c r="D33">
        <v>55</v>
      </c>
      <c r="E33" t="s">
        <v>17</v>
      </c>
      <c r="F33" t="str">
        <f>VLOOKUP(E33,Customer_Helper!$F$2:$G$13,2,FALSE)</f>
        <v>South</v>
      </c>
      <c r="G33" t="s">
        <v>187</v>
      </c>
    </row>
    <row r="34" spans="1:7" x14ac:dyDescent="0.25">
      <c r="A34" t="str">
        <f t="shared" si="0"/>
        <v>C0033</v>
      </c>
      <c r="B34" t="s">
        <v>392</v>
      </c>
      <c r="C34" t="str">
        <f>VLOOKUP(LEFT(B34,FIND(" ",B34)-1),Customer_Helper!$A$2:$B$101,2,FALSE)</f>
        <v>Male</v>
      </c>
      <c r="D34">
        <v>62</v>
      </c>
      <c r="E34" t="s">
        <v>17</v>
      </c>
      <c r="F34" t="str">
        <f>VLOOKUP(E34,Customer_Helper!$F$2:$G$13,2,FALSE)</f>
        <v>South</v>
      </c>
      <c r="G34" t="s">
        <v>187</v>
      </c>
    </row>
    <row r="35" spans="1:7" x14ac:dyDescent="0.25">
      <c r="A35" t="str">
        <f t="shared" si="0"/>
        <v>C0034</v>
      </c>
      <c r="B35" t="s">
        <v>393</v>
      </c>
      <c r="C35" t="str">
        <f>VLOOKUP(LEFT(B35,FIND(" ",B35)-1),Customer_Helper!$A$2:$B$101,2,FALSE)</f>
        <v>Male</v>
      </c>
      <c r="D35">
        <v>46</v>
      </c>
      <c r="E35" t="s">
        <v>14</v>
      </c>
      <c r="F35" t="str">
        <f>VLOOKUP(E35,Customer_Helper!$F$2:$G$13,2,FALSE)</f>
        <v>South</v>
      </c>
      <c r="G35" t="s">
        <v>186</v>
      </c>
    </row>
    <row r="36" spans="1:7" x14ac:dyDescent="0.25">
      <c r="A36" t="str">
        <f t="shared" si="0"/>
        <v>C0035</v>
      </c>
      <c r="B36" t="s">
        <v>394</v>
      </c>
      <c r="C36" t="str">
        <f>VLOOKUP(LEFT(B36,FIND(" ",B36)-1),Customer_Helper!$A$2:$B$101,2,FALSE)</f>
        <v>Female</v>
      </c>
      <c r="D36">
        <v>59</v>
      </c>
      <c r="E36" t="s">
        <v>10</v>
      </c>
      <c r="F36" t="str">
        <f>VLOOKUP(E36,Customer_Helper!$F$2:$G$13,2,FALSE)</f>
        <v>North</v>
      </c>
      <c r="G36" t="s">
        <v>185</v>
      </c>
    </row>
    <row r="37" spans="1:7" x14ac:dyDescent="0.25">
      <c r="A37" t="str">
        <f t="shared" si="0"/>
        <v>C0036</v>
      </c>
      <c r="B37" t="s">
        <v>395</v>
      </c>
      <c r="C37" t="str">
        <f>VLOOKUP(LEFT(B37,FIND(" ",B37)-1),Customer_Helper!$A$2:$B$101,2,FALSE)</f>
        <v>Male</v>
      </c>
      <c r="D37">
        <v>30</v>
      </c>
      <c r="E37" t="s">
        <v>16</v>
      </c>
      <c r="F37" t="str">
        <f>VLOOKUP(E37,Customer_Helper!$F$2:$G$13,2,FALSE)</f>
        <v>South</v>
      </c>
      <c r="G37" t="s">
        <v>187</v>
      </c>
    </row>
    <row r="38" spans="1:7" x14ac:dyDescent="0.25">
      <c r="A38" t="str">
        <f t="shared" si="0"/>
        <v>C0037</v>
      </c>
      <c r="B38" t="s">
        <v>396</v>
      </c>
      <c r="C38" t="str">
        <f>VLOOKUP(LEFT(B38,FIND(" ",B38)-1),Customer_Helper!$A$2:$B$101,2,FALSE)</f>
        <v>Male</v>
      </c>
      <c r="D38">
        <v>39</v>
      </c>
      <c r="E38" t="s">
        <v>16</v>
      </c>
      <c r="F38" t="str">
        <f>VLOOKUP(E38,Customer_Helper!$F$2:$G$13,2,FALSE)</f>
        <v>South</v>
      </c>
      <c r="G38" t="s">
        <v>185</v>
      </c>
    </row>
    <row r="39" spans="1:7" x14ac:dyDescent="0.25">
      <c r="A39" t="str">
        <f t="shared" si="0"/>
        <v>C0038</v>
      </c>
      <c r="B39" t="s">
        <v>397</v>
      </c>
      <c r="C39" t="str">
        <f>VLOOKUP(LEFT(B39,FIND(" ",B39)-1),Customer_Helper!$A$2:$B$101,2,FALSE)</f>
        <v>Male</v>
      </c>
      <c r="D39">
        <v>31</v>
      </c>
      <c r="E39" t="s">
        <v>10</v>
      </c>
      <c r="F39" t="str">
        <f>VLOOKUP(E39,Customer_Helper!$F$2:$G$13,2,FALSE)</f>
        <v>North</v>
      </c>
      <c r="G39" t="s">
        <v>185</v>
      </c>
    </row>
    <row r="40" spans="1:7" x14ac:dyDescent="0.25">
      <c r="A40" t="str">
        <f t="shared" si="0"/>
        <v>C0039</v>
      </c>
      <c r="B40" t="s">
        <v>398</v>
      </c>
      <c r="C40" t="str">
        <f>VLOOKUP(LEFT(B40,FIND(" ",B40)-1),Customer_Helper!$A$2:$B$101,2,FALSE)</f>
        <v>Male</v>
      </c>
      <c r="D40">
        <v>61</v>
      </c>
      <c r="E40" t="s">
        <v>7</v>
      </c>
      <c r="F40" t="str">
        <f>VLOOKUP(E40,Customer_Helper!$F$2:$G$13,2,FALSE)</f>
        <v>North</v>
      </c>
      <c r="G40" t="s">
        <v>187</v>
      </c>
    </row>
    <row r="41" spans="1:7" x14ac:dyDescent="0.25">
      <c r="A41" t="str">
        <f t="shared" si="0"/>
        <v>C0040</v>
      </c>
      <c r="B41" t="s">
        <v>399</v>
      </c>
      <c r="C41" t="str">
        <f>VLOOKUP(LEFT(B41,FIND(" ",B41)-1),Customer_Helper!$A$2:$B$101,2,FALSE)</f>
        <v>Female</v>
      </c>
      <c r="D41">
        <v>25</v>
      </c>
      <c r="E41" t="s">
        <v>17</v>
      </c>
      <c r="F41" t="str">
        <f>VLOOKUP(E41,Customer_Helper!$F$2:$G$13,2,FALSE)</f>
        <v>South</v>
      </c>
      <c r="G41" t="s">
        <v>187</v>
      </c>
    </row>
    <row r="42" spans="1:7" x14ac:dyDescent="0.25">
      <c r="A42" t="str">
        <f t="shared" si="0"/>
        <v>C0041</v>
      </c>
      <c r="B42" t="s">
        <v>400</v>
      </c>
      <c r="C42" t="str">
        <f>VLOOKUP(LEFT(B42,FIND(" ",B42)-1),Customer_Helper!$A$2:$B$101,2,FALSE)</f>
        <v>Male</v>
      </c>
      <c r="D42">
        <v>49</v>
      </c>
      <c r="E42" t="s">
        <v>11</v>
      </c>
      <c r="F42" t="str">
        <f>VLOOKUP(E42,Customer_Helper!$F$2:$G$13,2,FALSE)</f>
        <v>East</v>
      </c>
      <c r="G42" t="s">
        <v>186</v>
      </c>
    </row>
    <row r="43" spans="1:7" x14ac:dyDescent="0.25">
      <c r="A43" t="str">
        <f t="shared" si="0"/>
        <v>C0042</v>
      </c>
      <c r="B43" t="s">
        <v>401</v>
      </c>
      <c r="C43" t="str">
        <f>VLOOKUP(LEFT(B43,FIND(" ",B43)-1),Customer_Helper!$A$2:$B$101,2,FALSE)</f>
        <v>Female</v>
      </c>
      <c r="D43">
        <v>39</v>
      </c>
      <c r="E43" t="s">
        <v>4</v>
      </c>
      <c r="F43" t="str">
        <f>VLOOKUP(E43,Customer_Helper!$F$2:$G$13,2,FALSE)</f>
        <v>West</v>
      </c>
      <c r="G43" t="s">
        <v>185</v>
      </c>
    </row>
    <row r="44" spans="1:7" x14ac:dyDescent="0.25">
      <c r="A44" t="str">
        <f t="shared" si="0"/>
        <v>C0043</v>
      </c>
      <c r="B44" t="s">
        <v>402</v>
      </c>
      <c r="C44" t="str">
        <f>VLOOKUP(LEFT(B44,FIND(" ",B44)-1),Customer_Helper!$A$2:$B$101,2,FALSE)</f>
        <v>Male</v>
      </c>
      <c r="D44">
        <v>31</v>
      </c>
      <c r="E44" t="s">
        <v>5</v>
      </c>
      <c r="F44" t="str">
        <f>VLOOKUP(E44,Customer_Helper!$F$2:$G$13,2,FALSE)</f>
        <v>West</v>
      </c>
      <c r="G44" t="s">
        <v>185</v>
      </c>
    </row>
    <row r="45" spans="1:7" x14ac:dyDescent="0.25">
      <c r="A45" t="str">
        <f t="shared" si="0"/>
        <v>C0044</v>
      </c>
      <c r="B45" t="s">
        <v>403</v>
      </c>
      <c r="C45" t="str">
        <f>VLOOKUP(LEFT(B45,FIND(" ",B45)-1),Customer_Helper!$A$2:$B$101,2,FALSE)</f>
        <v>Female</v>
      </c>
      <c r="D45">
        <v>41</v>
      </c>
      <c r="E45" t="s">
        <v>17</v>
      </c>
      <c r="F45" t="str">
        <f>VLOOKUP(E45,Customer_Helper!$F$2:$G$13,2,FALSE)</f>
        <v>South</v>
      </c>
      <c r="G45" t="s">
        <v>186</v>
      </c>
    </row>
    <row r="46" spans="1:7" x14ac:dyDescent="0.25">
      <c r="A46" t="str">
        <f t="shared" si="0"/>
        <v>C0045</v>
      </c>
      <c r="B46" t="s">
        <v>404</v>
      </c>
      <c r="C46" t="str">
        <f>VLOOKUP(LEFT(B46,FIND(" ",B46)-1),Customer_Helper!$A$2:$B$101,2,FALSE)</f>
        <v>Male</v>
      </c>
      <c r="D46">
        <v>31</v>
      </c>
      <c r="E46" t="s">
        <v>289</v>
      </c>
      <c r="F46" t="str">
        <f>VLOOKUP(E46,Customer_Helper!$F$2:$G$13,2,FALSE)</f>
        <v>West</v>
      </c>
      <c r="G46" t="s">
        <v>185</v>
      </c>
    </row>
    <row r="47" spans="1:7" x14ac:dyDescent="0.25">
      <c r="A47" t="str">
        <f t="shared" si="0"/>
        <v>C0046</v>
      </c>
      <c r="B47" t="s">
        <v>405</v>
      </c>
      <c r="C47" t="str">
        <f>VLOOKUP(LEFT(B47,FIND(" ",B47)-1),Customer_Helper!$A$2:$B$101,2,FALSE)</f>
        <v>Male</v>
      </c>
      <c r="D47">
        <v>21</v>
      </c>
      <c r="E47" t="s">
        <v>11</v>
      </c>
      <c r="F47" t="str">
        <f>VLOOKUP(E47,Customer_Helper!$F$2:$G$13,2,FALSE)</f>
        <v>East</v>
      </c>
      <c r="G47" t="s">
        <v>186</v>
      </c>
    </row>
    <row r="48" spans="1:7" x14ac:dyDescent="0.25">
      <c r="A48" t="str">
        <f t="shared" si="0"/>
        <v>C0047</v>
      </c>
      <c r="B48" t="s">
        <v>406</v>
      </c>
      <c r="C48" t="str">
        <f>VLOOKUP(LEFT(B48,FIND(" ",B48)-1),Customer_Helper!$A$2:$B$101,2,FALSE)</f>
        <v>Female</v>
      </c>
      <c r="D48">
        <v>21</v>
      </c>
      <c r="E48" t="s">
        <v>11</v>
      </c>
      <c r="F48" t="str">
        <f>VLOOKUP(E48,Customer_Helper!$F$2:$G$13,2,FALSE)</f>
        <v>East</v>
      </c>
      <c r="G48" t="s">
        <v>186</v>
      </c>
    </row>
    <row r="49" spans="1:7" x14ac:dyDescent="0.25">
      <c r="A49" t="str">
        <f t="shared" si="0"/>
        <v>C0048</v>
      </c>
      <c r="B49" t="s">
        <v>407</v>
      </c>
      <c r="C49" t="str">
        <f>VLOOKUP(LEFT(B49,FIND(" ",B49)-1),Customer_Helper!$A$2:$B$101,2,FALSE)</f>
        <v>Female</v>
      </c>
      <c r="D49">
        <v>30</v>
      </c>
      <c r="E49" t="s">
        <v>4</v>
      </c>
      <c r="F49" t="str">
        <f>VLOOKUP(E49,Customer_Helper!$F$2:$G$13,2,FALSE)</f>
        <v>West</v>
      </c>
      <c r="G49" t="s">
        <v>187</v>
      </c>
    </row>
    <row r="50" spans="1:7" x14ac:dyDescent="0.25">
      <c r="A50" t="str">
        <f t="shared" si="0"/>
        <v>C0049</v>
      </c>
      <c r="B50" t="s">
        <v>408</v>
      </c>
      <c r="C50" t="str">
        <f>VLOOKUP(LEFT(B50,FIND(" ",B50)-1),Customer_Helper!$A$2:$B$101,2,FALSE)</f>
        <v>Male</v>
      </c>
      <c r="D50">
        <v>42</v>
      </c>
      <c r="E50" t="s">
        <v>16</v>
      </c>
      <c r="F50" t="str">
        <f>VLOOKUP(E50,Customer_Helper!$F$2:$G$13,2,FALSE)</f>
        <v>South</v>
      </c>
      <c r="G50" t="s">
        <v>185</v>
      </c>
    </row>
    <row r="51" spans="1:7" x14ac:dyDescent="0.25">
      <c r="A51" t="str">
        <f t="shared" si="0"/>
        <v>C0050</v>
      </c>
      <c r="B51" t="s">
        <v>409</v>
      </c>
      <c r="C51" t="str">
        <f>VLOOKUP(LEFT(B51,FIND(" ",B51)-1),Customer_Helper!$A$2:$B$101,2,FALSE)</f>
        <v>Male</v>
      </c>
      <c r="D51">
        <v>62</v>
      </c>
      <c r="E51" t="s">
        <v>10</v>
      </c>
      <c r="F51" t="str">
        <f>VLOOKUP(E51,Customer_Helper!$F$2:$G$13,2,FALSE)</f>
        <v>North</v>
      </c>
      <c r="G51" t="s">
        <v>185</v>
      </c>
    </row>
    <row r="52" spans="1:7" x14ac:dyDescent="0.25">
      <c r="A52" t="str">
        <f t="shared" si="0"/>
        <v>C0051</v>
      </c>
      <c r="B52" t="s">
        <v>410</v>
      </c>
      <c r="C52" t="str">
        <f>VLOOKUP(LEFT(B52,FIND(" ",B52)-1),Customer_Helper!$A$2:$B$101,2,FALSE)</f>
        <v>Male</v>
      </c>
      <c r="D52">
        <v>43</v>
      </c>
      <c r="E52" t="s">
        <v>10</v>
      </c>
      <c r="F52" t="str">
        <f>VLOOKUP(E52,Customer_Helper!$F$2:$G$13,2,FALSE)</f>
        <v>North</v>
      </c>
      <c r="G52" t="s">
        <v>185</v>
      </c>
    </row>
    <row r="53" spans="1:7" x14ac:dyDescent="0.25">
      <c r="A53" t="str">
        <f t="shared" si="0"/>
        <v>C0052</v>
      </c>
      <c r="B53" t="s">
        <v>411</v>
      </c>
      <c r="C53" t="str">
        <f>VLOOKUP(LEFT(B53,FIND(" ",B53)-1),Customer_Helper!$A$2:$B$101,2,FALSE)</f>
        <v>Female</v>
      </c>
      <c r="D53">
        <v>45</v>
      </c>
      <c r="E53" t="s">
        <v>17</v>
      </c>
      <c r="F53" t="str">
        <f>VLOOKUP(E53,Customer_Helper!$F$2:$G$13,2,FALSE)</f>
        <v>South</v>
      </c>
      <c r="G53" t="s">
        <v>187</v>
      </c>
    </row>
    <row r="54" spans="1:7" x14ac:dyDescent="0.25">
      <c r="A54" t="str">
        <f t="shared" si="0"/>
        <v>C0053</v>
      </c>
      <c r="B54" t="s">
        <v>412</v>
      </c>
      <c r="C54" t="str">
        <f>VLOOKUP(LEFT(B54,FIND(" ",B54)-1),Customer_Helper!$A$2:$B$101,2,FALSE)</f>
        <v>Female</v>
      </c>
      <c r="D54">
        <v>57</v>
      </c>
      <c r="E54" t="s">
        <v>9</v>
      </c>
      <c r="F54" t="str">
        <f>VLOOKUP(E54,Customer_Helper!$F$2:$G$13,2,FALSE)</f>
        <v>North</v>
      </c>
      <c r="G54" t="s">
        <v>185</v>
      </c>
    </row>
    <row r="55" spans="1:7" x14ac:dyDescent="0.25">
      <c r="A55" t="str">
        <f t="shared" si="0"/>
        <v>C0054</v>
      </c>
      <c r="B55" t="s">
        <v>413</v>
      </c>
      <c r="C55" t="str">
        <f>VLOOKUP(LEFT(B55,FIND(" ",B55)-1),Customer_Helper!$A$2:$B$101,2,FALSE)</f>
        <v>Female</v>
      </c>
      <c r="D55">
        <v>56</v>
      </c>
      <c r="E55" t="s">
        <v>4</v>
      </c>
      <c r="F55" t="str">
        <f>VLOOKUP(E55,Customer_Helper!$F$2:$G$13,2,FALSE)</f>
        <v>West</v>
      </c>
      <c r="G55" t="s">
        <v>186</v>
      </c>
    </row>
    <row r="56" spans="1:7" x14ac:dyDescent="0.25">
      <c r="A56" t="str">
        <f t="shared" si="0"/>
        <v>C0055</v>
      </c>
      <c r="B56" t="s">
        <v>414</v>
      </c>
      <c r="C56" t="str">
        <f>VLOOKUP(LEFT(B56,FIND(" ",B56)-1),Customer_Helper!$A$2:$B$101,2,FALSE)</f>
        <v>Male</v>
      </c>
      <c r="D56">
        <v>61</v>
      </c>
      <c r="E56" t="s">
        <v>289</v>
      </c>
      <c r="F56" t="str">
        <f>VLOOKUP(E56,Customer_Helper!$F$2:$G$13,2,FALSE)</f>
        <v>West</v>
      </c>
      <c r="G56" t="s">
        <v>185</v>
      </c>
    </row>
    <row r="57" spans="1:7" x14ac:dyDescent="0.25">
      <c r="A57" t="str">
        <f t="shared" si="0"/>
        <v>C0056</v>
      </c>
      <c r="B57" t="s">
        <v>415</v>
      </c>
      <c r="C57" t="str">
        <f>VLOOKUP(LEFT(B57,FIND(" ",B57)-1),Customer_Helper!$A$2:$B$101,2,FALSE)</f>
        <v>Male</v>
      </c>
      <c r="D57">
        <v>48</v>
      </c>
      <c r="E57" t="s">
        <v>4</v>
      </c>
      <c r="F57" t="str">
        <f>VLOOKUP(E57,Customer_Helper!$F$2:$G$13,2,FALSE)</f>
        <v>West</v>
      </c>
      <c r="G57" t="s">
        <v>187</v>
      </c>
    </row>
    <row r="58" spans="1:7" x14ac:dyDescent="0.25">
      <c r="A58" t="str">
        <f t="shared" si="0"/>
        <v>C0057</v>
      </c>
      <c r="B58" t="s">
        <v>416</v>
      </c>
      <c r="C58" t="str">
        <f>VLOOKUP(LEFT(B58,FIND(" ",B58)-1),Customer_Helper!$A$2:$B$101,2,FALSE)</f>
        <v>Male</v>
      </c>
      <c r="D58">
        <v>51</v>
      </c>
      <c r="E58" t="s">
        <v>289</v>
      </c>
      <c r="F58" t="str">
        <f>VLOOKUP(E58,Customer_Helper!$F$2:$G$13,2,FALSE)</f>
        <v>West</v>
      </c>
      <c r="G58" t="s">
        <v>187</v>
      </c>
    </row>
    <row r="59" spans="1:7" x14ac:dyDescent="0.25">
      <c r="A59" t="str">
        <f t="shared" si="0"/>
        <v>C0058</v>
      </c>
      <c r="B59" t="s">
        <v>417</v>
      </c>
      <c r="C59" t="str">
        <f>VLOOKUP(LEFT(B59,FIND(" ",B59)-1),Customer_Helper!$A$2:$B$101,2,FALSE)</f>
        <v>Male</v>
      </c>
      <c r="D59">
        <v>20</v>
      </c>
      <c r="E59" t="s">
        <v>290</v>
      </c>
      <c r="F59" t="str">
        <f>VLOOKUP(E59,Customer_Helper!$F$2:$G$13,2,FALSE)</f>
        <v>West</v>
      </c>
      <c r="G59" t="s">
        <v>187</v>
      </c>
    </row>
    <row r="60" spans="1:7" x14ac:dyDescent="0.25">
      <c r="A60" t="str">
        <f t="shared" si="0"/>
        <v>C0059</v>
      </c>
      <c r="B60" t="s">
        <v>418</v>
      </c>
      <c r="C60" t="str">
        <f>VLOOKUP(LEFT(B60,FIND(" ",B60)-1),Customer_Helper!$A$2:$B$101,2,FALSE)</f>
        <v>Female</v>
      </c>
      <c r="D60">
        <v>55</v>
      </c>
      <c r="E60" t="s">
        <v>290</v>
      </c>
      <c r="F60" t="str">
        <f>VLOOKUP(E60,Customer_Helper!$F$2:$G$13,2,FALSE)</f>
        <v>West</v>
      </c>
      <c r="G60" t="s">
        <v>186</v>
      </c>
    </row>
    <row r="61" spans="1:7" x14ac:dyDescent="0.25">
      <c r="A61" t="str">
        <f t="shared" si="0"/>
        <v>C0060</v>
      </c>
      <c r="B61" t="s">
        <v>419</v>
      </c>
      <c r="C61" t="str">
        <f>VLOOKUP(LEFT(B61,FIND(" ",B61)-1),Customer_Helper!$A$2:$B$101,2,FALSE)</f>
        <v>Male</v>
      </c>
      <c r="D61">
        <v>18</v>
      </c>
      <c r="E61" t="s">
        <v>290</v>
      </c>
      <c r="F61" t="str">
        <f>VLOOKUP(E61,Customer_Helper!$F$2:$G$13,2,FALSE)</f>
        <v>West</v>
      </c>
      <c r="G61" t="s">
        <v>186</v>
      </c>
    </row>
    <row r="62" spans="1:7" x14ac:dyDescent="0.25">
      <c r="A62" t="str">
        <f t="shared" si="0"/>
        <v>C0061</v>
      </c>
      <c r="B62" t="s">
        <v>420</v>
      </c>
      <c r="C62" t="str">
        <f>VLOOKUP(LEFT(B62,FIND(" ",B62)-1),Customer_Helper!$A$2:$B$101,2,FALSE)</f>
        <v>Male</v>
      </c>
      <c r="D62">
        <v>64</v>
      </c>
      <c r="E62" t="s">
        <v>9</v>
      </c>
      <c r="F62" t="str">
        <f>VLOOKUP(E62,Customer_Helper!$F$2:$G$13,2,FALSE)</f>
        <v>North</v>
      </c>
      <c r="G62" t="s">
        <v>187</v>
      </c>
    </row>
    <row r="63" spans="1:7" x14ac:dyDescent="0.25">
      <c r="A63" t="str">
        <f t="shared" si="0"/>
        <v>C0062</v>
      </c>
      <c r="B63" t="s">
        <v>421</v>
      </c>
      <c r="C63" t="str">
        <f>VLOOKUP(LEFT(B63,FIND(" ",B63)-1),Customer_Helper!$A$2:$B$101,2,FALSE)</f>
        <v>Female</v>
      </c>
      <c r="D63">
        <v>38</v>
      </c>
      <c r="E63" t="s">
        <v>11</v>
      </c>
      <c r="F63" t="str">
        <f>VLOOKUP(E63,Customer_Helper!$F$2:$G$13,2,FALSE)</f>
        <v>East</v>
      </c>
      <c r="G63" t="s">
        <v>187</v>
      </c>
    </row>
    <row r="64" spans="1:7" x14ac:dyDescent="0.25">
      <c r="A64" t="str">
        <f t="shared" si="0"/>
        <v>C0063</v>
      </c>
      <c r="B64" t="s">
        <v>422</v>
      </c>
      <c r="C64" t="str">
        <f>VLOOKUP(LEFT(B64,FIND(" ",B64)-1),Customer_Helper!$A$2:$B$101,2,FALSE)</f>
        <v>Female</v>
      </c>
      <c r="D64">
        <v>48</v>
      </c>
      <c r="E64" t="s">
        <v>9</v>
      </c>
      <c r="F64" t="str">
        <f>VLOOKUP(E64,Customer_Helper!$F$2:$G$13,2,FALSE)</f>
        <v>North</v>
      </c>
      <c r="G64" t="s">
        <v>186</v>
      </c>
    </row>
    <row r="65" spans="1:7" x14ac:dyDescent="0.25">
      <c r="A65" t="str">
        <f t="shared" si="0"/>
        <v>C0064</v>
      </c>
      <c r="B65" t="s">
        <v>423</v>
      </c>
      <c r="C65" t="str">
        <f>VLOOKUP(LEFT(B65,FIND(" ",B65)-1),Customer_Helper!$A$2:$B$101,2,FALSE)</f>
        <v>Female</v>
      </c>
      <c r="D65">
        <v>65</v>
      </c>
      <c r="E65" t="s">
        <v>2</v>
      </c>
      <c r="F65" t="str">
        <f>VLOOKUP(E65,Customer_Helper!$F$2:$G$13,2,FALSE)</f>
        <v>West</v>
      </c>
      <c r="G65" t="s">
        <v>186</v>
      </c>
    </row>
    <row r="66" spans="1:7" x14ac:dyDescent="0.25">
      <c r="A66" t="str">
        <f t="shared" si="0"/>
        <v>C0065</v>
      </c>
      <c r="B66" t="s">
        <v>424</v>
      </c>
      <c r="C66" t="str">
        <f>VLOOKUP(LEFT(B66,FIND(" ",B66)-1),Customer_Helper!$A$2:$B$101,2,FALSE)</f>
        <v>Female</v>
      </c>
      <c r="D66">
        <v>23</v>
      </c>
      <c r="E66" t="s">
        <v>2</v>
      </c>
      <c r="F66" t="str">
        <f>VLOOKUP(E66,Customer_Helper!$F$2:$G$13,2,FALSE)</f>
        <v>West</v>
      </c>
      <c r="G66" t="s">
        <v>187</v>
      </c>
    </row>
    <row r="67" spans="1:7" x14ac:dyDescent="0.25">
      <c r="A67" t="str">
        <f t="shared" ref="A67:A130" si="1">"C"&amp;TEXT(ROW()-1,"0000")</f>
        <v>C0066</v>
      </c>
      <c r="B67" t="s">
        <v>425</v>
      </c>
      <c r="C67" t="str">
        <f>VLOOKUP(LEFT(B67,FIND(" ",B67)-1),Customer_Helper!$A$2:$B$101,2,FALSE)</f>
        <v>Female</v>
      </c>
      <c r="D67">
        <v>40</v>
      </c>
      <c r="E67" t="s">
        <v>7</v>
      </c>
      <c r="F67" t="str">
        <f>VLOOKUP(E67,Customer_Helper!$F$2:$G$13,2,FALSE)</f>
        <v>North</v>
      </c>
      <c r="G67" t="s">
        <v>185</v>
      </c>
    </row>
    <row r="68" spans="1:7" x14ac:dyDescent="0.25">
      <c r="A68" t="str">
        <f t="shared" si="1"/>
        <v>C0067</v>
      </c>
      <c r="B68" t="s">
        <v>426</v>
      </c>
      <c r="C68" t="str">
        <f>VLOOKUP(LEFT(B68,FIND(" ",B68)-1),Customer_Helper!$A$2:$B$101,2,FALSE)</f>
        <v>Male</v>
      </c>
      <c r="D68">
        <v>46</v>
      </c>
      <c r="E68" t="s">
        <v>4</v>
      </c>
      <c r="F68" t="str">
        <f>VLOOKUP(E68,Customer_Helper!$F$2:$G$13,2,FALSE)</f>
        <v>West</v>
      </c>
      <c r="G68" t="s">
        <v>187</v>
      </c>
    </row>
    <row r="69" spans="1:7" x14ac:dyDescent="0.25">
      <c r="A69" t="str">
        <f t="shared" si="1"/>
        <v>C0068</v>
      </c>
      <c r="B69" t="s">
        <v>427</v>
      </c>
      <c r="C69" t="str">
        <f>VLOOKUP(LEFT(B69,FIND(" ",B69)-1),Customer_Helper!$A$2:$B$101,2,FALSE)</f>
        <v>Female</v>
      </c>
      <c r="D69">
        <v>26</v>
      </c>
      <c r="E69" t="s">
        <v>17</v>
      </c>
      <c r="F69" t="str">
        <f>VLOOKUP(E69,Customer_Helper!$F$2:$G$13,2,FALSE)</f>
        <v>South</v>
      </c>
      <c r="G69" t="s">
        <v>185</v>
      </c>
    </row>
    <row r="70" spans="1:7" x14ac:dyDescent="0.25">
      <c r="A70" t="str">
        <f t="shared" si="1"/>
        <v>C0069</v>
      </c>
      <c r="B70" t="s">
        <v>428</v>
      </c>
      <c r="C70" t="str">
        <f>VLOOKUP(LEFT(B70,FIND(" ",B70)-1),Customer_Helper!$A$2:$B$101,2,FALSE)</f>
        <v>Female</v>
      </c>
      <c r="D70">
        <v>32</v>
      </c>
      <c r="E70" t="s">
        <v>11</v>
      </c>
      <c r="F70" t="str">
        <f>VLOOKUP(E70,Customer_Helper!$F$2:$G$13,2,FALSE)</f>
        <v>East</v>
      </c>
      <c r="G70" t="s">
        <v>187</v>
      </c>
    </row>
    <row r="71" spans="1:7" x14ac:dyDescent="0.25">
      <c r="A71" t="str">
        <f t="shared" si="1"/>
        <v>C0070</v>
      </c>
      <c r="B71" t="s">
        <v>429</v>
      </c>
      <c r="C71" t="str">
        <f>VLOOKUP(LEFT(B71,FIND(" ",B71)-1),Customer_Helper!$A$2:$B$101,2,FALSE)</f>
        <v>Female</v>
      </c>
      <c r="D71">
        <v>38</v>
      </c>
      <c r="E71" t="s">
        <v>17</v>
      </c>
      <c r="F71" t="str">
        <f>VLOOKUP(E71,Customer_Helper!$F$2:$G$13,2,FALSE)</f>
        <v>South</v>
      </c>
      <c r="G71" t="s">
        <v>186</v>
      </c>
    </row>
    <row r="72" spans="1:7" x14ac:dyDescent="0.25">
      <c r="A72" t="str">
        <f t="shared" si="1"/>
        <v>C0071</v>
      </c>
      <c r="B72" t="s">
        <v>430</v>
      </c>
      <c r="C72" t="str">
        <f>VLOOKUP(LEFT(B72,FIND(" ",B72)-1),Customer_Helper!$A$2:$B$101,2,FALSE)</f>
        <v>Female</v>
      </c>
      <c r="D72">
        <v>54</v>
      </c>
      <c r="E72" t="s">
        <v>7</v>
      </c>
      <c r="F72" t="str">
        <f>VLOOKUP(E72,Customer_Helper!$F$2:$G$13,2,FALSE)</f>
        <v>North</v>
      </c>
      <c r="G72" t="s">
        <v>185</v>
      </c>
    </row>
    <row r="73" spans="1:7" x14ac:dyDescent="0.25">
      <c r="A73" t="str">
        <f t="shared" si="1"/>
        <v>C0072</v>
      </c>
      <c r="B73" t="s">
        <v>431</v>
      </c>
      <c r="C73" t="str">
        <f>VLOOKUP(LEFT(B73,FIND(" ",B73)-1),Customer_Helper!$A$2:$B$101,2,FALSE)</f>
        <v>Male</v>
      </c>
      <c r="D73">
        <v>34</v>
      </c>
      <c r="E73" t="s">
        <v>5</v>
      </c>
      <c r="F73" t="str">
        <f>VLOOKUP(E73,Customer_Helper!$F$2:$G$13,2,FALSE)</f>
        <v>West</v>
      </c>
      <c r="G73" t="s">
        <v>185</v>
      </c>
    </row>
    <row r="74" spans="1:7" x14ac:dyDescent="0.25">
      <c r="A74" t="str">
        <f t="shared" si="1"/>
        <v>C0073</v>
      </c>
      <c r="B74" t="s">
        <v>432</v>
      </c>
      <c r="C74" t="str">
        <f>VLOOKUP(LEFT(B74,FIND(" ",B74)-1),Customer_Helper!$A$2:$B$101,2,FALSE)</f>
        <v>Female</v>
      </c>
      <c r="D74">
        <v>54</v>
      </c>
      <c r="E74" t="s">
        <v>17</v>
      </c>
      <c r="F74" t="str">
        <f>VLOOKUP(E74,Customer_Helper!$F$2:$G$13,2,FALSE)</f>
        <v>South</v>
      </c>
      <c r="G74" t="s">
        <v>187</v>
      </c>
    </row>
    <row r="75" spans="1:7" x14ac:dyDescent="0.25">
      <c r="A75" t="str">
        <f t="shared" si="1"/>
        <v>C0074</v>
      </c>
      <c r="B75" t="s">
        <v>433</v>
      </c>
      <c r="C75" t="str">
        <f>VLOOKUP(LEFT(B75,FIND(" ",B75)-1),Customer_Helper!$A$2:$B$101,2,FALSE)</f>
        <v>Male</v>
      </c>
      <c r="D75">
        <v>27</v>
      </c>
      <c r="E75" t="s">
        <v>10</v>
      </c>
      <c r="F75" t="str">
        <f>VLOOKUP(E75,Customer_Helper!$F$2:$G$13,2,FALSE)</f>
        <v>North</v>
      </c>
      <c r="G75" t="s">
        <v>185</v>
      </c>
    </row>
    <row r="76" spans="1:7" x14ac:dyDescent="0.25">
      <c r="A76" t="str">
        <f t="shared" si="1"/>
        <v>C0075</v>
      </c>
      <c r="B76" t="s">
        <v>434</v>
      </c>
      <c r="C76" t="str">
        <f>VLOOKUP(LEFT(B76,FIND(" ",B76)-1),Customer_Helper!$A$2:$B$101,2,FALSE)</f>
        <v>Male</v>
      </c>
      <c r="D76">
        <v>44</v>
      </c>
      <c r="E76" t="s">
        <v>10</v>
      </c>
      <c r="F76" t="str">
        <f>VLOOKUP(E76,Customer_Helper!$F$2:$G$13,2,FALSE)</f>
        <v>North</v>
      </c>
      <c r="G76" t="s">
        <v>186</v>
      </c>
    </row>
    <row r="77" spans="1:7" x14ac:dyDescent="0.25">
      <c r="A77" t="str">
        <f t="shared" si="1"/>
        <v>C0076</v>
      </c>
      <c r="B77" t="s">
        <v>435</v>
      </c>
      <c r="C77" t="str">
        <f>VLOOKUP(LEFT(B77,FIND(" ",B77)-1),Customer_Helper!$A$2:$B$101,2,FALSE)</f>
        <v>Male</v>
      </c>
      <c r="D77">
        <v>65</v>
      </c>
      <c r="E77" t="s">
        <v>4</v>
      </c>
      <c r="F77" t="str">
        <f>VLOOKUP(E77,Customer_Helper!$F$2:$G$13,2,FALSE)</f>
        <v>West</v>
      </c>
      <c r="G77" t="s">
        <v>187</v>
      </c>
    </row>
    <row r="78" spans="1:7" x14ac:dyDescent="0.25">
      <c r="A78" t="str">
        <f t="shared" si="1"/>
        <v>C0077</v>
      </c>
      <c r="B78" t="s">
        <v>436</v>
      </c>
      <c r="C78" t="str">
        <f>VLOOKUP(LEFT(B78,FIND(" ",B78)-1),Customer_Helper!$A$2:$B$101,2,FALSE)</f>
        <v>Female</v>
      </c>
      <c r="D78">
        <v>64</v>
      </c>
      <c r="E78" t="s">
        <v>2</v>
      </c>
      <c r="F78" t="str">
        <f>VLOOKUP(E78,Customer_Helper!$F$2:$G$13,2,FALSE)</f>
        <v>West</v>
      </c>
      <c r="G78" t="s">
        <v>187</v>
      </c>
    </row>
    <row r="79" spans="1:7" x14ac:dyDescent="0.25">
      <c r="A79" t="str">
        <f t="shared" si="1"/>
        <v>C0078</v>
      </c>
      <c r="B79" t="s">
        <v>437</v>
      </c>
      <c r="C79" t="str">
        <f>VLOOKUP(LEFT(B79,FIND(" ",B79)-1),Customer_Helper!$A$2:$B$101,2,FALSE)</f>
        <v>Male</v>
      </c>
      <c r="D79">
        <v>36</v>
      </c>
      <c r="E79" t="s">
        <v>16</v>
      </c>
      <c r="F79" t="str">
        <f>VLOOKUP(E79,Customer_Helper!$F$2:$G$13,2,FALSE)</f>
        <v>South</v>
      </c>
      <c r="G79" t="s">
        <v>185</v>
      </c>
    </row>
    <row r="80" spans="1:7" x14ac:dyDescent="0.25">
      <c r="A80" t="str">
        <f t="shared" si="1"/>
        <v>C0079</v>
      </c>
      <c r="B80" t="s">
        <v>438</v>
      </c>
      <c r="C80" t="str">
        <f>VLOOKUP(LEFT(B80,FIND(" ",B80)-1),Customer_Helper!$A$2:$B$101,2,FALSE)</f>
        <v>Male</v>
      </c>
      <c r="D80">
        <v>39</v>
      </c>
      <c r="E80" t="s">
        <v>290</v>
      </c>
      <c r="F80" t="str">
        <f>VLOOKUP(E80,Customer_Helper!$F$2:$G$13,2,FALSE)</f>
        <v>West</v>
      </c>
      <c r="G80" t="s">
        <v>186</v>
      </c>
    </row>
    <row r="81" spans="1:7" x14ac:dyDescent="0.25">
      <c r="A81" t="str">
        <f t="shared" si="1"/>
        <v>C0080</v>
      </c>
      <c r="B81" t="s">
        <v>439</v>
      </c>
      <c r="C81" t="str">
        <f>VLOOKUP(LEFT(B81,FIND(" ",B81)-1),Customer_Helper!$A$2:$B$101,2,FALSE)</f>
        <v>Male</v>
      </c>
      <c r="D81">
        <v>57</v>
      </c>
      <c r="E81" t="s">
        <v>10</v>
      </c>
      <c r="F81" t="str">
        <f>VLOOKUP(E81,Customer_Helper!$F$2:$G$13,2,FALSE)</f>
        <v>North</v>
      </c>
      <c r="G81" t="s">
        <v>187</v>
      </c>
    </row>
    <row r="82" spans="1:7" x14ac:dyDescent="0.25">
      <c r="A82" t="str">
        <f t="shared" si="1"/>
        <v>C0081</v>
      </c>
      <c r="B82" t="s">
        <v>440</v>
      </c>
      <c r="C82" t="str">
        <f>VLOOKUP(LEFT(B82,FIND(" ",B82)-1),Customer_Helper!$A$2:$B$101,2,FALSE)</f>
        <v>Female</v>
      </c>
      <c r="D82">
        <v>27</v>
      </c>
      <c r="E82" t="s">
        <v>289</v>
      </c>
      <c r="F82" t="str">
        <f>VLOOKUP(E82,Customer_Helper!$F$2:$G$13,2,FALSE)</f>
        <v>West</v>
      </c>
      <c r="G82" t="s">
        <v>187</v>
      </c>
    </row>
    <row r="83" spans="1:7" x14ac:dyDescent="0.25">
      <c r="A83" t="str">
        <f t="shared" si="1"/>
        <v>C0082</v>
      </c>
      <c r="B83" t="s">
        <v>441</v>
      </c>
      <c r="C83" t="str">
        <f>VLOOKUP(LEFT(B83,FIND(" ",B83)-1),Customer_Helper!$A$2:$B$101,2,FALSE)</f>
        <v>Male</v>
      </c>
      <c r="D83">
        <v>22</v>
      </c>
      <c r="E83" t="s">
        <v>5</v>
      </c>
      <c r="F83" t="str">
        <f>VLOOKUP(E83,Customer_Helper!$F$2:$G$13,2,FALSE)</f>
        <v>West</v>
      </c>
      <c r="G83" t="s">
        <v>187</v>
      </c>
    </row>
    <row r="84" spans="1:7" x14ac:dyDescent="0.25">
      <c r="A84" t="str">
        <f t="shared" si="1"/>
        <v>C0083</v>
      </c>
      <c r="B84" t="s">
        <v>442</v>
      </c>
      <c r="C84" t="str">
        <f>VLOOKUP(LEFT(B84,FIND(" ",B84)-1),Customer_Helper!$A$2:$B$101,2,FALSE)</f>
        <v>Female</v>
      </c>
      <c r="D84">
        <v>45</v>
      </c>
      <c r="E84" t="s">
        <v>2</v>
      </c>
      <c r="F84" t="str">
        <f>VLOOKUP(E84,Customer_Helper!$F$2:$G$13,2,FALSE)</f>
        <v>West</v>
      </c>
      <c r="G84" t="s">
        <v>185</v>
      </c>
    </row>
    <row r="85" spans="1:7" x14ac:dyDescent="0.25">
      <c r="A85" t="str">
        <f t="shared" si="1"/>
        <v>C0084</v>
      </c>
      <c r="B85" t="s">
        <v>443</v>
      </c>
      <c r="C85" t="str">
        <f>VLOOKUP(LEFT(B85,FIND(" ",B85)-1),Customer_Helper!$A$2:$B$101,2,FALSE)</f>
        <v>Female</v>
      </c>
      <c r="D85">
        <v>57</v>
      </c>
      <c r="E85" t="s">
        <v>9</v>
      </c>
      <c r="F85" t="str">
        <f>VLOOKUP(E85,Customer_Helper!$F$2:$G$13,2,FALSE)</f>
        <v>North</v>
      </c>
      <c r="G85" t="s">
        <v>185</v>
      </c>
    </row>
    <row r="86" spans="1:7" x14ac:dyDescent="0.25">
      <c r="A86" t="str">
        <f t="shared" si="1"/>
        <v>C0085</v>
      </c>
      <c r="B86" t="s">
        <v>444</v>
      </c>
      <c r="C86" t="str">
        <f>VLOOKUP(LEFT(B86,FIND(" ",B86)-1),Customer_Helper!$A$2:$B$101,2,FALSE)</f>
        <v>Female</v>
      </c>
      <c r="D86">
        <v>23</v>
      </c>
      <c r="E86" t="s">
        <v>11</v>
      </c>
      <c r="F86" t="str">
        <f>VLOOKUP(E86,Customer_Helper!$F$2:$G$13,2,FALSE)</f>
        <v>East</v>
      </c>
      <c r="G86" t="s">
        <v>187</v>
      </c>
    </row>
    <row r="87" spans="1:7" x14ac:dyDescent="0.25">
      <c r="A87" t="str">
        <f t="shared" si="1"/>
        <v>C0086</v>
      </c>
      <c r="B87" t="s">
        <v>445</v>
      </c>
      <c r="C87" t="str">
        <f>VLOOKUP(LEFT(B87,FIND(" ",B87)-1),Customer_Helper!$A$2:$B$101,2,FALSE)</f>
        <v>Female</v>
      </c>
      <c r="D87">
        <v>22</v>
      </c>
      <c r="E87" t="s">
        <v>290</v>
      </c>
      <c r="F87" t="str">
        <f>VLOOKUP(E87,Customer_Helper!$F$2:$G$13,2,FALSE)</f>
        <v>West</v>
      </c>
      <c r="G87" t="s">
        <v>185</v>
      </c>
    </row>
    <row r="88" spans="1:7" x14ac:dyDescent="0.25">
      <c r="A88" t="str">
        <f t="shared" si="1"/>
        <v>C0087</v>
      </c>
      <c r="B88" t="s">
        <v>446</v>
      </c>
      <c r="C88" t="str">
        <f>VLOOKUP(LEFT(B88,FIND(" ",B88)-1),Customer_Helper!$A$2:$B$101,2,FALSE)</f>
        <v>Female</v>
      </c>
      <c r="D88">
        <v>32</v>
      </c>
      <c r="E88" t="s">
        <v>14</v>
      </c>
      <c r="F88" t="str">
        <f>VLOOKUP(E88,Customer_Helper!$F$2:$G$13,2,FALSE)</f>
        <v>South</v>
      </c>
      <c r="G88" t="s">
        <v>187</v>
      </c>
    </row>
    <row r="89" spans="1:7" x14ac:dyDescent="0.25">
      <c r="A89" t="str">
        <f t="shared" si="1"/>
        <v>C0088</v>
      </c>
      <c r="B89" t="s">
        <v>447</v>
      </c>
      <c r="C89" t="str">
        <f>VLOOKUP(LEFT(B89,FIND(" ",B89)-1),Customer_Helper!$A$2:$B$101,2,FALSE)</f>
        <v>Male</v>
      </c>
      <c r="D89">
        <v>53</v>
      </c>
      <c r="E89" t="s">
        <v>16</v>
      </c>
      <c r="F89" t="str">
        <f>VLOOKUP(E89,Customer_Helper!$F$2:$G$13,2,FALSE)</f>
        <v>South</v>
      </c>
      <c r="G89" t="s">
        <v>187</v>
      </c>
    </row>
    <row r="90" spans="1:7" x14ac:dyDescent="0.25">
      <c r="A90" t="str">
        <f t="shared" si="1"/>
        <v>C0089</v>
      </c>
      <c r="B90" t="s">
        <v>448</v>
      </c>
      <c r="C90" t="str">
        <f>VLOOKUP(LEFT(B90,FIND(" ",B90)-1),Customer_Helper!$A$2:$B$101,2,FALSE)</f>
        <v>Male</v>
      </c>
      <c r="D90">
        <v>25</v>
      </c>
      <c r="E90" t="s">
        <v>2</v>
      </c>
      <c r="F90" t="str">
        <f>VLOOKUP(E90,Customer_Helper!$F$2:$G$13,2,FALSE)</f>
        <v>West</v>
      </c>
      <c r="G90" t="s">
        <v>185</v>
      </c>
    </row>
    <row r="91" spans="1:7" x14ac:dyDescent="0.25">
      <c r="A91" t="str">
        <f t="shared" si="1"/>
        <v>C0090</v>
      </c>
      <c r="B91" t="s">
        <v>449</v>
      </c>
      <c r="C91" t="str">
        <f>VLOOKUP(LEFT(B91,FIND(" ",B91)-1),Customer_Helper!$A$2:$B$101,2,FALSE)</f>
        <v>Male</v>
      </c>
      <c r="D91">
        <v>24</v>
      </c>
      <c r="E91" t="s">
        <v>14</v>
      </c>
      <c r="F91" t="str">
        <f>VLOOKUP(E91,Customer_Helper!$F$2:$G$13,2,FALSE)</f>
        <v>South</v>
      </c>
      <c r="G91" t="s">
        <v>185</v>
      </c>
    </row>
    <row r="92" spans="1:7" x14ac:dyDescent="0.25">
      <c r="A92" t="str">
        <f t="shared" si="1"/>
        <v>C0091</v>
      </c>
      <c r="B92" t="s">
        <v>450</v>
      </c>
      <c r="C92" t="str">
        <f>VLOOKUP(LEFT(B92,FIND(" ",B92)-1),Customer_Helper!$A$2:$B$101,2,FALSE)</f>
        <v>Female</v>
      </c>
      <c r="D92">
        <v>28</v>
      </c>
      <c r="E92" t="s">
        <v>7</v>
      </c>
      <c r="F92" t="str">
        <f>VLOOKUP(E92,Customer_Helper!$F$2:$G$13,2,FALSE)</f>
        <v>North</v>
      </c>
      <c r="G92" t="s">
        <v>187</v>
      </c>
    </row>
    <row r="93" spans="1:7" x14ac:dyDescent="0.25">
      <c r="A93" t="str">
        <f t="shared" si="1"/>
        <v>C0092</v>
      </c>
      <c r="B93" t="s">
        <v>451</v>
      </c>
      <c r="C93" t="str">
        <f>VLOOKUP(LEFT(B93,FIND(" ",B93)-1),Customer_Helper!$A$2:$B$101,2,FALSE)</f>
        <v>Male</v>
      </c>
      <c r="D93">
        <v>41</v>
      </c>
      <c r="E93" t="s">
        <v>290</v>
      </c>
      <c r="F93" t="str">
        <f>VLOOKUP(E93,Customer_Helper!$F$2:$G$13,2,FALSE)</f>
        <v>West</v>
      </c>
      <c r="G93" t="s">
        <v>187</v>
      </c>
    </row>
    <row r="94" spans="1:7" x14ac:dyDescent="0.25">
      <c r="A94" t="str">
        <f t="shared" si="1"/>
        <v>C0093</v>
      </c>
      <c r="B94" t="s">
        <v>452</v>
      </c>
      <c r="C94" t="str">
        <f>VLOOKUP(LEFT(B94,FIND(" ",B94)-1),Customer_Helper!$A$2:$B$101,2,FALSE)</f>
        <v>Male</v>
      </c>
      <c r="D94">
        <v>32</v>
      </c>
      <c r="E94" t="s">
        <v>7</v>
      </c>
      <c r="F94" t="str">
        <f>VLOOKUP(E94,Customer_Helper!$F$2:$G$13,2,FALSE)</f>
        <v>North</v>
      </c>
      <c r="G94" t="s">
        <v>187</v>
      </c>
    </row>
    <row r="95" spans="1:7" x14ac:dyDescent="0.25">
      <c r="A95" t="str">
        <f t="shared" si="1"/>
        <v>C0094</v>
      </c>
      <c r="B95" t="s">
        <v>453</v>
      </c>
      <c r="C95" t="str">
        <f>VLOOKUP(LEFT(B95,FIND(" ",B95)-1),Customer_Helper!$A$2:$B$101,2,FALSE)</f>
        <v>Male</v>
      </c>
      <c r="D95">
        <v>51</v>
      </c>
      <c r="E95" t="s">
        <v>7</v>
      </c>
      <c r="F95" t="str">
        <f>VLOOKUP(E95,Customer_Helper!$F$2:$G$13,2,FALSE)</f>
        <v>North</v>
      </c>
      <c r="G95" t="s">
        <v>185</v>
      </c>
    </row>
    <row r="96" spans="1:7" x14ac:dyDescent="0.25">
      <c r="A96" t="str">
        <f t="shared" si="1"/>
        <v>C0095</v>
      </c>
      <c r="B96" t="s">
        <v>454</v>
      </c>
      <c r="C96" t="str">
        <f>VLOOKUP(LEFT(B96,FIND(" ",B96)-1),Customer_Helper!$A$2:$B$101,2,FALSE)</f>
        <v>Female</v>
      </c>
      <c r="D96">
        <v>55</v>
      </c>
      <c r="E96" t="s">
        <v>290</v>
      </c>
      <c r="F96" t="str">
        <f>VLOOKUP(E96,Customer_Helper!$F$2:$G$13,2,FALSE)</f>
        <v>West</v>
      </c>
      <c r="G96" t="s">
        <v>186</v>
      </c>
    </row>
    <row r="97" spans="1:7" x14ac:dyDescent="0.25">
      <c r="A97" t="str">
        <f t="shared" si="1"/>
        <v>C0096</v>
      </c>
      <c r="B97" t="s">
        <v>455</v>
      </c>
      <c r="C97" t="str">
        <f>VLOOKUP(LEFT(B97,FIND(" ",B97)-1),Customer_Helper!$A$2:$B$101,2,FALSE)</f>
        <v>Male</v>
      </c>
      <c r="D97">
        <v>39</v>
      </c>
      <c r="E97" t="s">
        <v>10</v>
      </c>
      <c r="F97" t="str">
        <f>VLOOKUP(E97,Customer_Helper!$F$2:$G$13,2,FALSE)</f>
        <v>North</v>
      </c>
      <c r="G97" t="s">
        <v>187</v>
      </c>
    </row>
    <row r="98" spans="1:7" x14ac:dyDescent="0.25">
      <c r="A98" t="str">
        <f t="shared" si="1"/>
        <v>C0097</v>
      </c>
      <c r="B98" t="s">
        <v>456</v>
      </c>
      <c r="C98" t="str">
        <f>VLOOKUP(LEFT(B98,FIND(" ",B98)-1),Customer_Helper!$A$2:$B$101,2,FALSE)</f>
        <v>Female</v>
      </c>
      <c r="D98">
        <v>31</v>
      </c>
      <c r="E98" t="s">
        <v>10</v>
      </c>
      <c r="F98" t="str">
        <f>VLOOKUP(E98,Customer_Helper!$F$2:$G$13,2,FALSE)</f>
        <v>North</v>
      </c>
      <c r="G98" t="s">
        <v>187</v>
      </c>
    </row>
    <row r="99" spans="1:7" x14ac:dyDescent="0.25">
      <c r="A99" t="str">
        <f t="shared" si="1"/>
        <v>C0098</v>
      </c>
      <c r="B99" t="s">
        <v>457</v>
      </c>
      <c r="C99" t="str">
        <f>VLOOKUP(LEFT(B99,FIND(" ",B99)-1),Customer_Helper!$A$2:$B$101,2,FALSE)</f>
        <v>Male</v>
      </c>
      <c r="D99">
        <v>61</v>
      </c>
      <c r="E99" t="s">
        <v>9</v>
      </c>
      <c r="F99" t="str">
        <f>VLOOKUP(E99,Customer_Helper!$F$2:$G$13,2,FALSE)</f>
        <v>North</v>
      </c>
      <c r="G99" t="s">
        <v>185</v>
      </c>
    </row>
    <row r="100" spans="1:7" x14ac:dyDescent="0.25">
      <c r="A100" t="str">
        <f t="shared" si="1"/>
        <v>C0099</v>
      </c>
      <c r="B100" t="s">
        <v>458</v>
      </c>
      <c r="C100" t="str">
        <f>VLOOKUP(LEFT(B100,FIND(" ",B100)-1),Customer_Helper!$A$2:$B$101,2,FALSE)</f>
        <v>Male</v>
      </c>
      <c r="D100">
        <v>38</v>
      </c>
      <c r="E100" t="s">
        <v>14</v>
      </c>
      <c r="F100" t="str">
        <f>VLOOKUP(E100,Customer_Helper!$F$2:$G$13,2,FALSE)</f>
        <v>South</v>
      </c>
      <c r="G100" t="s">
        <v>187</v>
      </c>
    </row>
    <row r="101" spans="1:7" x14ac:dyDescent="0.25">
      <c r="A101" t="str">
        <f t="shared" si="1"/>
        <v>C0100</v>
      </c>
      <c r="B101" t="s">
        <v>459</v>
      </c>
      <c r="C101" t="str">
        <f>VLOOKUP(LEFT(B101,FIND(" ",B101)-1),Customer_Helper!$A$2:$B$101,2,FALSE)</f>
        <v>Female</v>
      </c>
      <c r="D101">
        <v>21</v>
      </c>
      <c r="E101" t="s">
        <v>5</v>
      </c>
      <c r="F101" t="str">
        <f>VLOOKUP(E101,Customer_Helper!$F$2:$G$13,2,FALSE)</f>
        <v>West</v>
      </c>
      <c r="G101" t="s">
        <v>185</v>
      </c>
    </row>
    <row r="102" spans="1:7" x14ac:dyDescent="0.25">
      <c r="A102" t="str">
        <f t="shared" si="1"/>
        <v>C0101</v>
      </c>
      <c r="B102" t="s">
        <v>460</v>
      </c>
      <c r="C102" t="str">
        <f>VLOOKUP(LEFT(B102,FIND(" ",B102)-1),Customer_Helper!$A$2:$B$101,2,FALSE)</f>
        <v>Male</v>
      </c>
      <c r="D102">
        <v>40</v>
      </c>
      <c r="E102" t="s">
        <v>16</v>
      </c>
      <c r="F102" t="str">
        <f>VLOOKUP(E102,Customer_Helper!$F$2:$G$13,2,FALSE)</f>
        <v>South</v>
      </c>
      <c r="G102" t="s">
        <v>187</v>
      </c>
    </row>
    <row r="103" spans="1:7" x14ac:dyDescent="0.25">
      <c r="A103" t="str">
        <f t="shared" si="1"/>
        <v>C0102</v>
      </c>
      <c r="B103" t="s">
        <v>461</v>
      </c>
      <c r="C103" t="str">
        <f>VLOOKUP(LEFT(B103,FIND(" ",B103)-1),Customer_Helper!$A$2:$B$101,2,FALSE)</f>
        <v>Female</v>
      </c>
      <c r="D103">
        <v>24</v>
      </c>
      <c r="E103" t="s">
        <v>11</v>
      </c>
      <c r="F103" t="str">
        <f>VLOOKUP(E103,Customer_Helper!$F$2:$G$13,2,FALSE)</f>
        <v>East</v>
      </c>
      <c r="G103" t="s">
        <v>187</v>
      </c>
    </row>
    <row r="104" spans="1:7" x14ac:dyDescent="0.25">
      <c r="A104" t="str">
        <f t="shared" si="1"/>
        <v>C0103</v>
      </c>
      <c r="B104" t="s">
        <v>462</v>
      </c>
      <c r="C104" t="str">
        <f>VLOOKUP(LEFT(B104,FIND(" ",B104)-1),Customer_Helper!$A$2:$B$101,2,FALSE)</f>
        <v>Male</v>
      </c>
      <c r="D104">
        <v>38</v>
      </c>
      <c r="E104" t="s">
        <v>9</v>
      </c>
      <c r="F104" t="str">
        <f>VLOOKUP(E104,Customer_Helper!$F$2:$G$13,2,FALSE)</f>
        <v>North</v>
      </c>
      <c r="G104" t="s">
        <v>187</v>
      </c>
    </row>
    <row r="105" spans="1:7" x14ac:dyDescent="0.25">
      <c r="A105" t="str">
        <f t="shared" si="1"/>
        <v>C0104</v>
      </c>
      <c r="B105" t="s">
        <v>463</v>
      </c>
      <c r="C105" t="str">
        <f>VLOOKUP(LEFT(B105,FIND(" ",B105)-1),Customer_Helper!$A$2:$B$101,2,FALSE)</f>
        <v>Female</v>
      </c>
      <c r="D105">
        <v>32</v>
      </c>
      <c r="E105" t="s">
        <v>16</v>
      </c>
      <c r="F105" t="str">
        <f>VLOOKUP(E105,Customer_Helper!$F$2:$G$13,2,FALSE)</f>
        <v>South</v>
      </c>
      <c r="G105" t="s">
        <v>187</v>
      </c>
    </row>
    <row r="106" spans="1:7" x14ac:dyDescent="0.25">
      <c r="A106" t="str">
        <f t="shared" si="1"/>
        <v>C0105</v>
      </c>
      <c r="B106" t="s">
        <v>464</v>
      </c>
      <c r="C106" t="str">
        <f>VLOOKUP(LEFT(B106,FIND(" ",B106)-1),Customer_Helper!$A$2:$B$101,2,FALSE)</f>
        <v>Female</v>
      </c>
      <c r="D106">
        <v>46</v>
      </c>
      <c r="E106" t="s">
        <v>9</v>
      </c>
      <c r="F106" t="str">
        <f>VLOOKUP(E106,Customer_Helper!$F$2:$G$13,2,FALSE)</f>
        <v>North</v>
      </c>
      <c r="G106" t="s">
        <v>187</v>
      </c>
    </row>
    <row r="107" spans="1:7" x14ac:dyDescent="0.25">
      <c r="A107" t="str">
        <f t="shared" si="1"/>
        <v>C0106</v>
      </c>
      <c r="B107" t="s">
        <v>465</v>
      </c>
      <c r="C107" t="str">
        <f>VLOOKUP(LEFT(B107,FIND(" ",B107)-1),Customer_Helper!$A$2:$B$101,2,FALSE)</f>
        <v>Female</v>
      </c>
      <c r="D107">
        <v>32</v>
      </c>
      <c r="E107" t="s">
        <v>17</v>
      </c>
      <c r="F107" t="str">
        <f>VLOOKUP(E107,Customer_Helper!$F$2:$G$13,2,FALSE)</f>
        <v>South</v>
      </c>
      <c r="G107" t="s">
        <v>186</v>
      </c>
    </row>
    <row r="108" spans="1:7" x14ac:dyDescent="0.25">
      <c r="A108" t="str">
        <f t="shared" si="1"/>
        <v>C0107</v>
      </c>
      <c r="B108" t="s">
        <v>466</v>
      </c>
      <c r="C108" t="str">
        <f>VLOOKUP(LEFT(B108,FIND(" ",B108)-1),Customer_Helper!$A$2:$B$101,2,FALSE)</f>
        <v>Male</v>
      </c>
      <c r="D108">
        <v>49</v>
      </c>
      <c r="E108" t="s">
        <v>7</v>
      </c>
      <c r="F108" t="str">
        <f>VLOOKUP(E108,Customer_Helper!$F$2:$G$13,2,FALSE)</f>
        <v>North</v>
      </c>
      <c r="G108" t="s">
        <v>185</v>
      </c>
    </row>
    <row r="109" spans="1:7" x14ac:dyDescent="0.25">
      <c r="A109" t="str">
        <f t="shared" si="1"/>
        <v>C0108</v>
      </c>
      <c r="B109" t="s">
        <v>467</v>
      </c>
      <c r="C109" t="str">
        <f>VLOOKUP(LEFT(B109,FIND(" ",B109)-1),Customer_Helper!$A$2:$B$101,2,FALSE)</f>
        <v>Male</v>
      </c>
      <c r="D109">
        <v>55</v>
      </c>
      <c r="E109" t="s">
        <v>5</v>
      </c>
      <c r="F109" t="str">
        <f>VLOOKUP(E109,Customer_Helper!$F$2:$G$13,2,FALSE)</f>
        <v>West</v>
      </c>
      <c r="G109" t="s">
        <v>186</v>
      </c>
    </row>
    <row r="110" spans="1:7" x14ac:dyDescent="0.25">
      <c r="A110" t="str">
        <f t="shared" si="1"/>
        <v>C0109</v>
      </c>
      <c r="B110" t="s">
        <v>468</v>
      </c>
      <c r="C110" t="str">
        <f>VLOOKUP(LEFT(B110,FIND(" ",B110)-1),Customer_Helper!$A$2:$B$101,2,FALSE)</f>
        <v>Male</v>
      </c>
      <c r="D110">
        <v>52</v>
      </c>
      <c r="E110" t="s">
        <v>5</v>
      </c>
      <c r="F110" t="str">
        <f>VLOOKUP(E110,Customer_Helper!$F$2:$G$13,2,FALSE)</f>
        <v>West</v>
      </c>
      <c r="G110" t="s">
        <v>186</v>
      </c>
    </row>
    <row r="111" spans="1:7" x14ac:dyDescent="0.25">
      <c r="A111" t="str">
        <f t="shared" si="1"/>
        <v>C0110</v>
      </c>
      <c r="B111" t="s">
        <v>469</v>
      </c>
      <c r="C111" t="str">
        <f>VLOOKUP(LEFT(B111,FIND(" ",B111)-1),Customer_Helper!$A$2:$B$101,2,FALSE)</f>
        <v>Female</v>
      </c>
      <c r="D111">
        <v>37</v>
      </c>
      <c r="E111" t="s">
        <v>17</v>
      </c>
      <c r="F111" t="str">
        <f>VLOOKUP(E111,Customer_Helper!$F$2:$G$13,2,FALSE)</f>
        <v>South</v>
      </c>
      <c r="G111" t="s">
        <v>186</v>
      </c>
    </row>
    <row r="112" spans="1:7" x14ac:dyDescent="0.25">
      <c r="A112" t="str">
        <f t="shared" si="1"/>
        <v>C0111</v>
      </c>
      <c r="B112" t="s">
        <v>470</v>
      </c>
      <c r="C112" t="str">
        <f>VLOOKUP(LEFT(B112,FIND(" ",B112)-1),Customer_Helper!$A$2:$B$101,2,FALSE)</f>
        <v>Male</v>
      </c>
      <c r="D112">
        <v>31</v>
      </c>
      <c r="E112" t="s">
        <v>14</v>
      </c>
      <c r="F112" t="str">
        <f>VLOOKUP(E112,Customer_Helper!$F$2:$G$13,2,FALSE)</f>
        <v>South</v>
      </c>
      <c r="G112" t="s">
        <v>187</v>
      </c>
    </row>
    <row r="113" spans="1:7" x14ac:dyDescent="0.25">
      <c r="A113" t="str">
        <f t="shared" si="1"/>
        <v>C0112</v>
      </c>
      <c r="B113" t="s">
        <v>471</v>
      </c>
      <c r="C113" t="str">
        <f>VLOOKUP(LEFT(B113,FIND(" ",B113)-1),Customer_Helper!$A$2:$B$101,2,FALSE)</f>
        <v>Male</v>
      </c>
      <c r="D113">
        <v>39</v>
      </c>
      <c r="E113" t="s">
        <v>5</v>
      </c>
      <c r="F113" t="str">
        <f>VLOOKUP(E113,Customer_Helper!$F$2:$G$13,2,FALSE)</f>
        <v>West</v>
      </c>
      <c r="G113" t="s">
        <v>185</v>
      </c>
    </row>
    <row r="114" spans="1:7" x14ac:dyDescent="0.25">
      <c r="A114" t="str">
        <f t="shared" si="1"/>
        <v>C0113</v>
      </c>
      <c r="B114" t="s">
        <v>472</v>
      </c>
      <c r="C114" t="str">
        <f>VLOOKUP(LEFT(B114,FIND(" ",B114)-1),Customer_Helper!$A$2:$B$101,2,FALSE)</f>
        <v>Male</v>
      </c>
      <c r="D114">
        <v>19</v>
      </c>
      <c r="E114" t="s">
        <v>290</v>
      </c>
      <c r="F114" t="str">
        <f>VLOOKUP(E114,Customer_Helper!$F$2:$G$13,2,FALSE)</f>
        <v>West</v>
      </c>
      <c r="G114" t="s">
        <v>186</v>
      </c>
    </row>
    <row r="115" spans="1:7" x14ac:dyDescent="0.25">
      <c r="A115" t="str">
        <f t="shared" si="1"/>
        <v>C0114</v>
      </c>
      <c r="B115" t="s">
        <v>473</v>
      </c>
      <c r="C115" t="str">
        <f>VLOOKUP(LEFT(B115,FIND(" ",B115)-1),Customer_Helper!$A$2:$B$101,2,FALSE)</f>
        <v>Female</v>
      </c>
      <c r="D115">
        <v>37</v>
      </c>
      <c r="E115" t="s">
        <v>10</v>
      </c>
      <c r="F115" t="str">
        <f>VLOOKUP(E115,Customer_Helper!$F$2:$G$13,2,FALSE)</f>
        <v>North</v>
      </c>
      <c r="G115" t="s">
        <v>187</v>
      </c>
    </row>
    <row r="116" spans="1:7" x14ac:dyDescent="0.25">
      <c r="A116" t="str">
        <f t="shared" si="1"/>
        <v>C0115</v>
      </c>
      <c r="B116" t="s">
        <v>474</v>
      </c>
      <c r="C116" t="str">
        <f>VLOOKUP(LEFT(B116,FIND(" ",B116)-1),Customer_Helper!$A$2:$B$101,2,FALSE)</f>
        <v>Female</v>
      </c>
      <c r="D116">
        <v>57</v>
      </c>
      <c r="E116" t="s">
        <v>9</v>
      </c>
      <c r="F116" t="str">
        <f>VLOOKUP(E116,Customer_Helper!$F$2:$G$13,2,FALSE)</f>
        <v>North</v>
      </c>
      <c r="G116" t="s">
        <v>187</v>
      </c>
    </row>
    <row r="117" spans="1:7" x14ac:dyDescent="0.25">
      <c r="A117" t="str">
        <f t="shared" si="1"/>
        <v>C0116</v>
      </c>
      <c r="B117" t="s">
        <v>475</v>
      </c>
      <c r="C117" t="str">
        <f>VLOOKUP(LEFT(B117,FIND(" ",B117)-1),Customer_Helper!$A$2:$B$101,2,FALSE)</f>
        <v>Female</v>
      </c>
      <c r="D117">
        <v>18</v>
      </c>
      <c r="E117" t="s">
        <v>7</v>
      </c>
      <c r="F117" t="str">
        <f>VLOOKUP(E117,Customer_Helper!$F$2:$G$13,2,FALSE)</f>
        <v>North</v>
      </c>
      <c r="G117" t="s">
        <v>185</v>
      </c>
    </row>
    <row r="118" spans="1:7" x14ac:dyDescent="0.25">
      <c r="A118" t="str">
        <f t="shared" si="1"/>
        <v>C0117</v>
      </c>
      <c r="B118" t="s">
        <v>476</v>
      </c>
      <c r="C118" t="str">
        <f>VLOOKUP(LEFT(B118,FIND(" ",B118)-1),Customer_Helper!$A$2:$B$101,2,FALSE)</f>
        <v>Male</v>
      </c>
      <c r="D118">
        <v>57</v>
      </c>
      <c r="E118" t="s">
        <v>290</v>
      </c>
      <c r="F118" t="str">
        <f>VLOOKUP(E118,Customer_Helper!$F$2:$G$13,2,FALSE)</f>
        <v>West</v>
      </c>
      <c r="G118" t="s">
        <v>187</v>
      </c>
    </row>
    <row r="119" spans="1:7" x14ac:dyDescent="0.25">
      <c r="A119" t="str">
        <f t="shared" si="1"/>
        <v>C0118</v>
      </c>
      <c r="B119" t="s">
        <v>477</v>
      </c>
      <c r="C119" t="str">
        <f>VLOOKUP(LEFT(B119,FIND(" ",B119)-1),Customer_Helper!$A$2:$B$101,2,FALSE)</f>
        <v>Male</v>
      </c>
      <c r="D119">
        <v>64</v>
      </c>
      <c r="E119" t="s">
        <v>10</v>
      </c>
      <c r="F119" t="str">
        <f>VLOOKUP(E119,Customer_Helper!$F$2:$G$13,2,FALSE)</f>
        <v>North</v>
      </c>
      <c r="G119" t="s">
        <v>186</v>
      </c>
    </row>
    <row r="120" spans="1:7" x14ac:dyDescent="0.25">
      <c r="A120" t="str">
        <f t="shared" si="1"/>
        <v>C0119</v>
      </c>
      <c r="B120" t="s">
        <v>478</v>
      </c>
      <c r="C120" t="str">
        <f>VLOOKUP(LEFT(B120,FIND(" ",B120)-1),Customer_Helper!$A$2:$B$101,2,FALSE)</f>
        <v>Male</v>
      </c>
      <c r="D120">
        <v>42</v>
      </c>
      <c r="E120" t="s">
        <v>10</v>
      </c>
      <c r="F120" t="str">
        <f>VLOOKUP(E120,Customer_Helper!$F$2:$G$13,2,FALSE)</f>
        <v>North</v>
      </c>
      <c r="G120" t="s">
        <v>187</v>
      </c>
    </row>
    <row r="121" spans="1:7" x14ac:dyDescent="0.25">
      <c r="A121" t="str">
        <f t="shared" si="1"/>
        <v>C0120</v>
      </c>
      <c r="B121" t="s">
        <v>380</v>
      </c>
      <c r="C121" t="str">
        <f>VLOOKUP(LEFT(B121,FIND(" ",B121)-1),Customer_Helper!$A$2:$B$101,2,FALSE)</f>
        <v>Female</v>
      </c>
      <c r="D121">
        <v>58</v>
      </c>
      <c r="E121" t="s">
        <v>11</v>
      </c>
      <c r="F121" t="str">
        <f>VLOOKUP(E121,Customer_Helper!$F$2:$G$13,2,FALSE)</f>
        <v>East</v>
      </c>
      <c r="G121" t="s">
        <v>187</v>
      </c>
    </row>
    <row r="122" spans="1:7" x14ac:dyDescent="0.25">
      <c r="A122" t="str">
        <f t="shared" si="1"/>
        <v>C0121</v>
      </c>
      <c r="B122" t="s">
        <v>479</v>
      </c>
      <c r="C122" t="str">
        <f>VLOOKUP(LEFT(B122,FIND(" ",B122)-1),Customer_Helper!$A$2:$B$101,2,FALSE)</f>
        <v>Female</v>
      </c>
      <c r="D122">
        <v>39</v>
      </c>
      <c r="E122" t="s">
        <v>5</v>
      </c>
      <c r="F122" t="str">
        <f>VLOOKUP(E122,Customer_Helper!$F$2:$G$13,2,FALSE)</f>
        <v>West</v>
      </c>
      <c r="G122" t="s">
        <v>186</v>
      </c>
    </row>
    <row r="123" spans="1:7" x14ac:dyDescent="0.25">
      <c r="A123" t="str">
        <f t="shared" si="1"/>
        <v>C0122</v>
      </c>
      <c r="B123" t="s">
        <v>480</v>
      </c>
      <c r="C123" t="str">
        <f>VLOOKUP(LEFT(B123,FIND(" ",B123)-1),Customer_Helper!$A$2:$B$101,2,FALSE)</f>
        <v>Female</v>
      </c>
      <c r="D123">
        <v>43</v>
      </c>
      <c r="E123" t="s">
        <v>2</v>
      </c>
      <c r="F123" t="str">
        <f>VLOOKUP(E123,Customer_Helper!$F$2:$G$13,2,FALSE)</f>
        <v>West</v>
      </c>
      <c r="G123" t="s">
        <v>185</v>
      </c>
    </row>
    <row r="124" spans="1:7" x14ac:dyDescent="0.25">
      <c r="A124" t="str">
        <f t="shared" si="1"/>
        <v>C0123</v>
      </c>
      <c r="B124" t="s">
        <v>481</v>
      </c>
      <c r="C124" t="str">
        <f>VLOOKUP(LEFT(B124,FIND(" ",B124)-1),Customer_Helper!$A$2:$B$101,2,FALSE)</f>
        <v>Male</v>
      </c>
      <c r="D124">
        <v>34</v>
      </c>
      <c r="E124" t="s">
        <v>5</v>
      </c>
      <c r="F124" t="str">
        <f>VLOOKUP(E124,Customer_Helper!$F$2:$G$13,2,FALSE)</f>
        <v>West</v>
      </c>
      <c r="G124" t="s">
        <v>187</v>
      </c>
    </row>
    <row r="125" spans="1:7" x14ac:dyDescent="0.25">
      <c r="A125" t="str">
        <f t="shared" si="1"/>
        <v>C0124</v>
      </c>
      <c r="B125" t="s">
        <v>482</v>
      </c>
      <c r="C125" t="str">
        <f>VLOOKUP(LEFT(B125,FIND(" ",B125)-1),Customer_Helper!$A$2:$B$101,2,FALSE)</f>
        <v>Male</v>
      </c>
      <c r="D125">
        <v>34</v>
      </c>
      <c r="E125" t="s">
        <v>9</v>
      </c>
      <c r="F125" t="str">
        <f>VLOOKUP(E125,Customer_Helper!$F$2:$G$13,2,FALSE)</f>
        <v>North</v>
      </c>
      <c r="G125" t="s">
        <v>187</v>
      </c>
    </row>
    <row r="126" spans="1:7" x14ac:dyDescent="0.25">
      <c r="A126" t="str">
        <f t="shared" si="1"/>
        <v>C0125</v>
      </c>
      <c r="B126" t="s">
        <v>483</v>
      </c>
      <c r="C126" t="str">
        <f>VLOOKUP(LEFT(B126,FIND(" ",B126)-1),Customer_Helper!$A$2:$B$101,2,FALSE)</f>
        <v>Female</v>
      </c>
      <c r="D126">
        <v>23</v>
      </c>
      <c r="E126" t="s">
        <v>9</v>
      </c>
      <c r="F126" t="str">
        <f>VLOOKUP(E126,Customer_Helper!$F$2:$G$13,2,FALSE)</f>
        <v>North</v>
      </c>
      <c r="G126" t="s">
        <v>186</v>
      </c>
    </row>
    <row r="127" spans="1:7" x14ac:dyDescent="0.25">
      <c r="A127" t="str">
        <f t="shared" si="1"/>
        <v>C0126</v>
      </c>
      <c r="B127" t="s">
        <v>484</v>
      </c>
      <c r="C127" t="str">
        <f>VLOOKUP(LEFT(B127,FIND(" ",B127)-1),Customer_Helper!$A$2:$B$101,2,FALSE)</f>
        <v>Male</v>
      </c>
      <c r="D127">
        <v>46</v>
      </c>
      <c r="E127" t="s">
        <v>2</v>
      </c>
      <c r="F127" t="str">
        <f>VLOOKUP(E127,Customer_Helper!$F$2:$G$13,2,FALSE)</f>
        <v>West</v>
      </c>
      <c r="G127" t="s">
        <v>186</v>
      </c>
    </row>
    <row r="128" spans="1:7" x14ac:dyDescent="0.25">
      <c r="A128" t="str">
        <f t="shared" si="1"/>
        <v>C0127</v>
      </c>
      <c r="B128" t="s">
        <v>485</v>
      </c>
      <c r="C128" t="str">
        <f>VLOOKUP(LEFT(B128,FIND(" ",B128)-1),Customer_Helper!$A$2:$B$101,2,FALSE)</f>
        <v>Male</v>
      </c>
      <c r="D128">
        <v>41</v>
      </c>
      <c r="E128" t="s">
        <v>9</v>
      </c>
      <c r="F128" t="str">
        <f>VLOOKUP(E128,Customer_Helper!$F$2:$G$13,2,FALSE)</f>
        <v>North</v>
      </c>
      <c r="G128" t="s">
        <v>185</v>
      </c>
    </row>
    <row r="129" spans="1:7" x14ac:dyDescent="0.25">
      <c r="A129" t="str">
        <f t="shared" si="1"/>
        <v>C0128</v>
      </c>
      <c r="B129" t="s">
        <v>486</v>
      </c>
      <c r="C129" t="str">
        <f>VLOOKUP(LEFT(B129,FIND(" ",B129)-1),Customer_Helper!$A$2:$B$101,2,FALSE)</f>
        <v>Male</v>
      </c>
      <c r="D129">
        <v>58</v>
      </c>
      <c r="E129" t="s">
        <v>2</v>
      </c>
      <c r="F129" t="str">
        <f>VLOOKUP(E129,Customer_Helper!$F$2:$G$13,2,FALSE)</f>
        <v>West</v>
      </c>
      <c r="G129" t="s">
        <v>187</v>
      </c>
    </row>
    <row r="130" spans="1:7" x14ac:dyDescent="0.25">
      <c r="A130" t="str">
        <f t="shared" si="1"/>
        <v>C0129</v>
      </c>
      <c r="B130" t="s">
        <v>487</v>
      </c>
      <c r="C130" t="str">
        <f>VLOOKUP(LEFT(B130,FIND(" ",B130)-1),Customer_Helper!$A$2:$B$101,2,FALSE)</f>
        <v>Female</v>
      </c>
      <c r="D130">
        <v>58</v>
      </c>
      <c r="E130" t="s">
        <v>5</v>
      </c>
      <c r="F130" t="str">
        <f>VLOOKUP(E130,Customer_Helper!$F$2:$G$13,2,FALSE)</f>
        <v>West</v>
      </c>
      <c r="G130" t="s">
        <v>186</v>
      </c>
    </row>
    <row r="131" spans="1:7" x14ac:dyDescent="0.25">
      <c r="A131" t="str">
        <f t="shared" ref="A131:A194" si="2">"C"&amp;TEXT(ROW()-1,"0000")</f>
        <v>C0130</v>
      </c>
      <c r="B131" t="s">
        <v>488</v>
      </c>
      <c r="C131" t="str">
        <f>VLOOKUP(LEFT(B131,FIND(" ",B131)-1),Customer_Helper!$A$2:$B$101,2,FALSE)</f>
        <v>Male</v>
      </c>
      <c r="D131">
        <v>18</v>
      </c>
      <c r="E131" t="s">
        <v>7</v>
      </c>
      <c r="F131" t="str">
        <f>VLOOKUP(E131,Customer_Helper!$F$2:$G$13,2,FALSE)</f>
        <v>North</v>
      </c>
      <c r="G131" t="s">
        <v>186</v>
      </c>
    </row>
    <row r="132" spans="1:7" x14ac:dyDescent="0.25">
      <c r="A132" t="str">
        <f t="shared" si="2"/>
        <v>C0131</v>
      </c>
      <c r="B132" t="s">
        <v>489</v>
      </c>
      <c r="C132" t="str">
        <f>VLOOKUP(LEFT(B132,FIND(" ",B132)-1),Customer_Helper!$A$2:$B$101,2,FALSE)</f>
        <v>Male</v>
      </c>
      <c r="D132">
        <v>40</v>
      </c>
      <c r="E132" t="s">
        <v>289</v>
      </c>
      <c r="F132" t="str">
        <f>VLOOKUP(E132,Customer_Helper!$F$2:$G$13,2,FALSE)</f>
        <v>West</v>
      </c>
      <c r="G132" t="s">
        <v>187</v>
      </c>
    </row>
    <row r="133" spans="1:7" x14ac:dyDescent="0.25">
      <c r="A133" t="str">
        <f t="shared" si="2"/>
        <v>C0132</v>
      </c>
      <c r="B133" t="s">
        <v>490</v>
      </c>
      <c r="C133" t="str">
        <f>VLOOKUP(LEFT(B133,FIND(" ",B133)-1),Customer_Helper!$A$2:$B$101,2,FALSE)</f>
        <v>Female</v>
      </c>
      <c r="D133">
        <v>40</v>
      </c>
      <c r="E133" t="s">
        <v>14</v>
      </c>
      <c r="F133" t="str">
        <f>VLOOKUP(E133,Customer_Helper!$F$2:$G$13,2,FALSE)</f>
        <v>South</v>
      </c>
      <c r="G133" t="s">
        <v>187</v>
      </c>
    </row>
    <row r="134" spans="1:7" x14ac:dyDescent="0.25">
      <c r="A134" t="str">
        <f t="shared" si="2"/>
        <v>C0133</v>
      </c>
      <c r="B134" t="s">
        <v>491</v>
      </c>
      <c r="C134" t="str">
        <f>VLOOKUP(LEFT(B134,FIND(" ",B134)-1),Customer_Helper!$A$2:$B$101,2,FALSE)</f>
        <v>Male</v>
      </c>
      <c r="D134">
        <v>57</v>
      </c>
      <c r="E134" t="s">
        <v>10</v>
      </c>
      <c r="F134" t="str">
        <f>VLOOKUP(E134,Customer_Helper!$F$2:$G$13,2,FALSE)</f>
        <v>North</v>
      </c>
      <c r="G134" t="s">
        <v>186</v>
      </c>
    </row>
    <row r="135" spans="1:7" x14ac:dyDescent="0.25">
      <c r="A135" t="str">
        <f t="shared" si="2"/>
        <v>C0134</v>
      </c>
      <c r="B135" t="s">
        <v>492</v>
      </c>
      <c r="C135" t="str">
        <f>VLOOKUP(LEFT(B135,FIND(" ",B135)-1),Customer_Helper!$A$2:$B$101,2,FALSE)</f>
        <v>Male</v>
      </c>
      <c r="D135">
        <v>31</v>
      </c>
      <c r="E135" t="s">
        <v>289</v>
      </c>
      <c r="F135" t="str">
        <f>VLOOKUP(E135,Customer_Helper!$F$2:$G$13,2,FALSE)</f>
        <v>West</v>
      </c>
      <c r="G135" t="s">
        <v>186</v>
      </c>
    </row>
    <row r="136" spans="1:7" x14ac:dyDescent="0.25">
      <c r="A136" t="str">
        <f t="shared" si="2"/>
        <v>C0135</v>
      </c>
      <c r="B136" t="s">
        <v>493</v>
      </c>
      <c r="C136" t="str">
        <f>VLOOKUP(LEFT(B136,FIND(" ",B136)-1),Customer_Helper!$A$2:$B$101,2,FALSE)</f>
        <v>Female</v>
      </c>
      <c r="D136">
        <v>54</v>
      </c>
      <c r="E136" t="s">
        <v>290</v>
      </c>
      <c r="F136" t="str">
        <f>VLOOKUP(E136,Customer_Helper!$F$2:$G$13,2,FALSE)</f>
        <v>West</v>
      </c>
      <c r="G136" t="s">
        <v>187</v>
      </c>
    </row>
    <row r="137" spans="1:7" x14ac:dyDescent="0.25">
      <c r="A137" t="str">
        <f t="shared" si="2"/>
        <v>C0136</v>
      </c>
      <c r="B137" t="s">
        <v>494</v>
      </c>
      <c r="C137" t="str">
        <f>VLOOKUP(LEFT(B137,FIND(" ",B137)-1),Customer_Helper!$A$2:$B$101,2,FALSE)</f>
        <v>Female</v>
      </c>
      <c r="D137">
        <v>32</v>
      </c>
      <c r="E137" t="s">
        <v>10</v>
      </c>
      <c r="F137" t="str">
        <f>VLOOKUP(E137,Customer_Helper!$F$2:$G$13,2,FALSE)</f>
        <v>North</v>
      </c>
      <c r="G137" t="s">
        <v>186</v>
      </c>
    </row>
    <row r="138" spans="1:7" x14ac:dyDescent="0.25">
      <c r="A138" t="str">
        <f t="shared" si="2"/>
        <v>C0137</v>
      </c>
      <c r="B138" t="s">
        <v>495</v>
      </c>
      <c r="C138" t="str">
        <f>VLOOKUP(LEFT(B138,FIND(" ",B138)-1),Customer_Helper!$A$2:$B$101,2,FALSE)</f>
        <v>Male</v>
      </c>
      <c r="D138">
        <v>45</v>
      </c>
      <c r="E138" t="s">
        <v>4</v>
      </c>
      <c r="F138" t="str">
        <f>VLOOKUP(E138,Customer_Helper!$F$2:$G$13,2,FALSE)</f>
        <v>West</v>
      </c>
      <c r="G138" t="s">
        <v>185</v>
      </c>
    </row>
    <row r="139" spans="1:7" x14ac:dyDescent="0.25">
      <c r="A139" t="str">
        <f t="shared" si="2"/>
        <v>C0138</v>
      </c>
      <c r="B139" t="s">
        <v>496</v>
      </c>
      <c r="C139" t="str">
        <f>VLOOKUP(LEFT(B139,FIND(" ",B139)-1),Customer_Helper!$A$2:$B$101,2,FALSE)</f>
        <v>Male</v>
      </c>
      <c r="D139">
        <v>64</v>
      </c>
      <c r="E139" t="s">
        <v>289</v>
      </c>
      <c r="F139" t="str">
        <f>VLOOKUP(E139,Customer_Helper!$F$2:$G$13,2,FALSE)</f>
        <v>West</v>
      </c>
      <c r="G139" t="s">
        <v>186</v>
      </c>
    </row>
    <row r="140" spans="1:7" x14ac:dyDescent="0.25">
      <c r="A140" t="str">
        <f t="shared" si="2"/>
        <v>C0139</v>
      </c>
      <c r="B140" t="s">
        <v>497</v>
      </c>
      <c r="C140" t="str">
        <f>VLOOKUP(LEFT(B140,FIND(" ",B140)-1),Customer_Helper!$A$2:$B$101,2,FALSE)</f>
        <v>Female</v>
      </c>
      <c r="D140">
        <v>32</v>
      </c>
      <c r="E140" t="s">
        <v>17</v>
      </c>
      <c r="F140" t="str">
        <f>VLOOKUP(E140,Customer_Helper!$F$2:$G$13,2,FALSE)</f>
        <v>South</v>
      </c>
      <c r="G140" t="s">
        <v>187</v>
      </c>
    </row>
    <row r="141" spans="1:7" x14ac:dyDescent="0.25">
      <c r="A141" t="str">
        <f t="shared" si="2"/>
        <v>C0140</v>
      </c>
      <c r="B141" t="s">
        <v>498</v>
      </c>
      <c r="C141" t="str">
        <f>VLOOKUP(LEFT(B141,FIND(" ",B141)-1),Customer_Helper!$A$2:$B$101,2,FALSE)</f>
        <v>Male</v>
      </c>
      <c r="D141">
        <v>40</v>
      </c>
      <c r="E141" t="s">
        <v>14</v>
      </c>
      <c r="F141" t="str">
        <f>VLOOKUP(E141,Customer_Helper!$F$2:$G$13,2,FALSE)</f>
        <v>South</v>
      </c>
      <c r="G141" t="s">
        <v>185</v>
      </c>
    </row>
    <row r="142" spans="1:7" x14ac:dyDescent="0.25">
      <c r="A142" t="str">
        <f t="shared" si="2"/>
        <v>C0141</v>
      </c>
      <c r="B142" t="s">
        <v>499</v>
      </c>
      <c r="C142" t="str">
        <f>VLOOKUP(LEFT(B142,FIND(" ",B142)-1),Customer_Helper!$A$2:$B$101,2,FALSE)</f>
        <v>Female</v>
      </c>
      <c r="D142">
        <v>29</v>
      </c>
      <c r="E142" t="s">
        <v>10</v>
      </c>
      <c r="F142" t="str">
        <f>VLOOKUP(E142,Customer_Helper!$F$2:$G$13,2,FALSE)</f>
        <v>North</v>
      </c>
      <c r="G142" t="s">
        <v>187</v>
      </c>
    </row>
    <row r="143" spans="1:7" x14ac:dyDescent="0.25">
      <c r="A143" t="str">
        <f t="shared" si="2"/>
        <v>C0142</v>
      </c>
      <c r="B143" t="s">
        <v>500</v>
      </c>
      <c r="C143" t="str">
        <f>VLOOKUP(LEFT(B143,FIND(" ",B143)-1),Customer_Helper!$A$2:$B$101,2,FALSE)</f>
        <v>Male</v>
      </c>
      <c r="D143">
        <v>20</v>
      </c>
      <c r="E143" t="s">
        <v>10</v>
      </c>
      <c r="F143" t="str">
        <f>VLOOKUP(E143,Customer_Helper!$F$2:$G$13,2,FALSE)</f>
        <v>North</v>
      </c>
      <c r="G143" t="s">
        <v>186</v>
      </c>
    </row>
    <row r="144" spans="1:7" x14ac:dyDescent="0.25">
      <c r="A144" t="str">
        <f t="shared" si="2"/>
        <v>C0143</v>
      </c>
      <c r="B144" t="s">
        <v>501</v>
      </c>
      <c r="C144" t="str">
        <f>VLOOKUP(LEFT(B144,FIND(" ",B144)-1),Customer_Helper!$A$2:$B$101,2,FALSE)</f>
        <v>Female</v>
      </c>
      <c r="D144">
        <v>62</v>
      </c>
      <c r="E144" t="s">
        <v>5</v>
      </c>
      <c r="F144" t="str">
        <f>VLOOKUP(E144,Customer_Helper!$F$2:$G$13,2,FALSE)</f>
        <v>West</v>
      </c>
      <c r="G144" t="s">
        <v>186</v>
      </c>
    </row>
    <row r="145" spans="1:7" x14ac:dyDescent="0.25">
      <c r="A145" t="str">
        <f t="shared" si="2"/>
        <v>C0144</v>
      </c>
      <c r="B145" t="s">
        <v>502</v>
      </c>
      <c r="C145" t="str">
        <f>VLOOKUP(LEFT(B145,FIND(" ",B145)-1),Customer_Helper!$A$2:$B$101,2,FALSE)</f>
        <v>Female</v>
      </c>
      <c r="D145">
        <v>23</v>
      </c>
      <c r="E145" t="s">
        <v>4</v>
      </c>
      <c r="F145" t="str">
        <f>VLOOKUP(E145,Customer_Helper!$F$2:$G$13,2,FALSE)</f>
        <v>West</v>
      </c>
      <c r="G145" t="s">
        <v>186</v>
      </c>
    </row>
    <row r="146" spans="1:7" x14ac:dyDescent="0.25">
      <c r="A146" t="str">
        <f t="shared" si="2"/>
        <v>C0145</v>
      </c>
      <c r="B146" t="s">
        <v>503</v>
      </c>
      <c r="C146" t="str">
        <f>VLOOKUP(LEFT(B146,FIND(" ",B146)-1),Customer_Helper!$A$2:$B$101,2,FALSE)</f>
        <v>Female</v>
      </c>
      <c r="D146">
        <v>20</v>
      </c>
      <c r="E146" t="s">
        <v>2</v>
      </c>
      <c r="F146" t="str">
        <f>VLOOKUP(E146,Customer_Helper!$F$2:$G$13,2,FALSE)</f>
        <v>West</v>
      </c>
      <c r="G146" t="s">
        <v>185</v>
      </c>
    </row>
    <row r="147" spans="1:7" x14ac:dyDescent="0.25">
      <c r="A147" t="str">
        <f t="shared" si="2"/>
        <v>C0146</v>
      </c>
      <c r="B147" t="s">
        <v>504</v>
      </c>
      <c r="C147" t="str">
        <f>VLOOKUP(LEFT(B147,FIND(" ",B147)-1),Customer_Helper!$A$2:$B$101,2,FALSE)</f>
        <v>Female</v>
      </c>
      <c r="D147">
        <v>37</v>
      </c>
      <c r="E147" t="s">
        <v>11</v>
      </c>
      <c r="F147" t="str">
        <f>VLOOKUP(E147,Customer_Helper!$F$2:$G$13,2,FALSE)</f>
        <v>East</v>
      </c>
      <c r="G147" t="s">
        <v>187</v>
      </c>
    </row>
    <row r="148" spans="1:7" x14ac:dyDescent="0.25">
      <c r="A148" t="str">
        <f t="shared" si="2"/>
        <v>C0147</v>
      </c>
      <c r="B148" t="s">
        <v>505</v>
      </c>
      <c r="C148" t="str">
        <f>VLOOKUP(LEFT(B148,FIND(" ",B148)-1),Customer_Helper!$A$2:$B$101,2,FALSE)</f>
        <v>Female</v>
      </c>
      <c r="D148">
        <v>38</v>
      </c>
      <c r="E148" t="s">
        <v>5</v>
      </c>
      <c r="F148" t="str">
        <f>VLOOKUP(E148,Customer_Helper!$F$2:$G$13,2,FALSE)</f>
        <v>West</v>
      </c>
      <c r="G148" t="s">
        <v>187</v>
      </c>
    </row>
    <row r="149" spans="1:7" x14ac:dyDescent="0.25">
      <c r="A149" t="str">
        <f t="shared" si="2"/>
        <v>C0148</v>
      </c>
      <c r="B149" t="s">
        <v>506</v>
      </c>
      <c r="C149" t="str">
        <f>VLOOKUP(LEFT(B149,FIND(" ",B149)-1),Customer_Helper!$A$2:$B$101,2,FALSE)</f>
        <v>Male</v>
      </c>
      <c r="D149">
        <v>45</v>
      </c>
      <c r="E149" t="s">
        <v>14</v>
      </c>
      <c r="F149" t="str">
        <f>VLOOKUP(E149,Customer_Helper!$F$2:$G$13,2,FALSE)</f>
        <v>South</v>
      </c>
      <c r="G149" t="s">
        <v>186</v>
      </c>
    </row>
    <row r="150" spans="1:7" x14ac:dyDescent="0.25">
      <c r="A150" t="str">
        <f t="shared" si="2"/>
        <v>C0149</v>
      </c>
      <c r="B150" t="s">
        <v>507</v>
      </c>
      <c r="C150" t="str">
        <f>VLOOKUP(LEFT(B150,FIND(" ",B150)-1),Customer_Helper!$A$2:$B$101,2,FALSE)</f>
        <v>Female</v>
      </c>
      <c r="D150">
        <v>37</v>
      </c>
      <c r="E150" t="s">
        <v>9</v>
      </c>
      <c r="F150" t="str">
        <f>VLOOKUP(E150,Customer_Helper!$F$2:$G$13,2,FALSE)</f>
        <v>North</v>
      </c>
      <c r="G150" t="s">
        <v>187</v>
      </c>
    </row>
    <row r="151" spans="1:7" x14ac:dyDescent="0.25">
      <c r="A151" t="str">
        <f t="shared" si="2"/>
        <v>C0150</v>
      </c>
      <c r="B151" t="s">
        <v>508</v>
      </c>
      <c r="C151" t="str">
        <f>VLOOKUP(LEFT(B151,FIND(" ",B151)-1),Customer_Helper!$A$2:$B$101,2,FALSE)</f>
        <v>Female</v>
      </c>
      <c r="D151">
        <v>45</v>
      </c>
      <c r="E151" t="s">
        <v>5</v>
      </c>
      <c r="F151" t="str">
        <f>VLOOKUP(E151,Customer_Helper!$F$2:$G$13,2,FALSE)</f>
        <v>West</v>
      </c>
      <c r="G151" t="s">
        <v>186</v>
      </c>
    </row>
    <row r="152" spans="1:7" x14ac:dyDescent="0.25">
      <c r="A152" t="str">
        <f t="shared" si="2"/>
        <v>C0151</v>
      </c>
      <c r="B152" t="s">
        <v>509</v>
      </c>
      <c r="C152" t="str">
        <f>VLOOKUP(LEFT(B152,FIND(" ",B152)-1),Customer_Helper!$A$2:$B$101,2,FALSE)</f>
        <v>Male</v>
      </c>
      <c r="D152">
        <v>32</v>
      </c>
      <c r="E152" t="s">
        <v>7</v>
      </c>
      <c r="F152" t="str">
        <f>VLOOKUP(E152,Customer_Helper!$F$2:$G$13,2,FALSE)</f>
        <v>North</v>
      </c>
      <c r="G152" t="s">
        <v>185</v>
      </c>
    </row>
    <row r="153" spans="1:7" x14ac:dyDescent="0.25">
      <c r="A153" t="str">
        <f t="shared" si="2"/>
        <v>C0152</v>
      </c>
      <c r="B153" t="s">
        <v>510</v>
      </c>
      <c r="C153" t="str">
        <f>VLOOKUP(LEFT(B153,FIND(" ",B153)-1),Customer_Helper!$A$2:$B$101,2,FALSE)</f>
        <v>Male</v>
      </c>
      <c r="D153">
        <v>59</v>
      </c>
      <c r="E153" t="s">
        <v>14</v>
      </c>
      <c r="F153" t="str">
        <f>VLOOKUP(E153,Customer_Helper!$F$2:$G$13,2,FALSE)</f>
        <v>South</v>
      </c>
      <c r="G153" t="s">
        <v>186</v>
      </c>
    </row>
    <row r="154" spans="1:7" x14ac:dyDescent="0.25">
      <c r="A154" t="str">
        <f t="shared" si="2"/>
        <v>C0153</v>
      </c>
      <c r="B154" t="s">
        <v>511</v>
      </c>
      <c r="C154" t="str">
        <f>VLOOKUP(LEFT(B154,FIND(" ",B154)-1),Customer_Helper!$A$2:$B$101,2,FALSE)</f>
        <v>Female</v>
      </c>
      <c r="D154">
        <v>46</v>
      </c>
      <c r="E154" t="s">
        <v>289</v>
      </c>
      <c r="F154" t="str">
        <f>VLOOKUP(E154,Customer_Helper!$F$2:$G$13,2,FALSE)</f>
        <v>West</v>
      </c>
      <c r="G154" t="s">
        <v>187</v>
      </c>
    </row>
    <row r="155" spans="1:7" x14ac:dyDescent="0.25">
      <c r="A155" t="str">
        <f t="shared" si="2"/>
        <v>C0154</v>
      </c>
      <c r="B155" t="s">
        <v>512</v>
      </c>
      <c r="C155" t="str">
        <f>VLOOKUP(LEFT(B155,FIND(" ",B155)-1),Customer_Helper!$A$2:$B$101,2,FALSE)</f>
        <v>Male</v>
      </c>
      <c r="D155">
        <v>48</v>
      </c>
      <c r="E155" t="s">
        <v>16</v>
      </c>
      <c r="F155" t="str">
        <f>VLOOKUP(E155,Customer_Helper!$F$2:$G$13,2,FALSE)</f>
        <v>South</v>
      </c>
      <c r="G155" t="s">
        <v>187</v>
      </c>
    </row>
    <row r="156" spans="1:7" x14ac:dyDescent="0.25">
      <c r="A156" t="str">
        <f t="shared" si="2"/>
        <v>C0155</v>
      </c>
      <c r="B156" t="s">
        <v>513</v>
      </c>
      <c r="C156" t="str">
        <f>VLOOKUP(LEFT(B156,FIND(" ",B156)-1),Customer_Helper!$A$2:$B$101,2,FALSE)</f>
        <v>Female</v>
      </c>
      <c r="D156">
        <v>61</v>
      </c>
      <c r="E156" t="s">
        <v>4</v>
      </c>
      <c r="F156" t="str">
        <f>VLOOKUP(E156,Customer_Helper!$F$2:$G$13,2,FALSE)</f>
        <v>West</v>
      </c>
      <c r="G156" t="s">
        <v>186</v>
      </c>
    </row>
    <row r="157" spans="1:7" x14ac:dyDescent="0.25">
      <c r="A157" t="str">
        <f t="shared" si="2"/>
        <v>C0156</v>
      </c>
      <c r="B157" t="s">
        <v>514</v>
      </c>
      <c r="C157" t="str">
        <f>VLOOKUP(LEFT(B157,FIND(" ",B157)-1),Customer_Helper!$A$2:$B$101,2,FALSE)</f>
        <v>Female</v>
      </c>
      <c r="D157">
        <v>43</v>
      </c>
      <c r="E157" t="s">
        <v>4</v>
      </c>
      <c r="F157" t="str">
        <f>VLOOKUP(E157,Customer_Helper!$F$2:$G$13,2,FALSE)</f>
        <v>West</v>
      </c>
      <c r="G157" t="s">
        <v>186</v>
      </c>
    </row>
    <row r="158" spans="1:7" x14ac:dyDescent="0.25">
      <c r="A158" t="str">
        <f t="shared" si="2"/>
        <v>C0157</v>
      </c>
      <c r="B158" t="s">
        <v>515</v>
      </c>
      <c r="C158" t="str">
        <f>VLOOKUP(LEFT(B158,FIND(" ",B158)-1),Customer_Helper!$A$2:$B$101,2,FALSE)</f>
        <v>Female</v>
      </c>
      <c r="D158">
        <v>41</v>
      </c>
      <c r="E158" t="s">
        <v>289</v>
      </c>
      <c r="F158" t="str">
        <f>VLOOKUP(E158,Customer_Helper!$F$2:$G$13,2,FALSE)</f>
        <v>West</v>
      </c>
      <c r="G158" t="s">
        <v>185</v>
      </c>
    </row>
    <row r="159" spans="1:7" x14ac:dyDescent="0.25">
      <c r="A159" t="str">
        <f t="shared" si="2"/>
        <v>C0158</v>
      </c>
      <c r="B159" t="s">
        <v>516</v>
      </c>
      <c r="C159" t="str">
        <f>VLOOKUP(LEFT(B159,FIND(" ",B159)-1),Customer_Helper!$A$2:$B$101,2,FALSE)</f>
        <v>Male</v>
      </c>
      <c r="D159">
        <v>59</v>
      </c>
      <c r="E159" t="s">
        <v>4</v>
      </c>
      <c r="F159" t="str">
        <f>VLOOKUP(E159,Customer_Helper!$F$2:$G$13,2,FALSE)</f>
        <v>West</v>
      </c>
      <c r="G159" t="s">
        <v>185</v>
      </c>
    </row>
    <row r="160" spans="1:7" x14ac:dyDescent="0.25">
      <c r="A160" t="str">
        <f t="shared" si="2"/>
        <v>C0159</v>
      </c>
      <c r="B160" t="s">
        <v>517</v>
      </c>
      <c r="C160" t="str">
        <f>VLOOKUP(LEFT(B160,FIND(" ",B160)-1),Customer_Helper!$A$2:$B$101,2,FALSE)</f>
        <v>Female</v>
      </c>
      <c r="D160">
        <v>43</v>
      </c>
      <c r="E160" t="s">
        <v>16</v>
      </c>
      <c r="F160" t="str">
        <f>VLOOKUP(E160,Customer_Helper!$F$2:$G$13,2,FALSE)</f>
        <v>South</v>
      </c>
      <c r="G160" t="s">
        <v>187</v>
      </c>
    </row>
    <row r="161" spans="1:7" x14ac:dyDescent="0.25">
      <c r="A161" t="str">
        <f t="shared" si="2"/>
        <v>C0160</v>
      </c>
      <c r="B161" t="s">
        <v>518</v>
      </c>
      <c r="C161" t="str">
        <f>VLOOKUP(LEFT(B161,FIND(" ",B161)-1),Customer_Helper!$A$2:$B$101,2,FALSE)</f>
        <v>Female</v>
      </c>
      <c r="D161">
        <v>62</v>
      </c>
      <c r="E161" t="s">
        <v>290</v>
      </c>
      <c r="F161" t="str">
        <f>VLOOKUP(E161,Customer_Helper!$F$2:$G$13,2,FALSE)</f>
        <v>West</v>
      </c>
      <c r="G161" t="s">
        <v>187</v>
      </c>
    </row>
    <row r="162" spans="1:7" x14ac:dyDescent="0.25">
      <c r="A162" t="str">
        <f t="shared" si="2"/>
        <v>C0161</v>
      </c>
      <c r="B162" t="s">
        <v>519</v>
      </c>
      <c r="C162" t="str">
        <f>VLOOKUP(LEFT(B162,FIND(" ",B162)-1),Customer_Helper!$A$2:$B$101,2,FALSE)</f>
        <v>Female</v>
      </c>
      <c r="D162">
        <v>20</v>
      </c>
      <c r="E162" t="s">
        <v>16</v>
      </c>
      <c r="F162" t="str">
        <f>VLOOKUP(E162,Customer_Helper!$F$2:$G$13,2,FALSE)</f>
        <v>South</v>
      </c>
      <c r="G162" t="s">
        <v>187</v>
      </c>
    </row>
    <row r="163" spans="1:7" x14ac:dyDescent="0.25">
      <c r="A163" t="str">
        <f t="shared" si="2"/>
        <v>C0162</v>
      </c>
      <c r="B163" t="s">
        <v>520</v>
      </c>
      <c r="C163" t="str">
        <f>VLOOKUP(LEFT(B163,FIND(" ",B163)-1),Customer_Helper!$A$2:$B$101,2,FALSE)</f>
        <v>Male</v>
      </c>
      <c r="D163">
        <v>43</v>
      </c>
      <c r="E163" t="s">
        <v>2</v>
      </c>
      <c r="F163" t="str">
        <f>VLOOKUP(E163,Customer_Helper!$F$2:$G$13,2,FALSE)</f>
        <v>West</v>
      </c>
      <c r="G163" t="s">
        <v>187</v>
      </c>
    </row>
    <row r="164" spans="1:7" x14ac:dyDescent="0.25">
      <c r="A164" t="str">
        <f t="shared" si="2"/>
        <v>C0163</v>
      </c>
      <c r="B164" t="s">
        <v>521</v>
      </c>
      <c r="C164" t="str">
        <f>VLOOKUP(LEFT(B164,FIND(" ",B164)-1),Customer_Helper!$A$2:$B$101,2,FALSE)</f>
        <v>Female</v>
      </c>
      <c r="D164">
        <v>59</v>
      </c>
      <c r="E164" t="s">
        <v>9</v>
      </c>
      <c r="F164" t="str">
        <f>VLOOKUP(E164,Customer_Helper!$F$2:$G$13,2,FALSE)</f>
        <v>North</v>
      </c>
      <c r="G164" t="s">
        <v>186</v>
      </c>
    </row>
    <row r="165" spans="1:7" x14ac:dyDescent="0.25">
      <c r="A165" t="str">
        <f t="shared" si="2"/>
        <v>C0164</v>
      </c>
      <c r="B165" t="s">
        <v>522</v>
      </c>
      <c r="C165" t="str">
        <f>VLOOKUP(LEFT(B165,FIND(" ",B165)-1),Customer_Helper!$A$2:$B$101,2,FALSE)</f>
        <v>Male</v>
      </c>
      <c r="D165">
        <v>55</v>
      </c>
      <c r="E165" t="s">
        <v>16</v>
      </c>
      <c r="F165" t="str">
        <f>VLOOKUP(E165,Customer_Helper!$F$2:$G$13,2,FALSE)</f>
        <v>South</v>
      </c>
      <c r="G165" t="s">
        <v>186</v>
      </c>
    </row>
    <row r="166" spans="1:7" x14ac:dyDescent="0.25">
      <c r="A166" t="str">
        <f t="shared" si="2"/>
        <v>C0165</v>
      </c>
      <c r="B166" t="s">
        <v>523</v>
      </c>
      <c r="C166" t="str">
        <f>VLOOKUP(LEFT(B166,FIND(" ",B166)-1),Customer_Helper!$A$2:$B$101,2,FALSE)</f>
        <v>Female</v>
      </c>
      <c r="D166">
        <v>63</v>
      </c>
      <c r="E166" t="s">
        <v>11</v>
      </c>
      <c r="F166" t="str">
        <f>VLOOKUP(E166,Customer_Helper!$F$2:$G$13,2,FALSE)</f>
        <v>East</v>
      </c>
      <c r="G166" t="s">
        <v>187</v>
      </c>
    </row>
    <row r="167" spans="1:7" x14ac:dyDescent="0.25">
      <c r="A167" t="str">
        <f t="shared" si="2"/>
        <v>C0166</v>
      </c>
      <c r="B167" t="s">
        <v>524</v>
      </c>
      <c r="C167" t="str">
        <f>VLOOKUP(LEFT(B167,FIND(" ",B167)-1),Customer_Helper!$A$2:$B$101,2,FALSE)</f>
        <v>Male</v>
      </c>
      <c r="D167">
        <v>42</v>
      </c>
      <c r="E167" t="s">
        <v>5</v>
      </c>
      <c r="F167" t="str">
        <f>VLOOKUP(E167,Customer_Helper!$F$2:$G$13,2,FALSE)</f>
        <v>West</v>
      </c>
      <c r="G167" t="s">
        <v>187</v>
      </c>
    </row>
    <row r="168" spans="1:7" x14ac:dyDescent="0.25">
      <c r="A168" t="str">
        <f t="shared" si="2"/>
        <v>C0167</v>
      </c>
      <c r="B168" t="s">
        <v>525</v>
      </c>
      <c r="C168" t="str">
        <f>VLOOKUP(LEFT(B168,FIND(" ",B168)-1),Customer_Helper!$A$2:$B$101,2,FALSE)</f>
        <v>Male</v>
      </c>
      <c r="D168">
        <v>24</v>
      </c>
      <c r="E168" t="s">
        <v>16</v>
      </c>
      <c r="F168" t="str">
        <f>VLOOKUP(E168,Customer_Helper!$F$2:$G$13,2,FALSE)</f>
        <v>South</v>
      </c>
      <c r="G168" t="s">
        <v>187</v>
      </c>
    </row>
    <row r="169" spans="1:7" x14ac:dyDescent="0.25">
      <c r="A169" t="str">
        <f t="shared" si="2"/>
        <v>C0168</v>
      </c>
      <c r="B169" t="s">
        <v>526</v>
      </c>
      <c r="C169" t="str">
        <f>VLOOKUP(LEFT(B169,FIND(" ",B169)-1),Customer_Helper!$A$2:$B$101,2,FALSE)</f>
        <v>Male</v>
      </c>
      <c r="D169">
        <v>48</v>
      </c>
      <c r="E169" t="s">
        <v>14</v>
      </c>
      <c r="F169" t="str">
        <f>VLOOKUP(E169,Customer_Helper!$F$2:$G$13,2,FALSE)</f>
        <v>South</v>
      </c>
      <c r="G169" t="s">
        <v>187</v>
      </c>
    </row>
    <row r="170" spans="1:7" x14ac:dyDescent="0.25">
      <c r="A170" t="str">
        <f t="shared" si="2"/>
        <v>C0169</v>
      </c>
      <c r="B170" t="s">
        <v>527</v>
      </c>
      <c r="C170" t="str">
        <f>VLOOKUP(LEFT(B170,FIND(" ",B170)-1),Customer_Helper!$A$2:$B$101,2,FALSE)</f>
        <v>Female</v>
      </c>
      <c r="D170">
        <v>28</v>
      </c>
      <c r="E170" t="s">
        <v>5</v>
      </c>
      <c r="F170" t="str">
        <f>VLOOKUP(E170,Customer_Helper!$F$2:$G$13,2,FALSE)</f>
        <v>West</v>
      </c>
      <c r="G170" t="s">
        <v>186</v>
      </c>
    </row>
    <row r="171" spans="1:7" x14ac:dyDescent="0.25">
      <c r="A171" t="str">
        <f t="shared" si="2"/>
        <v>C0170</v>
      </c>
      <c r="B171" t="s">
        <v>528</v>
      </c>
      <c r="C171" t="str">
        <f>VLOOKUP(LEFT(B171,FIND(" ",B171)-1),Customer_Helper!$A$2:$B$101,2,FALSE)</f>
        <v>Female</v>
      </c>
      <c r="D171">
        <v>61</v>
      </c>
      <c r="E171" t="s">
        <v>9</v>
      </c>
      <c r="F171" t="str">
        <f>VLOOKUP(E171,Customer_Helper!$F$2:$G$13,2,FALSE)</f>
        <v>North</v>
      </c>
      <c r="G171" t="s">
        <v>185</v>
      </c>
    </row>
    <row r="172" spans="1:7" x14ac:dyDescent="0.25">
      <c r="A172" t="str">
        <f t="shared" si="2"/>
        <v>C0171</v>
      </c>
      <c r="B172" t="s">
        <v>529</v>
      </c>
      <c r="C172" t="str">
        <f>VLOOKUP(LEFT(B172,FIND(" ",B172)-1),Customer_Helper!$A$2:$B$101,2,FALSE)</f>
        <v>Female</v>
      </c>
      <c r="D172">
        <v>65</v>
      </c>
      <c r="E172" t="s">
        <v>11</v>
      </c>
      <c r="F172" t="str">
        <f>VLOOKUP(E172,Customer_Helper!$F$2:$G$13,2,FALSE)</f>
        <v>East</v>
      </c>
      <c r="G172" t="s">
        <v>187</v>
      </c>
    </row>
    <row r="173" spans="1:7" x14ac:dyDescent="0.25">
      <c r="A173" t="str">
        <f t="shared" si="2"/>
        <v>C0172</v>
      </c>
      <c r="B173" t="s">
        <v>530</v>
      </c>
      <c r="C173" t="str">
        <f>VLOOKUP(LEFT(B173,FIND(" ",B173)-1),Customer_Helper!$A$2:$B$101,2,FALSE)</f>
        <v>Female</v>
      </c>
      <c r="D173">
        <v>52</v>
      </c>
      <c r="E173" t="s">
        <v>11</v>
      </c>
      <c r="F173" t="str">
        <f>VLOOKUP(E173,Customer_Helper!$F$2:$G$13,2,FALSE)</f>
        <v>East</v>
      </c>
      <c r="G173" t="s">
        <v>187</v>
      </c>
    </row>
    <row r="174" spans="1:7" x14ac:dyDescent="0.25">
      <c r="A174" t="str">
        <f t="shared" si="2"/>
        <v>C0173</v>
      </c>
      <c r="B174" t="s">
        <v>531</v>
      </c>
      <c r="C174" t="str">
        <f>VLOOKUP(LEFT(B174,FIND(" ",B174)-1),Customer_Helper!$A$2:$B$101,2,FALSE)</f>
        <v>Male</v>
      </c>
      <c r="D174">
        <v>34</v>
      </c>
      <c r="E174" t="s">
        <v>7</v>
      </c>
      <c r="F174" t="str">
        <f>VLOOKUP(E174,Customer_Helper!$F$2:$G$13,2,FALSE)</f>
        <v>North</v>
      </c>
      <c r="G174" t="s">
        <v>187</v>
      </c>
    </row>
    <row r="175" spans="1:7" x14ac:dyDescent="0.25">
      <c r="A175" t="str">
        <f t="shared" si="2"/>
        <v>C0174</v>
      </c>
      <c r="B175" t="s">
        <v>532</v>
      </c>
      <c r="C175" t="str">
        <f>VLOOKUP(LEFT(B175,FIND(" ",B175)-1),Customer_Helper!$A$2:$B$101,2,FALSE)</f>
        <v>Male</v>
      </c>
      <c r="D175">
        <v>56</v>
      </c>
      <c r="E175" t="s">
        <v>289</v>
      </c>
      <c r="F175" t="str">
        <f>VLOOKUP(E175,Customer_Helper!$F$2:$G$13,2,FALSE)</f>
        <v>West</v>
      </c>
      <c r="G175" t="s">
        <v>187</v>
      </c>
    </row>
    <row r="176" spans="1:7" x14ac:dyDescent="0.25">
      <c r="A176" t="str">
        <f t="shared" si="2"/>
        <v>C0175</v>
      </c>
      <c r="B176" t="s">
        <v>533</v>
      </c>
      <c r="C176" t="str">
        <f>VLOOKUP(LEFT(B176,FIND(" ",B176)-1),Customer_Helper!$A$2:$B$101,2,FALSE)</f>
        <v>Female</v>
      </c>
      <c r="D176">
        <v>24</v>
      </c>
      <c r="E176" t="s">
        <v>289</v>
      </c>
      <c r="F176" t="str">
        <f>VLOOKUP(E176,Customer_Helper!$F$2:$G$13,2,FALSE)</f>
        <v>West</v>
      </c>
      <c r="G176" t="s">
        <v>186</v>
      </c>
    </row>
    <row r="177" spans="1:7" x14ac:dyDescent="0.25">
      <c r="A177" t="str">
        <f t="shared" si="2"/>
        <v>C0176</v>
      </c>
      <c r="B177" t="s">
        <v>534</v>
      </c>
      <c r="C177" t="str">
        <f>VLOOKUP(LEFT(B177,FIND(" ",B177)-1),Customer_Helper!$A$2:$B$101,2,FALSE)</f>
        <v>Male</v>
      </c>
      <c r="D177">
        <v>61</v>
      </c>
      <c r="E177" t="s">
        <v>2</v>
      </c>
      <c r="F177" t="str">
        <f>VLOOKUP(E177,Customer_Helper!$F$2:$G$13,2,FALSE)</f>
        <v>West</v>
      </c>
      <c r="G177" t="s">
        <v>185</v>
      </c>
    </row>
    <row r="178" spans="1:7" x14ac:dyDescent="0.25">
      <c r="A178" t="str">
        <f t="shared" si="2"/>
        <v>C0177</v>
      </c>
      <c r="B178" t="s">
        <v>535</v>
      </c>
      <c r="C178" t="str">
        <f>VLOOKUP(LEFT(B178,FIND(" ",B178)-1),Customer_Helper!$A$2:$B$101,2,FALSE)</f>
        <v>Male</v>
      </c>
      <c r="D178">
        <v>44</v>
      </c>
      <c r="E178" t="s">
        <v>5</v>
      </c>
      <c r="F178" t="str">
        <f>VLOOKUP(E178,Customer_Helper!$F$2:$G$13,2,FALSE)</f>
        <v>West</v>
      </c>
      <c r="G178" t="s">
        <v>187</v>
      </c>
    </row>
    <row r="179" spans="1:7" x14ac:dyDescent="0.25">
      <c r="A179" t="str">
        <f t="shared" si="2"/>
        <v>C0178</v>
      </c>
      <c r="B179" t="s">
        <v>536</v>
      </c>
      <c r="C179" t="str">
        <f>VLOOKUP(LEFT(B179,FIND(" ",B179)-1),Customer_Helper!$A$2:$B$101,2,FALSE)</f>
        <v>Male</v>
      </c>
      <c r="D179">
        <v>59</v>
      </c>
      <c r="E179" t="s">
        <v>2</v>
      </c>
      <c r="F179" t="str">
        <f>VLOOKUP(E179,Customer_Helper!$F$2:$G$13,2,FALSE)</f>
        <v>West</v>
      </c>
      <c r="G179" t="s">
        <v>187</v>
      </c>
    </row>
    <row r="180" spans="1:7" x14ac:dyDescent="0.25">
      <c r="A180" t="str">
        <f t="shared" si="2"/>
        <v>C0179</v>
      </c>
      <c r="B180" t="s">
        <v>537</v>
      </c>
      <c r="C180" t="str">
        <f>VLOOKUP(LEFT(B180,FIND(" ",B180)-1),Customer_Helper!$A$2:$B$101,2,FALSE)</f>
        <v>Male</v>
      </c>
      <c r="D180">
        <v>19</v>
      </c>
      <c r="E180" t="s">
        <v>289</v>
      </c>
      <c r="F180" t="str">
        <f>VLOOKUP(E180,Customer_Helper!$F$2:$G$13,2,FALSE)</f>
        <v>West</v>
      </c>
      <c r="G180" t="s">
        <v>186</v>
      </c>
    </row>
    <row r="181" spans="1:7" x14ac:dyDescent="0.25">
      <c r="A181" t="str">
        <f t="shared" si="2"/>
        <v>C0180</v>
      </c>
      <c r="B181" t="s">
        <v>538</v>
      </c>
      <c r="C181" t="str">
        <f>VLOOKUP(LEFT(B181,FIND(" ",B181)-1),Customer_Helper!$A$2:$B$101,2,FALSE)</f>
        <v>Male</v>
      </c>
      <c r="D181">
        <v>32</v>
      </c>
      <c r="E181" t="s">
        <v>11</v>
      </c>
      <c r="F181" t="str">
        <f>VLOOKUP(E181,Customer_Helper!$F$2:$G$13,2,FALSE)</f>
        <v>East</v>
      </c>
      <c r="G181" t="s">
        <v>185</v>
      </c>
    </row>
    <row r="182" spans="1:7" x14ac:dyDescent="0.25">
      <c r="A182" t="str">
        <f t="shared" si="2"/>
        <v>C0181</v>
      </c>
      <c r="B182" t="s">
        <v>539</v>
      </c>
      <c r="C182" t="str">
        <f>VLOOKUP(LEFT(B182,FIND(" ",B182)-1),Customer_Helper!$A$2:$B$101,2,FALSE)</f>
        <v>Female</v>
      </c>
      <c r="D182">
        <v>27</v>
      </c>
      <c r="E182" t="s">
        <v>11</v>
      </c>
      <c r="F182" t="str">
        <f>VLOOKUP(E182,Customer_Helper!$F$2:$G$13,2,FALSE)</f>
        <v>East</v>
      </c>
      <c r="G182" t="s">
        <v>186</v>
      </c>
    </row>
    <row r="183" spans="1:7" x14ac:dyDescent="0.25">
      <c r="A183" t="str">
        <f t="shared" si="2"/>
        <v>C0182</v>
      </c>
      <c r="B183" t="s">
        <v>540</v>
      </c>
      <c r="C183" t="str">
        <f>VLOOKUP(LEFT(B183,FIND(" ",B183)-1),Customer_Helper!$A$2:$B$101,2,FALSE)</f>
        <v>Female</v>
      </c>
      <c r="D183">
        <v>18</v>
      </c>
      <c r="E183" t="s">
        <v>16</v>
      </c>
      <c r="F183" t="str">
        <f>VLOOKUP(E183,Customer_Helper!$F$2:$G$13,2,FALSE)</f>
        <v>South</v>
      </c>
      <c r="G183" t="s">
        <v>185</v>
      </c>
    </row>
    <row r="184" spans="1:7" x14ac:dyDescent="0.25">
      <c r="A184" t="str">
        <f t="shared" si="2"/>
        <v>C0183</v>
      </c>
      <c r="B184" t="s">
        <v>541</v>
      </c>
      <c r="C184" t="str">
        <f>VLOOKUP(LEFT(B184,FIND(" ",B184)-1),Customer_Helper!$A$2:$B$101,2,FALSE)</f>
        <v>Male</v>
      </c>
      <c r="D184">
        <v>22</v>
      </c>
      <c r="E184" t="s">
        <v>14</v>
      </c>
      <c r="F184" t="str">
        <f>VLOOKUP(E184,Customer_Helper!$F$2:$G$13,2,FALSE)</f>
        <v>South</v>
      </c>
      <c r="G184" t="s">
        <v>186</v>
      </c>
    </row>
    <row r="185" spans="1:7" x14ac:dyDescent="0.25">
      <c r="A185" t="str">
        <f t="shared" si="2"/>
        <v>C0184</v>
      </c>
      <c r="B185" t="s">
        <v>542</v>
      </c>
      <c r="C185" t="str">
        <f>VLOOKUP(LEFT(B185,FIND(" ",B185)-1),Customer_Helper!$A$2:$B$101,2,FALSE)</f>
        <v>Male</v>
      </c>
      <c r="D185">
        <v>43</v>
      </c>
      <c r="E185" t="s">
        <v>14</v>
      </c>
      <c r="F185" t="str">
        <f>VLOOKUP(E185,Customer_Helper!$F$2:$G$13,2,FALSE)</f>
        <v>South</v>
      </c>
      <c r="G185" t="s">
        <v>187</v>
      </c>
    </row>
    <row r="186" spans="1:7" x14ac:dyDescent="0.25">
      <c r="A186" t="str">
        <f t="shared" si="2"/>
        <v>C0185</v>
      </c>
      <c r="B186" t="s">
        <v>543</v>
      </c>
      <c r="C186" t="str">
        <f>VLOOKUP(LEFT(B186,FIND(" ",B186)-1),Customer_Helper!$A$2:$B$101,2,FALSE)</f>
        <v>Male</v>
      </c>
      <c r="D186">
        <v>51</v>
      </c>
      <c r="E186" t="s">
        <v>7</v>
      </c>
      <c r="F186" t="str">
        <f>VLOOKUP(E186,Customer_Helper!$F$2:$G$13,2,FALSE)</f>
        <v>North</v>
      </c>
      <c r="G186" t="s">
        <v>187</v>
      </c>
    </row>
    <row r="187" spans="1:7" x14ac:dyDescent="0.25">
      <c r="A187" t="str">
        <f t="shared" si="2"/>
        <v>C0186</v>
      </c>
      <c r="B187" t="s">
        <v>544</v>
      </c>
      <c r="C187" t="str">
        <f>VLOOKUP(LEFT(B187,FIND(" ",B187)-1),Customer_Helper!$A$2:$B$101,2,FALSE)</f>
        <v>Male</v>
      </c>
      <c r="D187">
        <v>51</v>
      </c>
      <c r="E187" t="s">
        <v>17</v>
      </c>
      <c r="F187" t="str">
        <f>VLOOKUP(E187,Customer_Helper!$F$2:$G$13,2,FALSE)</f>
        <v>South</v>
      </c>
      <c r="G187" t="s">
        <v>185</v>
      </c>
    </row>
    <row r="188" spans="1:7" x14ac:dyDescent="0.25">
      <c r="A188" t="str">
        <f t="shared" si="2"/>
        <v>C0187</v>
      </c>
      <c r="B188" t="s">
        <v>545</v>
      </c>
      <c r="C188" t="str">
        <f>VLOOKUP(LEFT(B188,FIND(" ",B188)-1),Customer_Helper!$A$2:$B$101,2,FALSE)</f>
        <v>Female</v>
      </c>
      <c r="D188">
        <v>42</v>
      </c>
      <c r="E188" t="s">
        <v>4</v>
      </c>
      <c r="F188" t="str">
        <f>VLOOKUP(E188,Customer_Helper!$F$2:$G$13,2,FALSE)</f>
        <v>West</v>
      </c>
      <c r="G188" t="s">
        <v>186</v>
      </c>
    </row>
    <row r="189" spans="1:7" x14ac:dyDescent="0.25">
      <c r="A189" t="str">
        <f t="shared" si="2"/>
        <v>C0188</v>
      </c>
      <c r="B189" t="s">
        <v>546</v>
      </c>
      <c r="C189" t="str">
        <f>VLOOKUP(LEFT(B189,FIND(" ",B189)-1),Customer_Helper!$A$2:$B$101,2,FALSE)</f>
        <v>Female</v>
      </c>
      <c r="D189">
        <v>37</v>
      </c>
      <c r="E189" t="s">
        <v>7</v>
      </c>
      <c r="F189" t="str">
        <f>VLOOKUP(E189,Customer_Helper!$F$2:$G$13,2,FALSE)</f>
        <v>North</v>
      </c>
      <c r="G189" t="s">
        <v>187</v>
      </c>
    </row>
    <row r="190" spans="1:7" x14ac:dyDescent="0.25">
      <c r="A190" t="str">
        <f t="shared" si="2"/>
        <v>C0189</v>
      </c>
      <c r="B190" t="s">
        <v>547</v>
      </c>
      <c r="C190" t="str">
        <f>VLOOKUP(LEFT(B190,FIND(" ",B190)-1),Customer_Helper!$A$2:$B$101,2,FALSE)</f>
        <v>Male</v>
      </c>
      <c r="D190">
        <v>31</v>
      </c>
      <c r="E190" t="s">
        <v>9</v>
      </c>
      <c r="F190" t="str">
        <f>VLOOKUP(E190,Customer_Helper!$F$2:$G$13,2,FALSE)</f>
        <v>North</v>
      </c>
      <c r="G190" t="s">
        <v>186</v>
      </c>
    </row>
    <row r="191" spans="1:7" x14ac:dyDescent="0.25">
      <c r="A191" t="str">
        <f t="shared" si="2"/>
        <v>C0190</v>
      </c>
      <c r="B191" t="s">
        <v>548</v>
      </c>
      <c r="C191" t="str">
        <f>VLOOKUP(LEFT(B191,FIND(" ",B191)-1),Customer_Helper!$A$2:$B$101,2,FALSE)</f>
        <v>Female</v>
      </c>
      <c r="D191">
        <v>38</v>
      </c>
      <c r="E191" t="s">
        <v>290</v>
      </c>
      <c r="F191" t="str">
        <f>VLOOKUP(E191,Customer_Helper!$F$2:$G$13,2,FALSE)</f>
        <v>West</v>
      </c>
      <c r="G191" t="s">
        <v>187</v>
      </c>
    </row>
    <row r="192" spans="1:7" x14ac:dyDescent="0.25">
      <c r="A192" t="str">
        <f t="shared" si="2"/>
        <v>C0191</v>
      </c>
      <c r="B192" t="s">
        <v>549</v>
      </c>
      <c r="C192" t="str">
        <f>VLOOKUP(LEFT(B192,FIND(" ",B192)-1),Customer_Helper!$A$2:$B$101,2,FALSE)</f>
        <v>Female</v>
      </c>
      <c r="D192">
        <v>63</v>
      </c>
      <c r="E192" t="s">
        <v>7</v>
      </c>
      <c r="F192" t="str">
        <f>VLOOKUP(E192,Customer_Helper!$F$2:$G$13,2,FALSE)</f>
        <v>North</v>
      </c>
      <c r="G192" t="s">
        <v>185</v>
      </c>
    </row>
    <row r="193" spans="1:7" x14ac:dyDescent="0.25">
      <c r="A193" t="str">
        <f t="shared" si="2"/>
        <v>C0192</v>
      </c>
      <c r="B193" t="s">
        <v>550</v>
      </c>
      <c r="C193" t="str">
        <f>VLOOKUP(LEFT(B193,FIND(" ",B193)-1),Customer_Helper!$A$2:$B$101,2,FALSE)</f>
        <v>Male</v>
      </c>
      <c r="D193">
        <v>37</v>
      </c>
      <c r="E193" t="s">
        <v>7</v>
      </c>
      <c r="F193" t="str">
        <f>VLOOKUP(E193,Customer_Helper!$F$2:$G$13,2,FALSE)</f>
        <v>North</v>
      </c>
      <c r="G193" t="s">
        <v>187</v>
      </c>
    </row>
    <row r="194" spans="1:7" x14ac:dyDescent="0.25">
      <c r="A194" t="str">
        <f t="shared" si="2"/>
        <v>C0193</v>
      </c>
      <c r="B194" t="s">
        <v>551</v>
      </c>
      <c r="C194" t="str">
        <f>VLOOKUP(LEFT(B194,FIND(" ",B194)-1),Customer_Helper!$A$2:$B$101,2,FALSE)</f>
        <v>Male</v>
      </c>
      <c r="D194">
        <v>41</v>
      </c>
      <c r="E194" t="s">
        <v>5</v>
      </c>
      <c r="F194" t="str">
        <f>VLOOKUP(E194,Customer_Helper!$F$2:$G$13,2,FALSE)</f>
        <v>West</v>
      </c>
      <c r="G194" t="s">
        <v>187</v>
      </c>
    </row>
    <row r="195" spans="1:7" x14ac:dyDescent="0.25">
      <c r="A195" t="str">
        <f t="shared" ref="A195:A258" si="3">"C"&amp;TEXT(ROW()-1,"0000")</f>
        <v>C0194</v>
      </c>
      <c r="B195" t="s">
        <v>552</v>
      </c>
      <c r="C195" t="str">
        <f>VLOOKUP(LEFT(B195,FIND(" ",B195)-1),Customer_Helper!$A$2:$B$101,2,FALSE)</f>
        <v>Female</v>
      </c>
      <c r="D195">
        <v>41</v>
      </c>
      <c r="E195" t="s">
        <v>2</v>
      </c>
      <c r="F195" t="str">
        <f>VLOOKUP(E195,Customer_Helper!$F$2:$G$13,2,FALSE)</f>
        <v>West</v>
      </c>
      <c r="G195" t="s">
        <v>185</v>
      </c>
    </row>
    <row r="196" spans="1:7" x14ac:dyDescent="0.25">
      <c r="A196" t="str">
        <f t="shared" si="3"/>
        <v>C0195</v>
      </c>
      <c r="B196" t="s">
        <v>553</v>
      </c>
      <c r="C196" t="str">
        <f>VLOOKUP(LEFT(B196,FIND(" ",B196)-1),Customer_Helper!$A$2:$B$101,2,FALSE)</f>
        <v>Male</v>
      </c>
      <c r="D196">
        <v>42</v>
      </c>
      <c r="E196" t="s">
        <v>16</v>
      </c>
      <c r="F196" t="str">
        <f>VLOOKUP(E196,Customer_Helper!$F$2:$G$13,2,FALSE)</f>
        <v>South</v>
      </c>
      <c r="G196" t="s">
        <v>185</v>
      </c>
    </row>
    <row r="197" spans="1:7" x14ac:dyDescent="0.25">
      <c r="A197" t="str">
        <f t="shared" si="3"/>
        <v>C0196</v>
      </c>
      <c r="B197" t="s">
        <v>554</v>
      </c>
      <c r="C197" t="str">
        <f>VLOOKUP(LEFT(B197,FIND(" ",B197)-1),Customer_Helper!$A$2:$B$101,2,FALSE)</f>
        <v>Male</v>
      </c>
      <c r="D197">
        <v>39</v>
      </c>
      <c r="E197" t="s">
        <v>16</v>
      </c>
      <c r="F197" t="str">
        <f>VLOOKUP(E197,Customer_Helper!$F$2:$G$13,2,FALSE)</f>
        <v>South</v>
      </c>
      <c r="G197" t="s">
        <v>187</v>
      </c>
    </row>
    <row r="198" spans="1:7" x14ac:dyDescent="0.25">
      <c r="A198" t="str">
        <f t="shared" si="3"/>
        <v>C0197</v>
      </c>
      <c r="B198" t="s">
        <v>555</v>
      </c>
      <c r="C198" t="str">
        <f>VLOOKUP(LEFT(B198,FIND(" ",B198)-1),Customer_Helper!$A$2:$B$101,2,FALSE)</f>
        <v>Female</v>
      </c>
      <c r="D198">
        <v>48</v>
      </c>
      <c r="E198" t="s">
        <v>16</v>
      </c>
      <c r="F198" t="str">
        <f>VLOOKUP(E198,Customer_Helper!$F$2:$G$13,2,FALSE)</f>
        <v>South</v>
      </c>
      <c r="G198" t="s">
        <v>185</v>
      </c>
    </row>
    <row r="199" spans="1:7" x14ac:dyDescent="0.25">
      <c r="A199" t="str">
        <f t="shared" si="3"/>
        <v>C0198</v>
      </c>
      <c r="B199" t="s">
        <v>556</v>
      </c>
      <c r="C199" t="str">
        <f>VLOOKUP(LEFT(B199,FIND(" ",B199)-1),Customer_Helper!$A$2:$B$101,2,FALSE)</f>
        <v>Male</v>
      </c>
      <c r="D199">
        <v>53</v>
      </c>
      <c r="E199" t="s">
        <v>14</v>
      </c>
      <c r="F199" t="str">
        <f>VLOOKUP(E199,Customer_Helper!$F$2:$G$13,2,FALSE)</f>
        <v>South</v>
      </c>
      <c r="G199" t="s">
        <v>186</v>
      </c>
    </row>
    <row r="200" spans="1:7" x14ac:dyDescent="0.25">
      <c r="A200" t="str">
        <f t="shared" si="3"/>
        <v>C0199</v>
      </c>
      <c r="B200" t="s">
        <v>557</v>
      </c>
      <c r="C200" t="str">
        <f>VLOOKUP(LEFT(B200,FIND(" ",B200)-1),Customer_Helper!$A$2:$B$101,2,FALSE)</f>
        <v>Male</v>
      </c>
      <c r="D200">
        <v>40</v>
      </c>
      <c r="E200" t="s">
        <v>289</v>
      </c>
      <c r="F200" t="str">
        <f>VLOOKUP(E200,Customer_Helper!$F$2:$G$13,2,FALSE)</f>
        <v>West</v>
      </c>
      <c r="G200" t="s">
        <v>186</v>
      </c>
    </row>
    <row r="201" spans="1:7" x14ac:dyDescent="0.25">
      <c r="A201" t="str">
        <f t="shared" si="3"/>
        <v>C0200</v>
      </c>
      <c r="B201" t="s">
        <v>558</v>
      </c>
      <c r="C201" t="str">
        <f>VLOOKUP(LEFT(B201,FIND(" ",B201)-1),Customer_Helper!$A$2:$B$101,2,FALSE)</f>
        <v>Male</v>
      </c>
      <c r="D201">
        <v>22</v>
      </c>
      <c r="E201" t="s">
        <v>289</v>
      </c>
      <c r="F201" t="str">
        <f>VLOOKUP(E201,Customer_Helper!$F$2:$G$13,2,FALSE)</f>
        <v>West</v>
      </c>
      <c r="G201" t="s">
        <v>187</v>
      </c>
    </row>
    <row r="202" spans="1:7" x14ac:dyDescent="0.25">
      <c r="A202" t="str">
        <f t="shared" si="3"/>
        <v>C0201</v>
      </c>
      <c r="B202" t="s">
        <v>559</v>
      </c>
      <c r="C202" t="str">
        <f>VLOOKUP(LEFT(B202,FIND(" ",B202)-1),Customer_Helper!$A$2:$B$101,2,FALSE)</f>
        <v>Male</v>
      </c>
      <c r="D202">
        <v>59</v>
      </c>
      <c r="E202" t="s">
        <v>16</v>
      </c>
      <c r="F202" t="str">
        <f>VLOOKUP(E202,Customer_Helper!$F$2:$G$13,2,FALSE)</f>
        <v>South</v>
      </c>
      <c r="G202" t="s">
        <v>187</v>
      </c>
    </row>
    <row r="203" spans="1:7" x14ac:dyDescent="0.25">
      <c r="A203" t="str">
        <f t="shared" si="3"/>
        <v>C0202</v>
      </c>
      <c r="B203" t="s">
        <v>560</v>
      </c>
      <c r="C203" t="str">
        <f>VLOOKUP(LEFT(B203,FIND(" ",B203)-1),Customer_Helper!$A$2:$B$101,2,FALSE)</f>
        <v>Male</v>
      </c>
      <c r="D203">
        <v>21</v>
      </c>
      <c r="E203" t="s">
        <v>290</v>
      </c>
      <c r="F203" t="str">
        <f>VLOOKUP(E203,Customer_Helper!$F$2:$G$13,2,FALSE)</f>
        <v>West</v>
      </c>
      <c r="G203" t="s">
        <v>186</v>
      </c>
    </row>
    <row r="204" spans="1:7" x14ac:dyDescent="0.25">
      <c r="A204" t="str">
        <f t="shared" si="3"/>
        <v>C0203</v>
      </c>
      <c r="B204" t="s">
        <v>561</v>
      </c>
      <c r="C204" t="str">
        <f>VLOOKUP(LEFT(B204,FIND(" ",B204)-1),Customer_Helper!$A$2:$B$101,2,FALSE)</f>
        <v>Female</v>
      </c>
      <c r="D204">
        <v>18</v>
      </c>
      <c r="E204" t="s">
        <v>17</v>
      </c>
      <c r="F204" t="str">
        <f>VLOOKUP(E204,Customer_Helper!$F$2:$G$13,2,FALSE)</f>
        <v>South</v>
      </c>
      <c r="G204" t="s">
        <v>187</v>
      </c>
    </row>
    <row r="205" spans="1:7" x14ac:dyDescent="0.25">
      <c r="A205" t="str">
        <f t="shared" si="3"/>
        <v>C0204</v>
      </c>
      <c r="B205" t="s">
        <v>562</v>
      </c>
      <c r="C205" t="str">
        <f>VLOOKUP(LEFT(B205,FIND(" ",B205)-1),Customer_Helper!$A$2:$B$101,2,FALSE)</f>
        <v>Female</v>
      </c>
      <c r="D205">
        <v>44</v>
      </c>
      <c r="E205" t="s">
        <v>290</v>
      </c>
      <c r="F205" t="str">
        <f>VLOOKUP(E205,Customer_Helper!$F$2:$G$13,2,FALSE)</f>
        <v>West</v>
      </c>
      <c r="G205" t="s">
        <v>187</v>
      </c>
    </row>
    <row r="206" spans="1:7" x14ac:dyDescent="0.25">
      <c r="A206" t="str">
        <f t="shared" si="3"/>
        <v>C0205</v>
      </c>
      <c r="B206" t="s">
        <v>563</v>
      </c>
      <c r="C206" t="str">
        <f>VLOOKUP(LEFT(B206,FIND(" ",B206)-1),Customer_Helper!$A$2:$B$101,2,FALSE)</f>
        <v>Female</v>
      </c>
      <c r="D206">
        <v>28</v>
      </c>
      <c r="E206" t="s">
        <v>7</v>
      </c>
      <c r="F206" t="str">
        <f>VLOOKUP(E206,Customer_Helper!$F$2:$G$13,2,FALSE)</f>
        <v>North</v>
      </c>
      <c r="G206" t="s">
        <v>185</v>
      </c>
    </row>
    <row r="207" spans="1:7" x14ac:dyDescent="0.25">
      <c r="A207" t="str">
        <f t="shared" si="3"/>
        <v>C0206</v>
      </c>
      <c r="B207" t="s">
        <v>564</v>
      </c>
      <c r="C207" t="str">
        <f>VLOOKUP(LEFT(B207,FIND(" ",B207)-1),Customer_Helper!$A$2:$B$101,2,FALSE)</f>
        <v>Male</v>
      </c>
      <c r="D207">
        <v>22</v>
      </c>
      <c r="E207" t="s">
        <v>289</v>
      </c>
      <c r="F207" t="str">
        <f>VLOOKUP(E207,Customer_Helper!$F$2:$G$13,2,FALSE)</f>
        <v>West</v>
      </c>
      <c r="G207" t="s">
        <v>187</v>
      </c>
    </row>
    <row r="208" spans="1:7" x14ac:dyDescent="0.25">
      <c r="A208" t="str">
        <f t="shared" si="3"/>
        <v>C0207</v>
      </c>
      <c r="B208" t="s">
        <v>565</v>
      </c>
      <c r="C208" t="str">
        <f>VLOOKUP(LEFT(B208,FIND(" ",B208)-1),Customer_Helper!$A$2:$B$101,2,FALSE)</f>
        <v>Male</v>
      </c>
      <c r="D208">
        <v>26</v>
      </c>
      <c r="E208" t="s">
        <v>9</v>
      </c>
      <c r="F208" t="str">
        <f>VLOOKUP(E208,Customer_Helper!$F$2:$G$13,2,FALSE)</f>
        <v>North</v>
      </c>
      <c r="G208" t="s">
        <v>185</v>
      </c>
    </row>
    <row r="209" spans="1:7" x14ac:dyDescent="0.25">
      <c r="A209" t="str">
        <f t="shared" si="3"/>
        <v>C0208</v>
      </c>
      <c r="B209" t="s">
        <v>566</v>
      </c>
      <c r="C209" t="str">
        <f>VLOOKUP(LEFT(B209,FIND(" ",B209)-1),Customer_Helper!$A$2:$B$101,2,FALSE)</f>
        <v>Female</v>
      </c>
      <c r="D209">
        <v>19</v>
      </c>
      <c r="E209" t="s">
        <v>2</v>
      </c>
      <c r="F209" t="str">
        <f>VLOOKUP(E209,Customer_Helper!$F$2:$G$13,2,FALSE)</f>
        <v>West</v>
      </c>
      <c r="G209" t="s">
        <v>186</v>
      </c>
    </row>
    <row r="210" spans="1:7" x14ac:dyDescent="0.25">
      <c r="A210" t="str">
        <f t="shared" si="3"/>
        <v>C0209</v>
      </c>
      <c r="B210" t="s">
        <v>567</v>
      </c>
      <c r="C210" t="str">
        <f>VLOOKUP(LEFT(B210,FIND(" ",B210)-1),Customer_Helper!$A$2:$B$101,2,FALSE)</f>
        <v>Female</v>
      </c>
      <c r="D210">
        <v>31</v>
      </c>
      <c r="E210" t="s">
        <v>7</v>
      </c>
      <c r="F210" t="str">
        <f>VLOOKUP(E210,Customer_Helper!$F$2:$G$13,2,FALSE)</f>
        <v>North</v>
      </c>
      <c r="G210" t="s">
        <v>185</v>
      </c>
    </row>
    <row r="211" spans="1:7" x14ac:dyDescent="0.25">
      <c r="A211" t="str">
        <f t="shared" si="3"/>
        <v>C0210</v>
      </c>
      <c r="B211" t="s">
        <v>568</v>
      </c>
      <c r="C211" t="str">
        <f>VLOOKUP(LEFT(B211,FIND(" ",B211)-1),Customer_Helper!$A$2:$B$101,2,FALSE)</f>
        <v>Female</v>
      </c>
      <c r="D211">
        <v>45</v>
      </c>
      <c r="E211" t="s">
        <v>17</v>
      </c>
      <c r="F211" t="str">
        <f>VLOOKUP(E211,Customer_Helper!$F$2:$G$13,2,FALSE)</f>
        <v>South</v>
      </c>
      <c r="G211" t="s">
        <v>186</v>
      </c>
    </row>
    <row r="212" spans="1:7" x14ac:dyDescent="0.25">
      <c r="A212" t="str">
        <f t="shared" si="3"/>
        <v>C0211</v>
      </c>
      <c r="B212" t="s">
        <v>569</v>
      </c>
      <c r="C212" t="str">
        <f>VLOOKUP(LEFT(B212,FIND(" ",B212)-1),Customer_Helper!$A$2:$B$101,2,FALSE)</f>
        <v>Female</v>
      </c>
      <c r="D212">
        <v>21</v>
      </c>
      <c r="E212" t="s">
        <v>14</v>
      </c>
      <c r="F212" t="str">
        <f>VLOOKUP(E212,Customer_Helper!$F$2:$G$13,2,FALSE)</f>
        <v>South</v>
      </c>
      <c r="G212" t="s">
        <v>187</v>
      </c>
    </row>
    <row r="213" spans="1:7" x14ac:dyDescent="0.25">
      <c r="A213" t="str">
        <f t="shared" si="3"/>
        <v>C0212</v>
      </c>
      <c r="B213" t="s">
        <v>534</v>
      </c>
      <c r="C213" t="str">
        <f>VLOOKUP(LEFT(B213,FIND(" ",B213)-1),Customer_Helper!$A$2:$B$101,2,FALSE)</f>
        <v>Male</v>
      </c>
      <c r="D213">
        <v>37</v>
      </c>
      <c r="E213" t="s">
        <v>2</v>
      </c>
      <c r="F213" t="str">
        <f>VLOOKUP(E213,Customer_Helper!$F$2:$G$13,2,FALSE)</f>
        <v>West</v>
      </c>
      <c r="G213" t="s">
        <v>187</v>
      </c>
    </row>
    <row r="214" spans="1:7" x14ac:dyDescent="0.25">
      <c r="A214" t="str">
        <f t="shared" si="3"/>
        <v>C0213</v>
      </c>
      <c r="B214" t="s">
        <v>570</v>
      </c>
      <c r="C214" t="str">
        <f>VLOOKUP(LEFT(B214,FIND(" ",B214)-1),Customer_Helper!$A$2:$B$101,2,FALSE)</f>
        <v>Male</v>
      </c>
      <c r="D214">
        <v>29</v>
      </c>
      <c r="E214" t="s">
        <v>4</v>
      </c>
      <c r="F214" t="str">
        <f>VLOOKUP(E214,Customer_Helper!$F$2:$G$13,2,FALSE)</f>
        <v>West</v>
      </c>
      <c r="G214" t="s">
        <v>187</v>
      </c>
    </row>
    <row r="215" spans="1:7" x14ac:dyDescent="0.25">
      <c r="A215" t="str">
        <f t="shared" si="3"/>
        <v>C0214</v>
      </c>
      <c r="B215" t="s">
        <v>571</v>
      </c>
      <c r="C215" t="str">
        <f>VLOOKUP(LEFT(B215,FIND(" ",B215)-1),Customer_Helper!$A$2:$B$101,2,FALSE)</f>
        <v>Female</v>
      </c>
      <c r="D215">
        <v>64</v>
      </c>
      <c r="E215" t="s">
        <v>11</v>
      </c>
      <c r="F215" t="str">
        <f>VLOOKUP(E215,Customer_Helper!$F$2:$G$13,2,FALSE)</f>
        <v>East</v>
      </c>
      <c r="G215" t="s">
        <v>185</v>
      </c>
    </row>
    <row r="216" spans="1:7" x14ac:dyDescent="0.25">
      <c r="A216" t="str">
        <f t="shared" si="3"/>
        <v>C0215</v>
      </c>
      <c r="B216" t="s">
        <v>572</v>
      </c>
      <c r="C216" t="str">
        <f>VLOOKUP(LEFT(B216,FIND(" ",B216)-1),Customer_Helper!$A$2:$B$101,2,FALSE)</f>
        <v>Male</v>
      </c>
      <c r="D216">
        <v>34</v>
      </c>
      <c r="E216" t="s">
        <v>290</v>
      </c>
      <c r="F216" t="str">
        <f>VLOOKUP(E216,Customer_Helper!$F$2:$G$13,2,FALSE)</f>
        <v>West</v>
      </c>
      <c r="G216" t="s">
        <v>185</v>
      </c>
    </row>
    <row r="217" spans="1:7" x14ac:dyDescent="0.25">
      <c r="A217" t="str">
        <f t="shared" si="3"/>
        <v>C0216</v>
      </c>
      <c r="B217" t="s">
        <v>573</v>
      </c>
      <c r="C217" t="str">
        <f>VLOOKUP(LEFT(B217,FIND(" ",B217)-1),Customer_Helper!$A$2:$B$101,2,FALSE)</f>
        <v>Male</v>
      </c>
      <c r="D217">
        <v>37</v>
      </c>
      <c r="E217" t="s">
        <v>7</v>
      </c>
      <c r="F217" t="str">
        <f>VLOOKUP(E217,Customer_Helper!$F$2:$G$13,2,FALSE)</f>
        <v>North</v>
      </c>
      <c r="G217" t="s">
        <v>185</v>
      </c>
    </row>
    <row r="218" spans="1:7" x14ac:dyDescent="0.25">
      <c r="A218" t="str">
        <f t="shared" si="3"/>
        <v>C0217</v>
      </c>
      <c r="B218" t="s">
        <v>574</v>
      </c>
      <c r="C218" t="str">
        <f>VLOOKUP(LEFT(B218,FIND(" ",B218)-1),Customer_Helper!$A$2:$B$101,2,FALSE)</f>
        <v>Female</v>
      </c>
      <c r="D218">
        <v>62</v>
      </c>
      <c r="E218" t="s">
        <v>290</v>
      </c>
      <c r="F218" t="str">
        <f>VLOOKUP(E218,Customer_Helper!$F$2:$G$13,2,FALSE)</f>
        <v>West</v>
      </c>
      <c r="G218" t="s">
        <v>187</v>
      </c>
    </row>
    <row r="219" spans="1:7" x14ac:dyDescent="0.25">
      <c r="A219" t="str">
        <f t="shared" si="3"/>
        <v>C0218</v>
      </c>
      <c r="B219" t="s">
        <v>575</v>
      </c>
      <c r="C219" t="str">
        <f>VLOOKUP(LEFT(B219,FIND(" ",B219)-1),Customer_Helper!$A$2:$B$101,2,FALSE)</f>
        <v>Male</v>
      </c>
      <c r="D219">
        <v>46</v>
      </c>
      <c r="E219" t="s">
        <v>17</v>
      </c>
      <c r="F219" t="str">
        <f>VLOOKUP(E219,Customer_Helper!$F$2:$G$13,2,FALSE)</f>
        <v>South</v>
      </c>
      <c r="G219" t="s">
        <v>187</v>
      </c>
    </row>
    <row r="220" spans="1:7" x14ac:dyDescent="0.25">
      <c r="A220" t="str">
        <f t="shared" si="3"/>
        <v>C0219</v>
      </c>
      <c r="B220" t="s">
        <v>576</v>
      </c>
      <c r="C220" t="str">
        <f>VLOOKUP(LEFT(B220,FIND(" ",B220)-1),Customer_Helper!$A$2:$B$101,2,FALSE)</f>
        <v>Female</v>
      </c>
      <c r="D220">
        <v>38</v>
      </c>
      <c r="E220" t="s">
        <v>290</v>
      </c>
      <c r="F220" t="str">
        <f>VLOOKUP(E220,Customer_Helper!$F$2:$G$13,2,FALSE)</f>
        <v>West</v>
      </c>
      <c r="G220" t="s">
        <v>186</v>
      </c>
    </row>
    <row r="221" spans="1:7" x14ac:dyDescent="0.25">
      <c r="A221" t="str">
        <f t="shared" si="3"/>
        <v>C0220</v>
      </c>
      <c r="B221" t="s">
        <v>577</v>
      </c>
      <c r="C221" t="str">
        <f>VLOOKUP(LEFT(B221,FIND(" ",B221)-1),Customer_Helper!$A$2:$B$101,2,FALSE)</f>
        <v>Male</v>
      </c>
      <c r="D221">
        <v>22</v>
      </c>
      <c r="E221" t="s">
        <v>17</v>
      </c>
      <c r="F221" t="str">
        <f>VLOOKUP(E221,Customer_Helper!$F$2:$G$13,2,FALSE)</f>
        <v>South</v>
      </c>
      <c r="G221" t="s">
        <v>185</v>
      </c>
    </row>
    <row r="222" spans="1:7" x14ac:dyDescent="0.25">
      <c r="A222" t="str">
        <f t="shared" si="3"/>
        <v>C0221</v>
      </c>
      <c r="B222" t="s">
        <v>578</v>
      </c>
      <c r="C222" t="str">
        <f>VLOOKUP(LEFT(B222,FIND(" ",B222)-1),Customer_Helper!$A$2:$B$101,2,FALSE)</f>
        <v>Female</v>
      </c>
      <c r="D222">
        <v>50</v>
      </c>
      <c r="E222" t="s">
        <v>14</v>
      </c>
      <c r="F222" t="str">
        <f>VLOOKUP(E222,Customer_Helper!$F$2:$G$13,2,FALSE)</f>
        <v>South</v>
      </c>
      <c r="G222" t="s">
        <v>185</v>
      </c>
    </row>
    <row r="223" spans="1:7" x14ac:dyDescent="0.25">
      <c r="A223" t="str">
        <f t="shared" si="3"/>
        <v>C0222</v>
      </c>
      <c r="B223" t="s">
        <v>579</v>
      </c>
      <c r="C223" t="str">
        <f>VLOOKUP(LEFT(B223,FIND(" ",B223)-1),Customer_Helper!$A$2:$B$101,2,FALSE)</f>
        <v>Male</v>
      </c>
      <c r="D223">
        <v>36</v>
      </c>
      <c r="E223" t="s">
        <v>7</v>
      </c>
      <c r="F223" t="str">
        <f>VLOOKUP(E223,Customer_Helper!$F$2:$G$13,2,FALSE)</f>
        <v>North</v>
      </c>
      <c r="G223" t="s">
        <v>186</v>
      </c>
    </row>
    <row r="224" spans="1:7" x14ac:dyDescent="0.25">
      <c r="A224" t="str">
        <f t="shared" si="3"/>
        <v>C0223</v>
      </c>
      <c r="B224" t="s">
        <v>580</v>
      </c>
      <c r="C224" t="str">
        <f>VLOOKUP(LEFT(B224,FIND(" ",B224)-1),Customer_Helper!$A$2:$B$101,2,FALSE)</f>
        <v>Male</v>
      </c>
      <c r="D224">
        <v>52</v>
      </c>
      <c r="E224" t="s">
        <v>14</v>
      </c>
      <c r="F224" t="str">
        <f>VLOOKUP(E224,Customer_Helper!$F$2:$G$13,2,FALSE)</f>
        <v>South</v>
      </c>
      <c r="G224" t="s">
        <v>187</v>
      </c>
    </row>
    <row r="225" spans="1:7" x14ac:dyDescent="0.25">
      <c r="A225" t="str">
        <f t="shared" si="3"/>
        <v>C0224</v>
      </c>
      <c r="B225" t="s">
        <v>581</v>
      </c>
      <c r="C225" t="str">
        <f>VLOOKUP(LEFT(B225,FIND(" ",B225)-1),Customer_Helper!$A$2:$B$101,2,FALSE)</f>
        <v>Male</v>
      </c>
      <c r="D225">
        <v>48</v>
      </c>
      <c r="E225" t="s">
        <v>289</v>
      </c>
      <c r="F225" t="str">
        <f>VLOOKUP(E225,Customer_Helper!$F$2:$G$13,2,FALSE)</f>
        <v>West</v>
      </c>
      <c r="G225" t="s">
        <v>187</v>
      </c>
    </row>
    <row r="226" spans="1:7" x14ac:dyDescent="0.25">
      <c r="A226" t="str">
        <f t="shared" si="3"/>
        <v>C0225</v>
      </c>
      <c r="B226" t="s">
        <v>582</v>
      </c>
      <c r="C226" t="str">
        <f>VLOOKUP(LEFT(B226,FIND(" ",B226)-1),Customer_Helper!$A$2:$B$101,2,FALSE)</f>
        <v>Male</v>
      </c>
      <c r="D226">
        <v>61</v>
      </c>
      <c r="E226" t="s">
        <v>14</v>
      </c>
      <c r="F226" t="str">
        <f>VLOOKUP(E226,Customer_Helper!$F$2:$G$13,2,FALSE)</f>
        <v>South</v>
      </c>
      <c r="G226" t="s">
        <v>187</v>
      </c>
    </row>
    <row r="227" spans="1:7" x14ac:dyDescent="0.25">
      <c r="A227" t="str">
        <f t="shared" si="3"/>
        <v>C0226</v>
      </c>
      <c r="B227" t="s">
        <v>583</v>
      </c>
      <c r="C227" t="str">
        <f>VLOOKUP(LEFT(B227,FIND(" ",B227)-1),Customer_Helper!$A$2:$B$101,2,FALSE)</f>
        <v>Female</v>
      </c>
      <c r="D227">
        <v>38</v>
      </c>
      <c r="E227" t="s">
        <v>289</v>
      </c>
      <c r="F227" t="str">
        <f>VLOOKUP(E227,Customer_Helper!$F$2:$G$13,2,FALSE)</f>
        <v>West</v>
      </c>
      <c r="G227" t="s">
        <v>187</v>
      </c>
    </row>
    <row r="228" spans="1:7" x14ac:dyDescent="0.25">
      <c r="A228" t="str">
        <f t="shared" si="3"/>
        <v>C0227</v>
      </c>
      <c r="B228" t="s">
        <v>584</v>
      </c>
      <c r="C228" t="str">
        <f>VLOOKUP(LEFT(B228,FIND(" ",B228)-1),Customer_Helper!$A$2:$B$101,2,FALSE)</f>
        <v>Female</v>
      </c>
      <c r="D228">
        <v>46</v>
      </c>
      <c r="E228" t="s">
        <v>11</v>
      </c>
      <c r="F228" t="str">
        <f>VLOOKUP(E228,Customer_Helper!$F$2:$G$13,2,FALSE)</f>
        <v>East</v>
      </c>
      <c r="G228" t="s">
        <v>185</v>
      </c>
    </row>
    <row r="229" spans="1:7" x14ac:dyDescent="0.25">
      <c r="A229" t="str">
        <f t="shared" si="3"/>
        <v>C0228</v>
      </c>
      <c r="B229" t="s">
        <v>407</v>
      </c>
      <c r="C229" t="str">
        <f>VLOOKUP(LEFT(B229,FIND(" ",B229)-1),Customer_Helper!$A$2:$B$101,2,FALSE)</f>
        <v>Female</v>
      </c>
      <c r="D229">
        <v>37</v>
      </c>
      <c r="E229" t="s">
        <v>289</v>
      </c>
      <c r="F229" t="str">
        <f>VLOOKUP(E229,Customer_Helper!$F$2:$G$13,2,FALSE)</f>
        <v>West</v>
      </c>
      <c r="G229" t="s">
        <v>185</v>
      </c>
    </row>
    <row r="230" spans="1:7" x14ac:dyDescent="0.25">
      <c r="A230" t="str">
        <f t="shared" si="3"/>
        <v>C0229</v>
      </c>
      <c r="B230" t="s">
        <v>585</v>
      </c>
      <c r="C230" t="str">
        <f>VLOOKUP(LEFT(B230,FIND(" ",B230)-1),Customer_Helper!$A$2:$B$101,2,FALSE)</f>
        <v>Female</v>
      </c>
      <c r="D230">
        <v>39</v>
      </c>
      <c r="E230" t="s">
        <v>9</v>
      </c>
      <c r="F230" t="str">
        <f>VLOOKUP(E230,Customer_Helper!$F$2:$G$13,2,FALSE)</f>
        <v>North</v>
      </c>
      <c r="G230" t="s">
        <v>186</v>
      </c>
    </row>
    <row r="231" spans="1:7" x14ac:dyDescent="0.25">
      <c r="A231" t="str">
        <f t="shared" si="3"/>
        <v>C0230</v>
      </c>
      <c r="B231" t="s">
        <v>586</v>
      </c>
      <c r="C231" t="str">
        <f>VLOOKUP(LEFT(B231,FIND(" ",B231)-1),Customer_Helper!$A$2:$B$101,2,FALSE)</f>
        <v>Female</v>
      </c>
      <c r="D231">
        <v>37</v>
      </c>
      <c r="E231" t="s">
        <v>290</v>
      </c>
      <c r="F231" t="str">
        <f>VLOOKUP(E231,Customer_Helper!$F$2:$G$13,2,FALSE)</f>
        <v>West</v>
      </c>
      <c r="G231" t="s">
        <v>186</v>
      </c>
    </row>
    <row r="232" spans="1:7" x14ac:dyDescent="0.25">
      <c r="A232" t="str">
        <f t="shared" si="3"/>
        <v>C0231</v>
      </c>
      <c r="B232" t="s">
        <v>587</v>
      </c>
      <c r="C232" t="str">
        <f>VLOOKUP(LEFT(B232,FIND(" ",B232)-1),Customer_Helper!$A$2:$B$101,2,FALSE)</f>
        <v>Female</v>
      </c>
      <c r="D232">
        <v>39</v>
      </c>
      <c r="E232" t="s">
        <v>11</v>
      </c>
      <c r="F232" t="str">
        <f>VLOOKUP(E232,Customer_Helper!$F$2:$G$13,2,FALSE)</f>
        <v>East</v>
      </c>
      <c r="G232" t="s">
        <v>187</v>
      </c>
    </row>
    <row r="233" spans="1:7" x14ac:dyDescent="0.25">
      <c r="A233" t="str">
        <f t="shared" si="3"/>
        <v>C0232</v>
      </c>
      <c r="B233" t="s">
        <v>588</v>
      </c>
      <c r="C233" t="str">
        <f>VLOOKUP(LEFT(B233,FIND(" ",B233)-1),Customer_Helper!$A$2:$B$101,2,FALSE)</f>
        <v>Male</v>
      </c>
      <c r="D233">
        <v>55</v>
      </c>
      <c r="E233" t="s">
        <v>289</v>
      </c>
      <c r="F233" t="str">
        <f>VLOOKUP(E233,Customer_Helper!$F$2:$G$13,2,FALSE)</f>
        <v>West</v>
      </c>
      <c r="G233" t="s">
        <v>185</v>
      </c>
    </row>
    <row r="234" spans="1:7" x14ac:dyDescent="0.25">
      <c r="A234" t="str">
        <f t="shared" si="3"/>
        <v>C0233</v>
      </c>
      <c r="B234" t="s">
        <v>401</v>
      </c>
      <c r="C234" t="str">
        <f>VLOOKUP(LEFT(B234,FIND(" ",B234)-1),Customer_Helper!$A$2:$B$101,2,FALSE)</f>
        <v>Female</v>
      </c>
      <c r="D234">
        <v>43</v>
      </c>
      <c r="E234" t="s">
        <v>289</v>
      </c>
      <c r="F234" t="str">
        <f>VLOOKUP(E234,Customer_Helper!$F$2:$G$13,2,FALSE)</f>
        <v>West</v>
      </c>
      <c r="G234" t="s">
        <v>187</v>
      </c>
    </row>
    <row r="235" spans="1:7" x14ac:dyDescent="0.25">
      <c r="A235" t="str">
        <f t="shared" si="3"/>
        <v>C0234</v>
      </c>
      <c r="B235" t="s">
        <v>589</v>
      </c>
      <c r="C235" t="str">
        <f>VLOOKUP(LEFT(B235,FIND(" ",B235)-1),Customer_Helper!$A$2:$B$101,2,FALSE)</f>
        <v>Male</v>
      </c>
      <c r="D235">
        <v>51</v>
      </c>
      <c r="E235" t="s">
        <v>290</v>
      </c>
      <c r="F235" t="str">
        <f>VLOOKUP(E235,Customer_Helper!$F$2:$G$13,2,FALSE)</f>
        <v>West</v>
      </c>
      <c r="G235" t="s">
        <v>187</v>
      </c>
    </row>
    <row r="236" spans="1:7" x14ac:dyDescent="0.25">
      <c r="A236" t="str">
        <f t="shared" si="3"/>
        <v>C0235</v>
      </c>
      <c r="B236" t="s">
        <v>590</v>
      </c>
      <c r="C236" t="str">
        <f>VLOOKUP(LEFT(B236,FIND(" ",B236)-1),Customer_Helper!$A$2:$B$101,2,FALSE)</f>
        <v>Female</v>
      </c>
      <c r="D236">
        <v>53</v>
      </c>
      <c r="E236" t="s">
        <v>9</v>
      </c>
      <c r="F236" t="str">
        <f>VLOOKUP(E236,Customer_Helper!$F$2:$G$13,2,FALSE)</f>
        <v>North</v>
      </c>
      <c r="G236" t="s">
        <v>187</v>
      </c>
    </row>
    <row r="237" spans="1:7" x14ac:dyDescent="0.25">
      <c r="A237" t="str">
        <f t="shared" si="3"/>
        <v>C0236</v>
      </c>
      <c r="B237" t="s">
        <v>591</v>
      </c>
      <c r="C237" t="str">
        <f>VLOOKUP(LEFT(B237,FIND(" ",B237)-1),Customer_Helper!$A$2:$B$101,2,FALSE)</f>
        <v>Female</v>
      </c>
      <c r="D237">
        <v>29</v>
      </c>
      <c r="E237" t="s">
        <v>290</v>
      </c>
      <c r="F237" t="str">
        <f>VLOOKUP(E237,Customer_Helper!$F$2:$G$13,2,FALSE)</f>
        <v>West</v>
      </c>
      <c r="G237" t="s">
        <v>186</v>
      </c>
    </row>
    <row r="238" spans="1:7" x14ac:dyDescent="0.25">
      <c r="A238" t="str">
        <f t="shared" si="3"/>
        <v>C0237</v>
      </c>
      <c r="B238" t="s">
        <v>592</v>
      </c>
      <c r="C238" t="str">
        <f>VLOOKUP(LEFT(B238,FIND(" ",B238)-1),Customer_Helper!$A$2:$B$101,2,FALSE)</f>
        <v>Male</v>
      </c>
      <c r="D238">
        <v>56</v>
      </c>
      <c r="E238" t="s">
        <v>16</v>
      </c>
      <c r="F238" t="str">
        <f>VLOOKUP(E238,Customer_Helper!$F$2:$G$13,2,FALSE)</f>
        <v>South</v>
      </c>
      <c r="G238" t="s">
        <v>185</v>
      </c>
    </row>
    <row r="239" spans="1:7" x14ac:dyDescent="0.25">
      <c r="A239" t="str">
        <f t="shared" si="3"/>
        <v>C0238</v>
      </c>
      <c r="B239" t="s">
        <v>593</v>
      </c>
      <c r="C239" t="str">
        <f>VLOOKUP(LEFT(B239,FIND(" ",B239)-1),Customer_Helper!$A$2:$B$101,2,FALSE)</f>
        <v>Female</v>
      </c>
      <c r="D239">
        <v>58</v>
      </c>
      <c r="E239" t="s">
        <v>11</v>
      </c>
      <c r="F239" t="str">
        <f>VLOOKUP(E239,Customer_Helper!$F$2:$G$13,2,FALSE)</f>
        <v>East</v>
      </c>
      <c r="G239" t="s">
        <v>185</v>
      </c>
    </row>
    <row r="240" spans="1:7" x14ac:dyDescent="0.25">
      <c r="A240" t="str">
        <f t="shared" si="3"/>
        <v>C0239</v>
      </c>
      <c r="B240" t="s">
        <v>594</v>
      </c>
      <c r="C240" t="str">
        <f>VLOOKUP(LEFT(B240,FIND(" ",B240)-1),Customer_Helper!$A$2:$B$101,2,FALSE)</f>
        <v>Female</v>
      </c>
      <c r="D240">
        <v>60</v>
      </c>
      <c r="E240" t="s">
        <v>7</v>
      </c>
      <c r="F240" t="str">
        <f>VLOOKUP(E240,Customer_Helper!$F$2:$G$13,2,FALSE)</f>
        <v>North</v>
      </c>
      <c r="G240" t="s">
        <v>187</v>
      </c>
    </row>
    <row r="241" spans="1:7" x14ac:dyDescent="0.25">
      <c r="A241" t="str">
        <f t="shared" si="3"/>
        <v>C0240</v>
      </c>
      <c r="B241" t="s">
        <v>595</v>
      </c>
      <c r="C241" t="str">
        <f>VLOOKUP(LEFT(B241,FIND(" ",B241)-1),Customer_Helper!$A$2:$B$101,2,FALSE)</f>
        <v>Female</v>
      </c>
      <c r="D241">
        <v>28</v>
      </c>
      <c r="E241" t="s">
        <v>14</v>
      </c>
      <c r="F241" t="str">
        <f>VLOOKUP(E241,Customer_Helper!$F$2:$G$13,2,FALSE)</f>
        <v>South</v>
      </c>
      <c r="G241" t="s">
        <v>187</v>
      </c>
    </row>
    <row r="242" spans="1:7" x14ac:dyDescent="0.25">
      <c r="A242" t="str">
        <f t="shared" si="3"/>
        <v>C0241</v>
      </c>
      <c r="B242" t="s">
        <v>596</v>
      </c>
      <c r="C242" t="str">
        <f>VLOOKUP(LEFT(B242,FIND(" ",B242)-1),Customer_Helper!$A$2:$B$101,2,FALSE)</f>
        <v>Male</v>
      </c>
      <c r="D242">
        <v>40</v>
      </c>
      <c r="E242" t="s">
        <v>17</v>
      </c>
      <c r="F242" t="str">
        <f>VLOOKUP(E242,Customer_Helper!$F$2:$G$13,2,FALSE)</f>
        <v>South</v>
      </c>
      <c r="G242" t="s">
        <v>186</v>
      </c>
    </row>
    <row r="243" spans="1:7" x14ac:dyDescent="0.25">
      <c r="A243" t="str">
        <f t="shared" si="3"/>
        <v>C0242</v>
      </c>
      <c r="B243" t="s">
        <v>597</v>
      </c>
      <c r="C243" t="str">
        <f>VLOOKUP(LEFT(B243,FIND(" ",B243)-1),Customer_Helper!$A$2:$B$101,2,FALSE)</f>
        <v>Female</v>
      </c>
      <c r="D243">
        <v>27</v>
      </c>
      <c r="E243" t="s">
        <v>17</v>
      </c>
      <c r="F243" t="str">
        <f>VLOOKUP(E243,Customer_Helper!$F$2:$G$13,2,FALSE)</f>
        <v>South</v>
      </c>
      <c r="G243" t="s">
        <v>185</v>
      </c>
    </row>
    <row r="244" spans="1:7" x14ac:dyDescent="0.25">
      <c r="A244" t="str">
        <f t="shared" si="3"/>
        <v>C0243</v>
      </c>
      <c r="B244" t="s">
        <v>475</v>
      </c>
      <c r="C244" t="str">
        <f>VLOOKUP(LEFT(B244,FIND(" ",B244)-1),Customer_Helper!$A$2:$B$101,2,FALSE)</f>
        <v>Female</v>
      </c>
      <c r="D244">
        <v>65</v>
      </c>
      <c r="E244" t="s">
        <v>16</v>
      </c>
      <c r="F244" t="str">
        <f>VLOOKUP(E244,Customer_Helper!$F$2:$G$13,2,FALSE)</f>
        <v>South</v>
      </c>
      <c r="G244" t="s">
        <v>185</v>
      </c>
    </row>
    <row r="245" spans="1:7" x14ac:dyDescent="0.25">
      <c r="A245" t="str">
        <f t="shared" si="3"/>
        <v>C0244</v>
      </c>
      <c r="B245" t="s">
        <v>598</v>
      </c>
      <c r="C245" t="str">
        <f>VLOOKUP(LEFT(B245,FIND(" ",B245)-1),Customer_Helper!$A$2:$B$101,2,FALSE)</f>
        <v>Female</v>
      </c>
      <c r="D245">
        <v>42</v>
      </c>
      <c r="E245" t="s">
        <v>290</v>
      </c>
      <c r="F245" t="str">
        <f>VLOOKUP(E245,Customer_Helper!$F$2:$G$13,2,FALSE)</f>
        <v>West</v>
      </c>
      <c r="G245" t="s">
        <v>187</v>
      </c>
    </row>
    <row r="246" spans="1:7" x14ac:dyDescent="0.25">
      <c r="A246" t="str">
        <f t="shared" si="3"/>
        <v>C0245</v>
      </c>
      <c r="B246" t="s">
        <v>599</v>
      </c>
      <c r="C246" t="str">
        <f>VLOOKUP(LEFT(B246,FIND(" ",B246)-1),Customer_Helper!$A$2:$B$101,2,FALSE)</f>
        <v>Female</v>
      </c>
      <c r="D246">
        <v>50</v>
      </c>
      <c r="E246" t="s">
        <v>290</v>
      </c>
      <c r="F246" t="str">
        <f>VLOOKUP(E246,Customer_Helper!$F$2:$G$13,2,FALSE)</f>
        <v>West</v>
      </c>
      <c r="G246" t="s">
        <v>187</v>
      </c>
    </row>
    <row r="247" spans="1:7" x14ac:dyDescent="0.25">
      <c r="A247" t="str">
        <f t="shared" si="3"/>
        <v>C0246</v>
      </c>
      <c r="B247" t="s">
        <v>600</v>
      </c>
      <c r="C247" t="str">
        <f>VLOOKUP(LEFT(B247,FIND(" ",B247)-1),Customer_Helper!$A$2:$B$101,2,FALSE)</f>
        <v>Female</v>
      </c>
      <c r="D247">
        <v>23</v>
      </c>
      <c r="E247" t="s">
        <v>9</v>
      </c>
      <c r="F247" t="str">
        <f>VLOOKUP(E247,Customer_Helper!$F$2:$G$13,2,FALSE)</f>
        <v>North</v>
      </c>
      <c r="G247" t="s">
        <v>186</v>
      </c>
    </row>
    <row r="248" spans="1:7" x14ac:dyDescent="0.25">
      <c r="A248" t="str">
        <f t="shared" si="3"/>
        <v>C0247</v>
      </c>
      <c r="B248" t="s">
        <v>521</v>
      </c>
      <c r="C248" t="str">
        <f>VLOOKUP(LEFT(B248,FIND(" ",B248)-1),Customer_Helper!$A$2:$B$101,2,FALSE)</f>
        <v>Female</v>
      </c>
      <c r="D248">
        <v>55</v>
      </c>
      <c r="E248" t="s">
        <v>5</v>
      </c>
      <c r="F248" t="str">
        <f>VLOOKUP(E248,Customer_Helper!$F$2:$G$13,2,FALSE)</f>
        <v>West</v>
      </c>
      <c r="G248" t="s">
        <v>185</v>
      </c>
    </row>
    <row r="249" spans="1:7" x14ac:dyDescent="0.25">
      <c r="A249" t="str">
        <f t="shared" si="3"/>
        <v>C0248</v>
      </c>
      <c r="B249" t="s">
        <v>601</v>
      </c>
      <c r="C249" t="str">
        <f>VLOOKUP(LEFT(B249,FIND(" ",B249)-1),Customer_Helper!$A$2:$B$101,2,FALSE)</f>
        <v>Male</v>
      </c>
      <c r="D249">
        <v>26</v>
      </c>
      <c r="E249" t="s">
        <v>14</v>
      </c>
      <c r="F249" t="str">
        <f>VLOOKUP(E249,Customer_Helper!$F$2:$G$13,2,FALSE)</f>
        <v>South</v>
      </c>
      <c r="G249" t="s">
        <v>187</v>
      </c>
    </row>
    <row r="250" spans="1:7" x14ac:dyDescent="0.25">
      <c r="A250" t="str">
        <f t="shared" si="3"/>
        <v>C0249</v>
      </c>
      <c r="B250" t="s">
        <v>602</v>
      </c>
      <c r="C250" t="str">
        <f>VLOOKUP(LEFT(B250,FIND(" ",B250)-1),Customer_Helper!$A$2:$B$101,2,FALSE)</f>
        <v>Male</v>
      </c>
      <c r="D250">
        <v>51</v>
      </c>
      <c r="E250" t="s">
        <v>14</v>
      </c>
      <c r="F250" t="str">
        <f>VLOOKUP(E250,Customer_Helper!$F$2:$G$13,2,FALSE)</f>
        <v>South</v>
      </c>
      <c r="G250" t="s">
        <v>186</v>
      </c>
    </row>
    <row r="251" spans="1:7" x14ac:dyDescent="0.25">
      <c r="A251" t="str">
        <f t="shared" si="3"/>
        <v>C0250</v>
      </c>
      <c r="B251" t="s">
        <v>603</v>
      </c>
      <c r="C251" t="str">
        <f>VLOOKUP(LEFT(B251,FIND(" ",B251)-1),Customer_Helper!$A$2:$B$101,2,FALSE)</f>
        <v>Male</v>
      </c>
      <c r="D251">
        <v>22</v>
      </c>
      <c r="E251" t="s">
        <v>17</v>
      </c>
      <c r="F251" t="str">
        <f>VLOOKUP(E251,Customer_Helper!$F$2:$G$13,2,FALSE)</f>
        <v>South</v>
      </c>
      <c r="G251" t="s">
        <v>187</v>
      </c>
    </row>
    <row r="252" spans="1:7" x14ac:dyDescent="0.25">
      <c r="A252" t="str">
        <f t="shared" si="3"/>
        <v>C0251</v>
      </c>
      <c r="B252" t="s">
        <v>604</v>
      </c>
      <c r="C252" t="str">
        <f>VLOOKUP(LEFT(B252,FIND(" ",B252)-1),Customer_Helper!$A$2:$B$101,2,FALSE)</f>
        <v>Female</v>
      </c>
      <c r="D252">
        <v>30</v>
      </c>
      <c r="E252" t="s">
        <v>4</v>
      </c>
      <c r="F252" t="str">
        <f>VLOOKUP(E252,Customer_Helper!$F$2:$G$13,2,FALSE)</f>
        <v>West</v>
      </c>
      <c r="G252" t="s">
        <v>186</v>
      </c>
    </row>
    <row r="253" spans="1:7" x14ac:dyDescent="0.25">
      <c r="A253" t="str">
        <f t="shared" si="3"/>
        <v>C0252</v>
      </c>
      <c r="B253" t="s">
        <v>605</v>
      </c>
      <c r="C253" t="str">
        <f>VLOOKUP(LEFT(B253,FIND(" ",B253)-1),Customer_Helper!$A$2:$B$101,2,FALSE)</f>
        <v>Male</v>
      </c>
      <c r="D253">
        <v>29</v>
      </c>
      <c r="E253" t="s">
        <v>9</v>
      </c>
      <c r="F253" t="str">
        <f>VLOOKUP(E253,Customer_Helper!$F$2:$G$13,2,FALSE)</f>
        <v>North</v>
      </c>
      <c r="G253" t="s">
        <v>186</v>
      </c>
    </row>
    <row r="254" spans="1:7" x14ac:dyDescent="0.25">
      <c r="A254" t="str">
        <f t="shared" si="3"/>
        <v>C0253</v>
      </c>
      <c r="B254" t="s">
        <v>606</v>
      </c>
      <c r="C254" t="str">
        <f>VLOOKUP(LEFT(B254,FIND(" ",B254)-1),Customer_Helper!$A$2:$B$101,2,FALSE)</f>
        <v>Female</v>
      </c>
      <c r="D254">
        <v>60</v>
      </c>
      <c r="E254" t="s">
        <v>14</v>
      </c>
      <c r="F254" t="str">
        <f>VLOOKUP(E254,Customer_Helper!$F$2:$G$13,2,FALSE)</f>
        <v>South</v>
      </c>
      <c r="G254" t="s">
        <v>186</v>
      </c>
    </row>
    <row r="255" spans="1:7" x14ac:dyDescent="0.25">
      <c r="A255" t="str">
        <f t="shared" si="3"/>
        <v>C0254</v>
      </c>
      <c r="B255" t="s">
        <v>607</v>
      </c>
      <c r="C255" t="str">
        <f>VLOOKUP(LEFT(B255,FIND(" ",B255)-1),Customer_Helper!$A$2:$B$101,2,FALSE)</f>
        <v>Male</v>
      </c>
      <c r="D255">
        <v>28</v>
      </c>
      <c r="E255" t="s">
        <v>14</v>
      </c>
      <c r="F255" t="str">
        <f>VLOOKUP(E255,Customer_Helper!$F$2:$G$13,2,FALSE)</f>
        <v>South</v>
      </c>
      <c r="G255" t="s">
        <v>185</v>
      </c>
    </row>
    <row r="256" spans="1:7" x14ac:dyDescent="0.25">
      <c r="A256" t="str">
        <f t="shared" si="3"/>
        <v>C0255</v>
      </c>
      <c r="B256" t="s">
        <v>608</v>
      </c>
      <c r="C256" t="str">
        <f>VLOOKUP(LEFT(B256,FIND(" ",B256)-1),Customer_Helper!$A$2:$B$101,2,FALSE)</f>
        <v>Male</v>
      </c>
      <c r="D256">
        <v>37</v>
      </c>
      <c r="E256" t="s">
        <v>2</v>
      </c>
      <c r="F256" t="str">
        <f>VLOOKUP(E256,Customer_Helper!$F$2:$G$13,2,FALSE)</f>
        <v>West</v>
      </c>
      <c r="G256" t="s">
        <v>186</v>
      </c>
    </row>
    <row r="257" spans="1:7" x14ac:dyDescent="0.25">
      <c r="A257" t="str">
        <f t="shared" si="3"/>
        <v>C0256</v>
      </c>
      <c r="B257" t="s">
        <v>609</v>
      </c>
      <c r="C257" t="str">
        <f>VLOOKUP(LEFT(B257,FIND(" ",B257)-1),Customer_Helper!$A$2:$B$101,2,FALSE)</f>
        <v>Male</v>
      </c>
      <c r="D257">
        <v>33</v>
      </c>
      <c r="E257" t="s">
        <v>5</v>
      </c>
      <c r="F257" t="str">
        <f>VLOOKUP(E257,Customer_Helper!$F$2:$G$13,2,FALSE)</f>
        <v>West</v>
      </c>
      <c r="G257" t="s">
        <v>187</v>
      </c>
    </row>
    <row r="258" spans="1:7" x14ac:dyDescent="0.25">
      <c r="A258" t="str">
        <f t="shared" si="3"/>
        <v>C0257</v>
      </c>
      <c r="B258" t="s">
        <v>610</v>
      </c>
      <c r="C258" t="str">
        <f>VLOOKUP(LEFT(B258,FIND(" ",B258)-1),Customer_Helper!$A$2:$B$101,2,FALSE)</f>
        <v>Male</v>
      </c>
      <c r="D258">
        <v>39</v>
      </c>
      <c r="E258" t="s">
        <v>5</v>
      </c>
      <c r="F258" t="str">
        <f>VLOOKUP(E258,Customer_Helper!$F$2:$G$13,2,FALSE)</f>
        <v>West</v>
      </c>
      <c r="G258" t="s">
        <v>185</v>
      </c>
    </row>
    <row r="259" spans="1:7" x14ac:dyDescent="0.25">
      <c r="A259" t="str">
        <f t="shared" ref="A259:A322" si="4">"C"&amp;TEXT(ROW()-1,"0000")</f>
        <v>C0258</v>
      </c>
      <c r="B259" t="s">
        <v>611</v>
      </c>
      <c r="C259" t="str">
        <f>VLOOKUP(LEFT(B259,FIND(" ",B259)-1),Customer_Helper!$A$2:$B$101,2,FALSE)</f>
        <v>Female</v>
      </c>
      <c r="D259">
        <v>49</v>
      </c>
      <c r="E259" t="s">
        <v>16</v>
      </c>
      <c r="F259" t="str">
        <f>VLOOKUP(E259,Customer_Helper!$F$2:$G$13,2,FALSE)</f>
        <v>South</v>
      </c>
      <c r="G259" t="s">
        <v>185</v>
      </c>
    </row>
    <row r="260" spans="1:7" x14ac:dyDescent="0.25">
      <c r="A260" t="str">
        <f t="shared" si="4"/>
        <v>C0259</v>
      </c>
      <c r="B260" t="s">
        <v>612</v>
      </c>
      <c r="C260" t="str">
        <f>VLOOKUP(LEFT(B260,FIND(" ",B260)-1),Customer_Helper!$A$2:$B$101,2,FALSE)</f>
        <v>Male</v>
      </c>
      <c r="D260">
        <v>23</v>
      </c>
      <c r="E260" t="s">
        <v>14</v>
      </c>
      <c r="F260" t="str">
        <f>VLOOKUP(E260,Customer_Helper!$F$2:$G$13,2,FALSE)</f>
        <v>South</v>
      </c>
      <c r="G260" t="s">
        <v>187</v>
      </c>
    </row>
    <row r="261" spans="1:7" x14ac:dyDescent="0.25">
      <c r="A261" t="str">
        <f t="shared" si="4"/>
        <v>C0260</v>
      </c>
      <c r="B261" t="s">
        <v>613</v>
      </c>
      <c r="C261" t="str">
        <f>VLOOKUP(LEFT(B261,FIND(" ",B261)-1),Customer_Helper!$A$2:$B$101,2,FALSE)</f>
        <v>Male</v>
      </c>
      <c r="D261">
        <v>36</v>
      </c>
      <c r="E261" t="s">
        <v>7</v>
      </c>
      <c r="F261" t="str">
        <f>VLOOKUP(E261,Customer_Helper!$F$2:$G$13,2,FALSE)</f>
        <v>North</v>
      </c>
      <c r="G261" t="s">
        <v>187</v>
      </c>
    </row>
    <row r="262" spans="1:7" x14ac:dyDescent="0.25">
      <c r="A262" t="str">
        <f t="shared" si="4"/>
        <v>C0261</v>
      </c>
      <c r="B262" t="s">
        <v>614</v>
      </c>
      <c r="C262" t="str">
        <f>VLOOKUP(LEFT(B262,FIND(" ",B262)-1),Customer_Helper!$A$2:$B$101,2,FALSE)</f>
        <v>Female</v>
      </c>
      <c r="D262">
        <v>24</v>
      </c>
      <c r="E262" t="s">
        <v>14</v>
      </c>
      <c r="F262" t="str">
        <f>VLOOKUP(E262,Customer_Helper!$F$2:$G$13,2,FALSE)</f>
        <v>South</v>
      </c>
      <c r="G262" t="s">
        <v>187</v>
      </c>
    </row>
    <row r="263" spans="1:7" x14ac:dyDescent="0.25">
      <c r="A263" t="str">
        <f t="shared" si="4"/>
        <v>C0262</v>
      </c>
      <c r="B263" t="s">
        <v>615</v>
      </c>
      <c r="C263" t="str">
        <f>VLOOKUP(LEFT(B263,FIND(" ",B263)-1),Customer_Helper!$A$2:$B$101,2,FALSE)</f>
        <v>Male</v>
      </c>
      <c r="D263">
        <v>44</v>
      </c>
      <c r="E263" t="s">
        <v>290</v>
      </c>
      <c r="F263" t="str">
        <f>VLOOKUP(E263,Customer_Helper!$F$2:$G$13,2,FALSE)</f>
        <v>West</v>
      </c>
      <c r="G263" t="s">
        <v>185</v>
      </c>
    </row>
    <row r="264" spans="1:7" x14ac:dyDescent="0.25">
      <c r="A264" t="str">
        <f t="shared" si="4"/>
        <v>C0263</v>
      </c>
      <c r="B264" t="s">
        <v>616</v>
      </c>
      <c r="C264" t="str">
        <f>VLOOKUP(LEFT(B264,FIND(" ",B264)-1),Customer_Helper!$A$2:$B$101,2,FALSE)</f>
        <v>Female</v>
      </c>
      <c r="D264">
        <v>24</v>
      </c>
      <c r="E264" t="s">
        <v>7</v>
      </c>
      <c r="F264" t="str">
        <f>VLOOKUP(E264,Customer_Helper!$F$2:$G$13,2,FALSE)</f>
        <v>North</v>
      </c>
      <c r="G264" t="s">
        <v>185</v>
      </c>
    </row>
    <row r="265" spans="1:7" x14ac:dyDescent="0.25">
      <c r="A265" t="str">
        <f t="shared" si="4"/>
        <v>C0264</v>
      </c>
      <c r="B265" t="s">
        <v>617</v>
      </c>
      <c r="C265" t="str">
        <f>VLOOKUP(LEFT(B265,FIND(" ",B265)-1),Customer_Helper!$A$2:$B$101,2,FALSE)</f>
        <v>Male</v>
      </c>
      <c r="D265">
        <v>42</v>
      </c>
      <c r="E265" t="s">
        <v>16</v>
      </c>
      <c r="F265" t="str">
        <f>VLOOKUP(E265,Customer_Helper!$F$2:$G$13,2,FALSE)</f>
        <v>South</v>
      </c>
      <c r="G265" t="s">
        <v>186</v>
      </c>
    </row>
    <row r="266" spans="1:7" x14ac:dyDescent="0.25">
      <c r="A266" t="str">
        <f t="shared" si="4"/>
        <v>C0265</v>
      </c>
      <c r="B266" t="s">
        <v>618</v>
      </c>
      <c r="C266" t="str">
        <f>VLOOKUP(LEFT(B266,FIND(" ",B266)-1),Customer_Helper!$A$2:$B$101,2,FALSE)</f>
        <v>Female</v>
      </c>
      <c r="D266">
        <v>26</v>
      </c>
      <c r="E266" t="s">
        <v>289</v>
      </c>
      <c r="F266" t="str">
        <f>VLOOKUP(E266,Customer_Helper!$F$2:$G$13,2,FALSE)</f>
        <v>West</v>
      </c>
      <c r="G266" t="s">
        <v>185</v>
      </c>
    </row>
    <row r="267" spans="1:7" x14ac:dyDescent="0.25">
      <c r="A267" t="str">
        <f t="shared" si="4"/>
        <v>C0266</v>
      </c>
      <c r="B267" t="s">
        <v>619</v>
      </c>
      <c r="C267" t="str">
        <f>VLOOKUP(LEFT(B267,FIND(" ",B267)-1),Customer_Helper!$A$2:$B$101,2,FALSE)</f>
        <v>Female</v>
      </c>
      <c r="D267">
        <v>46</v>
      </c>
      <c r="E267" t="s">
        <v>289</v>
      </c>
      <c r="F267" t="str">
        <f>VLOOKUP(E267,Customer_Helper!$F$2:$G$13,2,FALSE)</f>
        <v>West</v>
      </c>
      <c r="G267" t="s">
        <v>187</v>
      </c>
    </row>
    <row r="268" spans="1:7" x14ac:dyDescent="0.25">
      <c r="A268" t="str">
        <f t="shared" si="4"/>
        <v>C0267</v>
      </c>
      <c r="B268" t="s">
        <v>620</v>
      </c>
      <c r="C268" t="str">
        <f>VLOOKUP(LEFT(B268,FIND(" ",B268)-1),Customer_Helper!$A$2:$B$101,2,FALSE)</f>
        <v>Female</v>
      </c>
      <c r="D268">
        <v>62</v>
      </c>
      <c r="E268" t="s">
        <v>290</v>
      </c>
      <c r="F268" t="str">
        <f>VLOOKUP(E268,Customer_Helper!$F$2:$G$13,2,FALSE)</f>
        <v>West</v>
      </c>
      <c r="G268" t="s">
        <v>186</v>
      </c>
    </row>
    <row r="269" spans="1:7" x14ac:dyDescent="0.25">
      <c r="A269" t="str">
        <f t="shared" si="4"/>
        <v>C0268</v>
      </c>
      <c r="B269" t="s">
        <v>621</v>
      </c>
      <c r="C269" t="str">
        <f>VLOOKUP(LEFT(B269,FIND(" ",B269)-1),Customer_Helper!$A$2:$B$101,2,FALSE)</f>
        <v>Male</v>
      </c>
      <c r="D269">
        <v>18</v>
      </c>
      <c r="E269" t="s">
        <v>2</v>
      </c>
      <c r="F269" t="str">
        <f>VLOOKUP(E269,Customer_Helper!$F$2:$G$13,2,FALSE)</f>
        <v>West</v>
      </c>
      <c r="G269" t="s">
        <v>187</v>
      </c>
    </row>
    <row r="270" spans="1:7" x14ac:dyDescent="0.25">
      <c r="A270" t="str">
        <f t="shared" si="4"/>
        <v>C0269</v>
      </c>
      <c r="B270" t="s">
        <v>622</v>
      </c>
      <c r="C270" t="str">
        <f>VLOOKUP(LEFT(B270,FIND(" ",B270)-1),Customer_Helper!$A$2:$B$101,2,FALSE)</f>
        <v>Female</v>
      </c>
      <c r="D270">
        <v>29</v>
      </c>
      <c r="E270" t="s">
        <v>16</v>
      </c>
      <c r="F270" t="str">
        <f>VLOOKUP(E270,Customer_Helper!$F$2:$G$13,2,FALSE)</f>
        <v>South</v>
      </c>
      <c r="G270" t="s">
        <v>186</v>
      </c>
    </row>
    <row r="271" spans="1:7" x14ac:dyDescent="0.25">
      <c r="A271" t="str">
        <f t="shared" si="4"/>
        <v>C0270</v>
      </c>
      <c r="B271" t="s">
        <v>623</v>
      </c>
      <c r="C271" t="str">
        <f>VLOOKUP(LEFT(B271,FIND(" ",B271)-1),Customer_Helper!$A$2:$B$101,2,FALSE)</f>
        <v>Male</v>
      </c>
      <c r="D271">
        <v>62</v>
      </c>
      <c r="E271" t="s">
        <v>290</v>
      </c>
      <c r="F271" t="str">
        <f>VLOOKUP(E271,Customer_Helper!$F$2:$G$13,2,FALSE)</f>
        <v>West</v>
      </c>
      <c r="G271" t="s">
        <v>186</v>
      </c>
    </row>
    <row r="272" spans="1:7" x14ac:dyDescent="0.25">
      <c r="A272" t="str">
        <f t="shared" si="4"/>
        <v>C0271</v>
      </c>
      <c r="B272" t="s">
        <v>624</v>
      </c>
      <c r="C272" t="str">
        <f>VLOOKUP(LEFT(B272,FIND(" ",B272)-1),Customer_Helper!$A$2:$B$101,2,FALSE)</f>
        <v>Male</v>
      </c>
      <c r="D272">
        <v>56</v>
      </c>
      <c r="E272" t="s">
        <v>290</v>
      </c>
      <c r="F272" t="str">
        <f>VLOOKUP(E272,Customer_Helper!$F$2:$G$13,2,FALSE)</f>
        <v>West</v>
      </c>
      <c r="G272" t="s">
        <v>185</v>
      </c>
    </row>
    <row r="273" spans="1:7" x14ac:dyDescent="0.25">
      <c r="A273" t="str">
        <f t="shared" si="4"/>
        <v>C0272</v>
      </c>
      <c r="B273" t="s">
        <v>625</v>
      </c>
      <c r="C273" t="str">
        <f>VLOOKUP(LEFT(B273,FIND(" ",B273)-1),Customer_Helper!$A$2:$B$101,2,FALSE)</f>
        <v>Female</v>
      </c>
      <c r="D273">
        <v>38</v>
      </c>
      <c r="E273" t="s">
        <v>4</v>
      </c>
      <c r="F273" t="str">
        <f>VLOOKUP(E273,Customer_Helper!$F$2:$G$13,2,FALSE)</f>
        <v>West</v>
      </c>
      <c r="G273" t="s">
        <v>187</v>
      </c>
    </row>
    <row r="274" spans="1:7" x14ac:dyDescent="0.25">
      <c r="A274" t="str">
        <f t="shared" si="4"/>
        <v>C0273</v>
      </c>
      <c r="B274" t="s">
        <v>626</v>
      </c>
      <c r="C274" t="str">
        <f>VLOOKUP(LEFT(B274,FIND(" ",B274)-1),Customer_Helper!$A$2:$B$101,2,FALSE)</f>
        <v>Male</v>
      </c>
      <c r="D274">
        <v>40</v>
      </c>
      <c r="E274" t="s">
        <v>290</v>
      </c>
      <c r="F274" t="str">
        <f>VLOOKUP(E274,Customer_Helper!$F$2:$G$13,2,FALSE)</f>
        <v>West</v>
      </c>
      <c r="G274" t="s">
        <v>186</v>
      </c>
    </row>
    <row r="275" spans="1:7" x14ac:dyDescent="0.25">
      <c r="A275" t="str">
        <f t="shared" si="4"/>
        <v>C0274</v>
      </c>
      <c r="B275" t="s">
        <v>627</v>
      </c>
      <c r="C275" t="str">
        <f>VLOOKUP(LEFT(B275,FIND(" ",B275)-1),Customer_Helper!$A$2:$B$101,2,FALSE)</f>
        <v>Female</v>
      </c>
      <c r="D275">
        <v>34</v>
      </c>
      <c r="E275" t="s">
        <v>4</v>
      </c>
      <c r="F275" t="str">
        <f>VLOOKUP(E275,Customer_Helper!$F$2:$G$13,2,FALSE)</f>
        <v>West</v>
      </c>
      <c r="G275" t="s">
        <v>185</v>
      </c>
    </row>
    <row r="276" spans="1:7" x14ac:dyDescent="0.25">
      <c r="A276" t="str">
        <f t="shared" si="4"/>
        <v>C0275</v>
      </c>
      <c r="B276" t="s">
        <v>628</v>
      </c>
      <c r="C276" t="str">
        <f>VLOOKUP(LEFT(B276,FIND(" ",B276)-1),Customer_Helper!$A$2:$B$101,2,FALSE)</f>
        <v>Male</v>
      </c>
      <c r="D276">
        <v>42</v>
      </c>
      <c r="E276" t="s">
        <v>16</v>
      </c>
      <c r="F276" t="str">
        <f>VLOOKUP(E276,Customer_Helper!$F$2:$G$13,2,FALSE)</f>
        <v>South</v>
      </c>
      <c r="G276" t="s">
        <v>185</v>
      </c>
    </row>
    <row r="277" spans="1:7" x14ac:dyDescent="0.25">
      <c r="A277" t="str">
        <f t="shared" si="4"/>
        <v>C0276</v>
      </c>
      <c r="B277" t="s">
        <v>629</v>
      </c>
      <c r="C277" t="str">
        <f>VLOOKUP(LEFT(B277,FIND(" ",B277)-1),Customer_Helper!$A$2:$B$101,2,FALSE)</f>
        <v>Female</v>
      </c>
      <c r="D277">
        <v>48</v>
      </c>
      <c r="E277" t="s">
        <v>16</v>
      </c>
      <c r="F277" t="str">
        <f>VLOOKUP(E277,Customer_Helper!$F$2:$G$13,2,FALSE)</f>
        <v>South</v>
      </c>
      <c r="G277" t="s">
        <v>185</v>
      </c>
    </row>
    <row r="278" spans="1:7" x14ac:dyDescent="0.25">
      <c r="A278" t="str">
        <f t="shared" si="4"/>
        <v>C0277</v>
      </c>
      <c r="B278" t="s">
        <v>630</v>
      </c>
      <c r="C278" t="str">
        <f>VLOOKUP(LEFT(B278,FIND(" ",B278)-1),Customer_Helper!$A$2:$B$101,2,FALSE)</f>
        <v>Female</v>
      </c>
      <c r="D278">
        <v>30</v>
      </c>
      <c r="E278" t="s">
        <v>11</v>
      </c>
      <c r="F278" t="str">
        <f>VLOOKUP(E278,Customer_Helper!$F$2:$G$13,2,FALSE)</f>
        <v>East</v>
      </c>
      <c r="G278" t="s">
        <v>185</v>
      </c>
    </row>
    <row r="279" spans="1:7" x14ac:dyDescent="0.25">
      <c r="A279" t="str">
        <f t="shared" si="4"/>
        <v>C0278</v>
      </c>
      <c r="B279" t="s">
        <v>631</v>
      </c>
      <c r="C279" t="str">
        <f>VLOOKUP(LEFT(B279,FIND(" ",B279)-1),Customer_Helper!$A$2:$B$101,2,FALSE)</f>
        <v>Male</v>
      </c>
      <c r="D279">
        <v>59</v>
      </c>
      <c r="E279" t="s">
        <v>7</v>
      </c>
      <c r="F279" t="str">
        <f>VLOOKUP(E279,Customer_Helper!$F$2:$G$13,2,FALSE)</f>
        <v>North</v>
      </c>
      <c r="G279" t="s">
        <v>185</v>
      </c>
    </row>
    <row r="280" spans="1:7" x14ac:dyDescent="0.25">
      <c r="A280" t="str">
        <f t="shared" si="4"/>
        <v>C0279</v>
      </c>
      <c r="B280" t="s">
        <v>632</v>
      </c>
      <c r="C280" t="str">
        <f>VLOOKUP(LEFT(B280,FIND(" ",B280)-1),Customer_Helper!$A$2:$B$101,2,FALSE)</f>
        <v>Male</v>
      </c>
      <c r="D280">
        <v>36</v>
      </c>
      <c r="E280" t="s">
        <v>289</v>
      </c>
      <c r="F280" t="str">
        <f>VLOOKUP(E280,Customer_Helper!$F$2:$G$13,2,FALSE)</f>
        <v>West</v>
      </c>
      <c r="G280" t="s">
        <v>187</v>
      </c>
    </row>
    <row r="281" spans="1:7" x14ac:dyDescent="0.25">
      <c r="A281" t="str">
        <f t="shared" si="4"/>
        <v>C0280</v>
      </c>
      <c r="B281" t="s">
        <v>633</v>
      </c>
      <c r="C281" t="str">
        <f>VLOOKUP(LEFT(B281,FIND(" ",B281)-1),Customer_Helper!$A$2:$B$101,2,FALSE)</f>
        <v>Female</v>
      </c>
      <c r="D281">
        <v>26</v>
      </c>
      <c r="E281" t="s">
        <v>4</v>
      </c>
      <c r="F281" t="str">
        <f>VLOOKUP(E281,Customer_Helper!$F$2:$G$13,2,FALSE)</f>
        <v>West</v>
      </c>
      <c r="G281" t="s">
        <v>185</v>
      </c>
    </row>
    <row r="282" spans="1:7" x14ac:dyDescent="0.25">
      <c r="A282" t="str">
        <f t="shared" si="4"/>
        <v>C0281</v>
      </c>
      <c r="B282" t="s">
        <v>634</v>
      </c>
      <c r="C282" t="str">
        <f>VLOOKUP(LEFT(B282,FIND(" ",B282)-1),Customer_Helper!$A$2:$B$101,2,FALSE)</f>
        <v>Female</v>
      </c>
      <c r="D282">
        <v>62</v>
      </c>
      <c r="E282" t="s">
        <v>16</v>
      </c>
      <c r="F282" t="str">
        <f>VLOOKUP(E282,Customer_Helper!$F$2:$G$13,2,FALSE)</f>
        <v>South</v>
      </c>
      <c r="G282" t="s">
        <v>187</v>
      </c>
    </row>
    <row r="283" spans="1:7" x14ac:dyDescent="0.25">
      <c r="A283" t="str">
        <f t="shared" si="4"/>
        <v>C0282</v>
      </c>
      <c r="B283" t="s">
        <v>635</v>
      </c>
      <c r="C283" t="str">
        <f>VLOOKUP(LEFT(B283,FIND(" ",B283)-1),Customer_Helper!$A$2:$B$101,2,FALSE)</f>
        <v>Male</v>
      </c>
      <c r="D283">
        <v>53</v>
      </c>
      <c r="E283" t="s">
        <v>17</v>
      </c>
      <c r="F283" t="str">
        <f>VLOOKUP(E283,Customer_Helper!$F$2:$G$13,2,FALSE)</f>
        <v>South</v>
      </c>
      <c r="G283" t="s">
        <v>186</v>
      </c>
    </row>
    <row r="284" spans="1:7" x14ac:dyDescent="0.25">
      <c r="A284" t="str">
        <f t="shared" si="4"/>
        <v>C0283</v>
      </c>
      <c r="B284" t="s">
        <v>636</v>
      </c>
      <c r="C284" t="str">
        <f>VLOOKUP(LEFT(B284,FIND(" ",B284)-1),Customer_Helper!$A$2:$B$101,2,FALSE)</f>
        <v>Male</v>
      </c>
      <c r="D284">
        <v>46</v>
      </c>
      <c r="E284" t="s">
        <v>14</v>
      </c>
      <c r="F284" t="str">
        <f>VLOOKUP(E284,Customer_Helper!$F$2:$G$13,2,FALSE)</f>
        <v>South</v>
      </c>
      <c r="G284" t="s">
        <v>185</v>
      </c>
    </row>
    <row r="285" spans="1:7" x14ac:dyDescent="0.25">
      <c r="A285" t="str">
        <f t="shared" si="4"/>
        <v>C0284</v>
      </c>
      <c r="B285" t="s">
        <v>637</v>
      </c>
      <c r="C285" t="str">
        <f>VLOOKUP(LEFT(B285,FIND(" ",B285)-1),Customer_Helper!$A$2:$B$101,2,FALSE)</f>
        <v>Female</v>
      </c>
      <c r="D285">
        <v>55</v>
      </c>
      <c r="E285" t="s">
        <v>10</v>
      </c>
      <c r="F285" t="str">
        <f>VLOOKUP(E285,Customer_Helper!$F$2:$G$13,2,FALSE)</f>
        <v>North</v>
      </c>
      <c r="G285" t="s">
        <v>187</v>
      </c>
    </row>
    <row r="286" spans="1:7" x14ac:dyDescent="0.25">
      <c r="A286" t="str">
        <f t="shared" si="4"/>
        <v>C0285</v>
      </c>
      <c r="B286" t="s">
        <v>579</v>
      </c>
      <c r="C286" t="str">
        <f>VLOOKUP(LEFT(B286,FIND(" ",B286)-1),Customer_Helper!$A$2:$B$101,2,FALSE)</f>
        <v>Male</v>
      </c>
      <c r="D286">
        <v>18</v>
      </c>
      <c r="E286" t="s">
        <v>14</v>
      </c>
      <c r="F286" t="str">
        <f>VLOOKUP(E286,Customer_Helper!$F$2:$G$13,2,FALSE)</f>
        <v>South</v>
      </c>
      <c r="G286" t="s">
        <v>186</v>
      </c>
    </row>
    <row r="287" spans="1:7" x14ac:dyDescent="0.25">
      <c r="A287" t="str">
        <f t="shared" si="4"/>
        <v>C0286</v>
      </c>
      <c r="B287" t="s">
        <v>638</v>
      </c>
      <c r="C287" t="str">
        <f>VLOOKUP(LEFT(B287,FIND(" ",B287)-1),Customer_Helper!$A$2:$B$101,2,FALSE)</f>
        <v>Female</v>
      </c>
      <c r="D287">
        <v>46</v>
      </c>
      <c r="E287" t="s">
        <v>289</v>
      </c>
      <c r="F287" t="str">
        <f>VLOOKUP(E287,Customer_Helper!$F$2:$G$13,2,FALSE)</f>
        <v>West</v>
      </c>
      <c r="G287" t="s">
        <v>187</v>
      </c>
    </row>
    <row r="288" spans="1:7" x14ac:dyDescent="0.25">
      <c r="A288" t="str">
        <f t="shared" si="4"/>
        <v>C0287</v>
      </c>
      <c r="B288" t="s">
        <v>639</v>
      </c>
      <c r="C288" t="str">
        <f>VLOOKUP(LEFT(B288,FIND(" ",B288)-1),Customer_Helper!$A$2:$B$101,2,FALSE)</f>
        <v>Female</v>
      </c>
      <c r="D288">
        <v>52</v>
      </c>
      <c r="E288" t="s">
        <v>17</v>
      </c>
      <c r="F288" t="str">
        <f>VLOOKUP(E288,Customer_Helper!$F$2:$G$13,2,FALSE)</f>
        <v>South</v>
      </c>
      <c r="G288" t="s">
        <v>187</v>
      </c>
    </row>
    <row r="289" spans="1:7" x14ac:dyDescent="0.25">
      <c r="A289" t="str">
        <f t="shared" si="4"/>
        <v>C0288</v>
      </c>
      <c r="B289" t="s">
        <v>640</v>
      </c>
      <c r="C289" t="str">
        <f>VLOOKUP(LEFT(B289,FIND(" ",B289)-1),Customer_Helper!$A$2:$B$101,2,FALSE)</f>
        <v>Female</v>
      </c>
      <c r="D289">
        <v>52</v>
      </c>
      <c r="E289" t="s">
        <v>16</v>
      </c>
      <c r="F289" t="str">
        <f>VLOOKUP(E289,Customer_Helper!$F$2:$G$13,2,FALSE)</f>
        <v>South</v>
      </c>
      <c r="G289" t="s">
        <v>185</v>
      </c>
    </row>
    <row r="290" spans="1:7" x14ac:dyDescent="0.25">
      <c r="A290" t="str">
        <f t="shared" si="4"/>
        <v>C0289</v>
      </c>
      <c r="B290" t="s">
        <v>641</v>
      </c>
      <c r="C290" t="str">
        <f>VLOOKUP(LEFT(B290,FIND(" ",B290)-1),Customer_Helper!$A$2:$B$101,2,FALSE)</f>
        <v>Male</v>
      </c>
      <c r="D290">
        <v>45</v>
      </c>
      <c r="E290" t="s">
        <v>17</v>
      </c>
      <c r="F290" t="str">
        <f>VLOOKUP(E290,Customer_Helper!$F$2:$G$13,2,FALSE)</f>
        <v>South</v>
      </c>
      <c r="G290" t="s">
        <v>185</v>
      </c>
    </row>
    <row r="291" spans="1:7" x14ac:dyDescent="0.25">
      <c r="A291" t="str">
        <f t="shared" si="4"/>
        <v>C0290</v>
      </c>
      <c r="B291" t="s">
        <v>435</v>
      </c>
      <c r="C291" t="str">
        <f>VLOOKUP(LEFT(B291,FIND(" ",B291)-1),Customer_Helper!$A$2:$B$101,2,FALSE)</f>
        <v>Male</v>
      </c>
      <c r="D291">
        <v>55</v>
      </c>
      <c r="E291" t="s">
        <v>10</v>
      </c>
      <c r="F291" t="str">
        <f>VLOOKUP(E291,Customer_Helper!$F$2:$G$13,2,FALSE)</f>
        <v>North</v>
      </c>
      <c r="G291" t="s">
        <v>186</v>
      </c>
    </row>
    <row r="292" spans="1:7" x14ac:dyDescent="0.25">
      <c r="A292" t="str">
        <f t="shared" si="4"/>
        <v>C0291</v>
      </c>
      <c r="B292" t="s">
        <v>642</v>
      </c>
      <c r="C292" t="str">
        <f>VLOOKUP(LEFT(B292,FIND(" ",B292)-1),Customer_Helper!$A$2:$B$101,2,FALSE)</f>
        <v>Male</v>
      </c>
      <c r="D292">
        <v>47</v>
      </c>
      <c r="E292" t="s">
        <v>4</v>
      </c>
      <c r="F292" t="str">
        <f>VLOOKUP(E292,Customer_Helper!$F$2:$G$13,2,FALSE)</f>
        <v>West</v>
      </c>
      <c r="G292" t="s">
        <v>187</v>
      </c>
    </row>
    <row r="293" spans="1:7" x14ac:dyDescent="0.25">
      <c r="A293" t="str">
        <f t="shared" si="4"/>
        <v>C0292</v>
      </c>
      <c r="B293" t="s">
        <v>643</v>
      </c>
      <c r="C293" t="str">
        <f>VLOOKUP(LEFT(B293,FIND(" ",B293)-1),Customer_Helper!$A$2:$B$101,2,FALSE)</f>
        <v>Female</v>
      </c>
      <c r="D293">
        <v>44</v>
      </c>
      <c r="E293" t="s">
        <v>7</v>
      </c>
      <c r="F293" t="str">
        <f>VLOOKUP(E293,Customer_Helper!$F$2:$G$13,2,FALSE)</f>
        <v>North</v>
      </c>
      <c r="G293" t="s">
        <v>185</v>
      </c>
    </row>
    <row r="294" spans="1:7" x14ac:dyDescent="0.25">
      <c r="A294" t="str">
        <f t="shared" si="4"/>
        <v>C0293</v>
      </c>
      <c r="B294" t="s">
        <v>644</v>
      </c>
      <c r="C294" t="str">
        <f>VLOOKUP(LEFT(B294,FIND(" ",B294)-1),Customer_Helper!$A$2:$B$101,2,FALSE)</f>
        <v>Female</v>
      </c>
      <c r="D294">
        <v>54</v>
      </c>
      <c r="E294" t="s">
        <v>9</v>
      </c>
      <c r="F294" t="str">
        <f>VLOOKUP(E294,Customer_Helper!$F$2:$G$13,2,FALSE)</f>
        <v>North</v>
      </c>
      <c r="G294" t="s">
        <v>185</v>
      </c>
    </row>
    <row r="295" spans="1:7" x14ac:dyDescent="0.25">
      <c r="A295" t="str">
        <f t="shared" si="4"/>
        <v>C0294</v>
      </c>
      <c r="B295" t="s">
        <v>645</v>
      </c>
      <c r="C295" t="str">
        <f>VLOOKUP(LEFT(B295,FIND(" ",B295)-1),Customer_Helper!$A$2:$B$101,2,FALSE)</f>
        <v>Male</v>
      </c>
      <c r="D295">
        <v>50</v>
      </c>
      <c r="E295" t="s">
        <v>17</v>
      </c>
      <c r="F295" t="str">
        <f>VLOOKUP(E295,Customer_Helper!$F$2:$G$13,2,FALSE)</f>
        <v>South</v>
      </c>
      <c r="G295" t="s">
        <v>185</v>
      </c>
    </row>
    <row r="296" spans="1:7" x14ac:dyDescent="0.25">
      <c r="A296" t="str">
        <f t="shared" si="4"/>
        <v>C0295</v>
      </c>
      <c r="B296" t="s">
        <v>646</v>
      </c>
      <c r="C296" t="str">
        <f>VLOOKUP(LEFT(B296,FIND(" ",B296)-1),Customer_Helper!$A$2:$B$101,2,FALSE)</f>
        <v>Female</v>
      </c>
      <c r="D296">
        <v>64</v>
      </c>
      <c r="E296" t="s">
        <v>4</v>
      </c>
      <c r="F296" t="str">
        <f>VLOOKUP(E296,Customer_Helper!$F$2:$G$13,2,FALSE)</f>
        <v>West</v>
      </c>
      <c r="G296" t="s">
        <v>185</v>
      </c>
    </row>
    <row r="297" spans="1:7" x14ac:dyDescent="0.25">
      <c r="A297" t="str">
        <f t="shared" si="4"/>
        <v>C0296</v>
      </c>
      <c r="B297" t="s">
        <v>647</v>
      </c>
      <c r="C297" t="str">
        <f>VLOOKUP(LEFT(B297,FIND(" ",B297)-1),Customer_Helper!$A$2:$B$101,2,FALSE)</f>
        <v>Male</v>
      </c>
      <c r="D297">
        <v>47</v>
      </c>
      <c r="E297" t="s">
        <v>289</v>
      </c>
      <c r="F297" t="str">
        <f>VLOOKUP(E297,Customer_Helper!$F$2:$G$13,2,FALSE)</f>
        <v>West</v>
      </c>
      <c r="G297" t="s">
        <v>187</v>
      </c>
    </row>
    <row r="298" spans="1:7" x14ac:dyDescent="0.25">
      <c r="A298" t="str">
        <f t="shared" si="4"/>
        <v>C0297</v>
      </c>
      <c r="B298" t="s">
        <v>648</v>
      </c>
      <c r="C298" t="str">
        <f>VLOOKUP(LEFT(B298,FIND(" ",B298)-1),Customer_Helper!$A$2:$B$101,2,FALSE)</f>
        <v>Female</v>
      </c>
      <c r="D298">
        <v>20</v>
      </c>
      <c r="E298" t="s">
        <v>290</v>
      </c>
      <c r="F298" t="str">
        <f>VLOOKUP(E298,Customer_Helper!$F$2:$G$13,2,FALSE)</f>
        <v>West</v>
      </c>
      <c r="G298" t="s">
        <v>186</v>
      </c>
    </row>
    <row r="299" spans="1:7" x14ac:dyDescent="0.25">
      <c r="A299" t="str">
        <f t="shared" si="4"/>
        <v>C0298</v>
      </c>
      <c r="B299" t="s">
        <v>649</v>
      </c>
      <c r="C299" t="str">
        <f>VLOOKUP(LEFT(B299,FIND(" ",B299)-1),Customer_Helper!$A$2:$B$101,2,FALSE)</f>
        <v>Female</v>
      </c>
      <c r="D299">
        <v>28</v>
      </c>
      <c r="E299" t="s">
        <v>16</v>
      </c>
      <c r="F299" t="str">
        <f>VLOOKUP(E299,Customer_Helper!$F$2:$G$13,2,FALSE)</f>
        <v>South</v>
      </c>
      <c r="G299" t="s">
        <v>185</v>
      </c>
    </row>
    <row r="300" spans="1:7" x14ac:dyDescent="0.25">
      <c r="A300" t="str">
        <f t="shared" si="4"/>
        <v>C0299</v>
      </c>
      <c r="B300" t="s">
        <v>650</v>
      </c>
      <c r="C300" t="str">
        <f>VLOOKUP(LEFT(B300,FIND(" ",B300)-1),Customer_Helper!$A$2:$B$101,2,FALSE)</f>
        <v>Male</v>
      </c>
      <c r="D300">
        <v>28</v>
      </c>
      <c r="E300" t="s">
        <v>5</v>
      </c>
      <c r="F300" t="str">
        <f>VLOOKUP(E300,Customer_Helper!$F$2:$G$13,2,FALSE)</f>
        <v>West</v>
      </c>
      <c r="G300" t="s">
        <v>186</v>
      </c>
    </row>
    <row r="301" spans="1:7" x14ac:dyDescent="0.25">
      <c r="A301" t="str">
        <f t="shared" si="4"/>
        <v>C0300</v>
      </c>
      <c r="B301" t="s">
        <v>651</v>
      </c>
      <c r="C301" t="str">
        <f>VLOOKUP(LEFT(B301,FIND(" ",B301)-1),Customer_Helper!$A$2:$B$101,2,FALSE)</f>
        <v>Female</v>
      </c>
      <c r="D301">
        <v>55</v>
      </c>
      <c r="E301" t="s">
        <v>17</v>
      </c>
      <c r="F301" t="str">
        <f>VLOOKUP(E301,Customer_Helper!$F$2:$G$13,2,FALSE)</f>
        <v>South</v>
      </c>
      <c r="G301" t="s">
        <v>185</v>
      </c>
    </row>
    <row r="302" spans="1:7" x14ac:dyDescent="0.25">
      <c r="A302" t="str">
        <f t="shared" si="4"/>
        <v>C0301</v>
      </c>
      <c r="B302" t="s">
        <v>652</v>
      </c>
      <c r="C302" t="str">
        <f>VLOOKUP(LEFT(B302,FIND(" ",B302)-1),Customer_Helper!$A$2:$B$101,2,FALSE)</f>
        <v>Female</v>
      </c>
      <c r="D302">
        <v>49</v>
      </c>
      <c r="E302" t="s">
        <v>10</v>
      </c>
      <c r="F302" t="str">
        <f>VLOOKUP(E302,Customer_Helper!$F$2:$G$13,2,FALSE)</f>
        <v>North</v>
      </c>
      <c r="G302" t="s">
        <v>187</v>
      </c>
    </row>
    <row r="303" spans="1:7" x14ac:dyDescent="0.25">
      <c r="A303" t="str">
        <f t="shared" si="4"/>
        <v>C0302</v>
      </c>
      <c r="B303" t="s">
        <v>653</v>
      </c>
      <c r="C303" t="str">
        <f>VLOOKUP(LEFT(B303,FIND(" ",B303)-1),Customer_Helper!$A$2:$B$101,2,FALSE)</f>
        <v>Female</v>
      </c>
      <c r="D303">
        <v>41</v>
      </c>
      <c r="E303" t="s">
        <v>10</v>
      </c>
      <c r="F303" t="str">
        <f>VLOOKUP(E303,Customer_Helper!$F$2:$G$13,2,FALSE)</f>
        <v>North</v>
      </c>
      <c r="G303" t="s">
        <v>186</v>
      </c>
    </row>
    <row r="304" spans="1:7" x14ac:dyDescent="0.25">
      <c r="A304" t="str">
        <f t="shared" si="4"/>
        <v>C0303</v>
      </c>
      <c r="B304" t="s">
        <v>654</v>
      </c>
      <c r="C304" t="str">
        <f>VLOOKUP(LEFT(B304,FIND(" ",B304)-1),Customer_Helper!$A$2:$B$101,2,FALSE)</f>
        <v>Male</v>
      </c>
      <c r="D304">
        <v>30</v>
      </c>
      <c r="E304" t="s">
        <v>5</v>
      </c>
      <c r="F304" t="str">
        <f>VLOOKUP(E304,Customer_Helper!$F$2:$G$13,2,FALSE)</f>
        <v>West</v>
      </c>
      <c r="G304" t="s">
        <v>185</v>
      </c>
    </row>
    <row r="305" spans="1:7" x14ac:dyDescent="0.25">
      <c r="A305" t="str">
        <f t="shared" si="4"/>
        <v>C0304</v>
      </c>
      <c r="B305" t="s">
        <v>655</v>
      </c>
      <c r="C305" t="str">
        <f>VLOOKUP(LEFT(B305,FIND(" ",B305)-1),Customer_Helper!$A$2:$B$101,2,FALSE)</f>
        <v>Female</v>
      </c>
      <c r="D305">
        <v>54</v>
      </c>
      <c r="E305" t="s">
        <v>14</v>
      </c>
      <c r="F305" t="str">
        <f>VLOOKUP(E305,Customer_Helper!$F$2:$G$13,2,FALSE)</f>
        <v>South</v>
      </c>
      <c r="G305" t="s">
        <v>186</v>
      </c>
    </row>
    <row r="306" spans="1:7" x14ac:dyDescent="0.25">
      <c r="A306" t="str">
        <f t="shared" si="4"/>
        <v>C0305</v>
      </c>
      <c r="B306" t="s">
        <v>656</v>
      </c>
      <c r="C306" t="str">
        <f>VLOOKUP(LEFT(B306,FIND(" ",B306)-1),Customer_Helper!$A$2:$B$101,2,FALSE)</f>
        <v>Male</v>
      </c>
      <c r="D306">
        <v>36</v>
      </c>
      <c r="E306" t="s">
        <v>10</v>
      </c>
      <c r="F306" t="str">
        <f>VLOOKUP(E306,Customer_Helper!$F$2:$G$13,2,FALSE)</f>
        <v>North</v>
      </c>
      <c r="G306" t="s">
        <v>186</v>
      </c>
    </row>
    <row r="307" spans="1:7" x14ac:dyDescent="0.25">
      <c r="A307" t="str">
        <f t="shared" si="4"/>
        <v>C0306</v>
      </c>
      <c r="B307" t="s">
        <v>657</v>
      </c>
      <c r="C307" t="str">
        <f>VLOOKUP(LEFT(B307,FIND(" ",B307)-1),Customer_Helper!$A$2:$B$101,2,FALSE)</f>
        <v>Male</v>
      </c>
      <c r="D307">
        <v>49</v>
      </c>
      <c r="E307" t="s">
        <v>14</v>
      </c>
      <c r="F307" t="str">
        <f>VLOOKUP(E307,Customer_Helper!$F$2:$G$13,2,FALSE)</f>
        <v>South</v>
      </c>
      <c r="G307" t="s">
        <v>185</v>
      </c>
    </row>
    <row r="308" spans="1:7" x14ac:dyDescent="0.25">
      <c r="A308" t="str">
        <f t="shared" si="4"/>
        <v>C0307</v>
      </c>
      <c r="B308" t="s">
        <v>658</v>
      </c>
      <c r="C308" t="str">
        <f>VLOOKUP(LEFT(B308,FIND(" ",B308)-1),Customer_Helper!$A$2:$B$101,2,FALSE)</f>
        <v>Female</v>
      </c>
      <c r="D308">
        <v>32</v>
      </c>
      <c r="E308" t="s">
        <v>11</v>
      </c>
      <c r="F308" t="str">
        <f>VLOOKUP(E308,Customer_Helper!$F$2:$G$13,2,FALSE)</f>
        <v>East</v>
      </c>
      <c r="G308" t="s">
        <v>185</v>
      </c>
    </row>
    <row r="309" spans="1:7" x14ac:dyDescent="0.25">
      <c r="A309" t="str">
        <f t="shared" si="4"/>
        <v>C0308</v>
      </c>
      <c r="B309" t="s">
        <v>659</v>
      </c>
      <c r="C309" t="str">
        <f>VLOOKUP(LEFT(B309,FIND(" ",B309)-1),Customer_Helper!$A$2:$B$101,2,FALSE)</f>
        <v>Female</v>
      </c>
      <c r="D309">
        <v>24</v>
      </c>
      <c r="E309" t="s">
        <v>2</v>
      </c>
      <c r="F309" t="str">
        <f>VLOOKUP(E309,Customer_Helper!$F$2:$G$13,2,FALSE)</f>
        <v>West</v>
      </c>
      <c r="G309" t="s">
        <v>185</v>
      </c>
    </row>
    <row r="310" spans="1:7" x14ac:dyDescent="0.25">
      <c r="A310" t="str">
        <f t="shared" si="4"/>
        <v>C0309</v>
      </c>
      <c r="B310" t="s">
        <v>660</v>
      </c>
      <c r="C310" t="str">
        <f>VLOOKUP(LEFT(B310,FIND(" ",B310)-1),Customer_Helper!$A$2:$B$101,2,FALSE)</f>
        <v>Male</v>
      </c>
      <c r="D310">
        <v>62</v>
      </c>
      <c r="E310" t="s">
        <v>5</v>
      </c>
      <c r="F310" t="str">
        <f>VLOOKUP(E310,Customer_Helper!$F$2:$G$13,2,FALSE)</f>
        <v>West</v>
      </c>
      <c r="G310" t="s">
        <v>186</v>
      </c>
    </row>
    <row r="311" spans="1:7" x14ac:dyDescent="0.25">
      <c r="A311" t="str">
        <f t="shared" si="4"/>
        <v>C0310</v>
      </c>
      <c r="B311" t="s">
        <v>661</v>
      </c>
      <c r="C311" t="str">
        <f>VLOOKUP(LEFT(B311,FIND(" ",B311)-1),Customer_Helper!$A$2:$B$101,2,FALSE)</f>
        <v>Male</v>
      </c>
      <c r="D311">
        <v>56</v>
      </c>
      <c r="E311" t="s">
        <v>5</v>
      </c>
      <c r="F311" t="str">
        <f>VLOOKUP(E311,Customer_Helper!$F$2:$G$13,2,FALSE)</f>
        <v>West</v>
      </c>
      <c r="G311" t="s">
        <v>187</v>
      </c>
    </row>
    <row r="312" spans="1:7" x14ac:dyDescent="0.25">
      <c r="A312" t="str">
        <f t="shared" si="4"/>
        <v>C0311</v>
      </c>
      <c r="B312" t="s">
        <v>662</v>
      </c>
      <c r="C312" t="str">
        <f>VLOOKUP(LEFT(B312,FIND(" ",B312)-1),Customer_Helper!$A$2:$B$101,2,FALSE)</f>
        <v>Male</v>
      </c>
      <c r="D312">
        <v>57</v>
      </c>
      <c r="E312" t="s">
        <v>9</v>
      </c>
      <c r="F312" t="str">
        <f>VLOOKUP(E312,Customer_Helper!$F$2:$G$13,2,FALSE)</f>
        <v>North</v>
      </c>
      <c r="G312" t="s">
        <v>186</v>
      </c>
    </row>
    <row r="313" spans="1:7" x14ac:dyDescent="0.25">
      <c r="A313" t="str">
        <f t="shared" si="4"/>
        <v>C0312</v>
      </c>
      <c r="B313" t="s">
        <v>663</v>
      </c>
      <c r="C313" t="str">
        <f>VLOOKUP(LEFT(B313,FIND(" ",B313)-1),Customer_Helper!$A$2:$B$101,2,FALSE)</f>
        <v>Female</v>
      </c>
      <c r="D313">
        <v>62</v>
      </c>
      <c r="E313" t="s">
        <v>17</v>
      </c>
      <c r="F313" t="str">
        <f>VLOOKUP(E313,Customer_Helper!$F$2:$G$13,2,FALSE)</f>
        <v>South</v>
      </c>
      <c r="G313" t="s">
        <v>186</v>
      </c>
    </row>
    <row r="314" spans="1:7" x14ac:dyDescent="0.25">
      <c r="A314" t="str">
        <f t="shared" si="4"/>
        <v>C0313</v>
      </c>
      <c r="B314" t="s">
        <v>664</v>
      </c>
      <c r="C314" t="str">
        <f>VLOOKUP(LEFT(B314,FIND(" ",B314)-1),Customer_Helper!$A$2:$B$101,2,FALSE)</f>
        <v>Female</v>
      </c>
      <c r="D314">
        <v>61</v>
      </c>
      <c r="E314" t="s">
        <v>10</v>
      </c>
      <c r="F314" t="str">
        <f>VLOOKUP(E314,Customer_Helper!$F$2:$G$13,2,FALSE)</f>
        <v>North</v>
      </c>
      <c r="G314" t="s">
        <v>187</v>
      </c>
    </row>
    <row r="315" spans="1:7" x14ac:dyDescent="0.25">
      <c r="A315" t="str">
        <f t="shared" si="4"/>
        <v>C0314</v>
      </c>
      <c r="B315" t="s">
        <v>665</v>
      </c>
      <c r="C315" t="str">
        <f>VLOOKUP(LEFT(B315,FIND(" ",B315)-1),Customer_Helper!$A$2:$B$101,2,FALSE)</f>
        <v>Male</v>
      </c>
      <c r="D315">
        <v>31</v>
      </c>
      <c r="E315" t="s">
        <v>9</v>
      </c>
      <c r="F315" t="str">
        <f>VLOOKUP(E315,Customer_Helper!$F$2:$G$13,2,FALSE)</f>
        <v>North</v>
      </c>
      <c r="G315" t="s">
        <v>186</v>
      </c>
    </row>
    <row r="316" spans="1:7" x14ac:dyDescent="0.25">
      <c r="A316" t="str">
        <f t="shared" si="4"/>
        <v>C0315</v>
      </c>
      <c r="B316" t="s">
        <v>666</v>
      </c>
      <c r="C316" t="str">
        <f>VLOOKUP(LEFT(B316,FIND(" ",B316)-1),Customer_Helper!$A$2:$B$101,2,FALSE)</f>
        <v>Male</v>
      </c>
      <c r="D316">
        <v>63</v>
      </c>
      <c r="E316" t="s">
        <v>289</v>
      </c>
      <c r="F316" t="str">
        <f>VLOOKUP(E316,Customer_Helper!$F$2:$G$13,2,FALSE)</f>
        <v>West</v>
      </c>
      <c r="G316" t="s">
        <v>185</v>
      </c>
    </row>
    <row r="317" spans="1:7" x14ac:dyDescent="0.25">
      <c r="A317" t="str">
        <f t="shared" si="4"/>
        <v>C0316</v>
      </c>
      <c r="B317" t="s">
        <v>667</v>
      </c>
      <c r="C317" t="str">
        <f>VLOOKUP(LEFT(B317,FIND(" ",B317)-1),Customer_Helper!$A$2:$B$101,2,FALSE)</f>
        <v>Female</v>
      </c>
      <c r="D317">
        <v>25</v>
      </c>
      <c r="E317" t="s">
        <v>10</v>
      </c>
      <c r="F317" t="str">
        <f>VLOOKUP(E317,Customer_Helper!$F$2:$G$13,2,FALSE)</f>
        <v>North</v>
      </c>
      <c r="G317" t="s">
        <v>187</v>
      </c>
    </row>
    <row r="318" spans="1:7" x14ac:dyDescent="0.25">
      <c r="A318" t="str">
        <f t="shared" si="4"/>
        <v>C0317</v>
      </c>
      <c r="B318" t="s">
        <v>668</v>
      </c>
      <c r="C318" t="str">
        <f>VLOOKUP(LEFT(B318,FIND(" ",B318)-1),Customer_Helper!$A$2:$B$101,2,FALSE)</f>
        <v>Male</v>
      </c>
      <c r="D318">
        <v>45</v>
      </c>
      <c r="E318" t="s">
        <v>289</v>
      </c>
      <c r="F318" t="str">
        <f>VLOOKUP(E318,Customer_Helper!$F$2:$G$13,2,FALSE)</f>
        <v>West</v>
      </c>
      <c r="G318" t="s">
        <v>186</v>
      </c>
    </row>
    <row r="319" spans="1:7" x14ac:dyDescent="0.25">
      <c r="A319" t="str">
        <f t="shared" si="4"/>
        <v>C0318</v>
      </c>
      <c r="B319" t="s">
        <v>669</v>
      </c>
      <c r="C319" t="str">
        <f>VLOOKUP(LEFT(B319,FIND(" ",B319)-1),Customer_Helper!$A$2:$B$101,2,FALSE)</f>
        <v>Male</v>
      </c>
      <c r="D319">
        <v>65</v>
      </c>
      <c r="E319" t="s">
        <v>14</v>
      </c>
      <c r="F319" t="str">
        <f>VLOOKUP(E319,Customer_Helper!$F$2:$G$13,2,FALSE)</f>
        <v>South</v>
      </c>
      <c r="G319" t="s">
        <v>186</v>
      </c>
    </row>
    <row r="320" spans="1:7" x14ac:dyDescent="0.25">
      <c r="A320" t="str">
        <f t="shared" si="4"/>
        <v>C0319</v>
      </c>
      <c r="B320" t="s">
        <v>670</v>
      </c>
      <c r="C320" t="str">
        <f>VLOOKUP(LEFT(B320,FIND(" ",B320)-1),Customer_Helper!$A$2:$B$101,2,FALSE)</f>
        <v>Female</v>
      </c>
      <c r="D320">
        <v>45</v>
      </c>
      <c r="E320" t="s">
        <v>4</v>
      </c>
      <c r="F320" t="str">
        <f>VLOOKUP(E320,Customer_Helper!$F$2:$G$13,2,FALSE)</f>
        <v>West</v>
      </c>
      <c r="G320" t="s">
        <v>186</v>
      </c>
    </row>
    <row r="321" spans="1:7" x14ac:dyDescent="0.25">
      <c r="A321" t="str">
        <f t="shared" si="4"/>
        <v>C0320</v>
      </c>
      <c r="B321" t="s">
        <v>671</v>
      </c>
      <c r="C321" t="str">
        <f>VLOOKUP(LEFT(B321,FIND(" ",B321)-1),Customer_Helper!$A$2:$B$101,2,FALSE)</f>
        <v>Female</v>
      </c>
      <c r="D321">
        <v>65</v>
      </c>
      <c r="E321" t="s">
        <v>290</v>
      </c>
      <c r="F321" t="str">
        <f>VLOOKUP(E321,Customer_Helper!$F$2:$G$13,2,FALSE)</f>
        <v>West</v>
      </c>
      <c r="G321" t="s">
        <v>187</v>
      </c>
    </row>
    <row r="322" spans="1:7" x14ac:dyDescent="0.25">
      <c r="A322" t="str">
        <f t="shared" si="4"/>
        <v>C0321</v>
      </c>
      <c r="B322" t="s">
        <v>672</v>
      </c>
      <c r="C322" t="str">
        <f>VLOOKUP(LEFT(B322,FIND(" ",B322)-1),Customer_Helper!$A$2:$B$101,2,FALSE)</f>
        <v>Male</v>
      </c>
      <c r="D322">
        <v>40</v>
      </c>
      <c r="E322" t="s">
        <v>11</v>
      </c>
      <c r="F322" t="str">
        <f>VLOOKUP(E322,Customer_Helper!$F$2:$G$13,2,FALSE)</f>
        <v>East</v>
      </c>
      <c r="G322" t="s">
        <v>186</v>
      </c>
    </row>
    <row r="323" spans="1:7" x14ac:dyDescent="0.25">
      <c r="A323" t="str">
        <f t="shared" ref="A323:A386" si="5">"C"&amp;TEXT(ROW()-1,"0000")</f>
        <v>C0322</v>
      </c>
      <c r="B323" t="s">
        <v>673</v>
      </c>
      <c r="C323" t="str">
        <f>VLOOKUP(LEFT(B323,FIND(" ",B323)-1),Customer_Helper!$A$2:$B$101,2,FALSE)</f>
        <v>Male</v>
      </c>
      <c r="D323">
        <v>22</v>
      </c>
      <c r="E323" t="s">
        <v>14</v>
      </c>
      <c r="F323" t="str">
        <f>VLOOKUP(E323,Customer_Helper!$F$2:$G$13,2,FALSE)</f>
        <v>South</v>
      </c>
      <c r="G323" t="s">
        <v>187</v>
      </c>
    </row>
    <row r="324" spans="1:7" x14ac:dyDescent="0.25">
      <c r="A324" t="str">
        <f t="shared" si="5"/>
        <v>C0323</v>
      </c>
      <c r="B324" t="s">
        <v>674</v>
      </c>
      <c r="C324" t="str">
        <f>VLOOKUP(LEFT(B324,FIND(" ",B324)-1),Customer_Helper!$A$2:$B$101,2,FALSE)</f>
        <v>Female</v>
      </c>
      <c r="D324">
        <v>50</v>
      </c>
      <c r="E324" t="s">
        <v>11</v>
      </c>
      <c r="F324" t="str">
        <f>VLOOKUP(E324,Customer_Helper!$F$2:$G$13,2,FALSE)</f>
        <v>East</v>
      </c>
      <c r="G324" t="s">
        <v>185</v>
      </c>
    </row>
    <row r="325" spans="1:7" x14ac:dyDescent="0.25">
      <c r="A325" t="str">
        <f t="shared" si="5"/>
        <v>C0324</v>
      </c>
      <c r="B325" t="s">
        <v>675</v>
      </c>
      <c r="C325" t="str">
        <f>VLOOKUP(LEFT(B325,FIND(" ",B325)-1),Customer_Helper!$A$2:$B$101,2,FALSE)</f>
        <v>Male</v>
      </c>
      <c r="D325">
        <v>40</v>
      </c>
      <c r="E325" t="s">
        <v>14</v>
      </c>
      <c r="F325" t="str">
        <f>VLOOKUP(E325,Customer_Helper!$F$2:$G$13,2,FALSE)</f>
        <v>South</v>
      </c>
      <c r="G325" t="s">
        <v>187</v>
      </c>
    </row>
    <row r="326" spans="1:7" x14ac:dyDescent="0.25">
      <c r="A326" t="str">
        <f t="shared" si="5"/>
        <v>C0325</v>
      </c>
      <c r="B326" t="s">
        <v>676</v>
      </c>
      <c r="C326" t="str">
        <f>VLOOKUP(LEFT(B326,FIND(" ",B326)-1),Customer_Helper!$A$2:$B$101,2,FALSE)</f>
        <v>Female</v>
      </c>
      <c r="D326">
        <v>20</v>
      </c>
      <c r="E326" t="s">
        <v>14</v>
      </c>
      <c r="F326" t="str">
        <f>VLOOKUP(E326,Customer_Helper!$F$2:$G$13,2,FALSE)</f>
        <v>South</v>
      </c>
      <c r="G326" t="s">
        <v>187</v>
      </c>
    </row>
    <row r="327" spans="1:7" x14ac:dyDescent="0.25">
      <c r="A327" t="str">
        <f t="shared" si="5"/>
        <v>C0326</v>
      </c>
      <c r="B327" t="s">
        <v>677</v>
      </c>
      <c r="C327" t="str">
        <f>VLOOKUP(LEFT(B327,FIND(" ",B327)-1),Customer_Helper!$A$2:$B$101,2,FALSE)</f>
        <v>Male</v>
      </c>
      <c r="D327">
        <v>57</v>
      </c>
      <c r="E327" t="s">
        <v>4</v>
      </c>
      <c r="F327" t="str">
        <f>VLOOKUP(E327,Customer_Helper!$F$2:$G$13,2,FALSE)</f>
        <v>West</v>
      </c>
      <c r="G327" t="s">
        <v>186</v>
      </c>
    </row>
    <row r="328" spans="1:7" x14ac:dyDescent="0.25">
      <c r="A328" t="str">
        <f t="shared" si="5"/>
        <v>C0327</v>
      </c>
      <c r="B328" t="s">
        <v>678</v>
      </c>
      <c r="C328" t="str">
        <f>VLOOKUP(LEFT(B328,FIND(" ",B328)-1),Customer_Helper!$A$2:$B$101,2,FALSE)</f>
        <v>Male</v>
      </c>
      <c r="D328">
        <v>47</v>
      </c>
      <c r="E328" t="s">
        <v>14</v>
      </c>
      <c r="F328" t="str">
        <f>VLOOKUP(E328,Customer_Helper!$F$2:$G$13,2,FALSE)</f>
        <v>South</v>
      </c>
      <c r="G328" t="s">
        <v>186</v>
      </c>
    </row>
    <row r="329" spans="1:7" x14ac:dyDescent="0.25">
      <c r="A329" t="str">
        <f t="shared" si="5"/>
        <v>C0328</v>
      </c>
      <c r="B329" t="s">
        <v>679</v>
      </c>
      <c r="C329" t="str">
        <f>VLOOKUP(LEFT(B329,FIND(" ",B329)-1),Customer_Helper!$A$2:$B$101,2,FALSE)</f>
        <v>Female</v>
      </c>
      <c r="D329">
        <v>30</v>
      </c>
      <c r="E329" t="s">
        <v>11</v>
      </c>
      <c r="F329" t="str">
        <f>VLOOKUP(E329,Customer_Helper!$F$2:$G$13,2,FALSE)</f>
        <v>East</v>
      </c>
      <c r="G329" t="s">
        <v>187</v>
      </c>
    </row>
    <row r="330" spans="1:7" x14ac:dyDescent="0.25">
      <c r="A330" t="str">
        <f t="shared" si="5"/>
        <v>C0329</v>
      </c>
      <c r="B330" t="s">
        <v>680</v>
      </c>
      <c r="C330" t="str">
        <f>VLOOKUP(LEFT(B330,FIND(" ",B330)-1),Customer_Helper!$A$2:$B$101,2,FALSE)</f>
        <v>Male</v>
      </c>
      <c r="D330">
        <v>26</v>
      </c>
      <c r="E330" t="s">
        <v>10</v>
      </c>
      <c r="F330" t="str">
        <f>VLOOKUP(E330,Customer_Helper!$F$2:$G$13,2,FALSE)</f>
        <v>North</v>
      </c>
      <c r="G330" t="s">
        <v>187</v>
      </c>
    </row>
    <row r="331" spans="1:7" x14ac:dyDescent="0.25">
      <c r="A331" t="str">
        <f t="shared" si="5"/>
        <v>C0330</v>
      </c>
      <c r="B331" t="s">
        <v>481</v>
      </c>
      <c r="C331" t="str">
        <f>VLOOKUP(LEFT(B331,FIND(" ",B331)-1),Customer_Helper!$A$2:$B$101,2,FALSE)</f>
        <v>Male</v>
      </c>
      <c r="D331">
        <v>30</v>
      </c>
      <c r="E331" t="s">
        <v>11</v>
      </c>
      <c r="F331" t="str">
        <f>VLOOKUP(E331,Customer_Helper!$F$2:$G$13,2,FALSE)</f>
        <v>East</v>
      </c>
      <c r="G331" t="s">
        <v>186</v>
      </c>
    </row>
    <row r="332" spans="1:7" x14ac:dyDescent="0.25">
      <c r="A332" t="str">
        <f t="shared" si="5"/>
        <v>C0331</v>
      </c>
      <c r="B332" t="s">
        <v>681</v>
      </c>
      <c r="C332" t="str">
        <f>VLOOKUP(LEFT(B332,FIND(" ",B332)-1),Customer_Helper!$A$2:$B$101,2,FALSE)</f>
        <v>Female</v>
      </c>
      <c r="D332">
        <v>24</v>
      </c>
      <c r="E332" t="s">
        <v>11</v>
      </c>
      <c r="F332" t="str">
        <f>VLOOKUP(E332,Customer_Helper!$F$2:$G$13,2,FALSE)</f>
        <v>East</v>
      </c>
      <c r="G332" t="s">
        <v>186</v>
      </c>
    </row>
    <row r="333" spans="1:7" x14ac:dyDescent="0.25">
      <c r="A333" t="str">
        <f t="shared" si="5"/>
        <v>C0332</v>
      </c>
      <c r="B333" t="s">
        <v>682</v>
      </c>
      <c r="C333" t="str">
        <f>VLOOKUP(LEFT(B333,FIND(" ",B333)-1),Customer_Helper!$A$2:$B$101,2,FALSE)</f>
        <v>Male</v>
      </c>
      <c r="D333">
        <v>29</v>
      </c>
      <c r="E333" t="s">
        <v>289</v>
      </c>
      <c r="F333" t="str">
        <f>VLOOKUP(E333,Customer_Helper!$F$2:$G$13,2,FALSE)</f>
        <v>West</v>
      </c>
      <c r="G333" t="s">
        <v>187</v>
      </c>
    </row>
    <row r="334" spans="1:7" x14ac:dyDescent="0.25">
      <c r="A334" t="str">
        <f t="shared" si="5"/>
        <v>C0333</v>
      </c>
      <c r="B334" t="s">
        <v>683</v>
      </c>
      <c r="C334" t="str">
        <f>VLOOKUP(LEFT(B334,FIND(" ",B334)-1),Customer_Helper!$A$2:$B$101,2,FALSE)</f>
        <v>Male</v>
      </c>
      <c r="D334">
        <v>65</v>
      </c>
      <c r="E334" t="s">
        <v>289</v>
      </c>
      <c r="F334" t="str">
        <f>VLOOKUP(E334,Customer_Helper!$F$2:$G$13,2,FALSE)</f>
        <v>West</v>
      </c>
      <c r="G334" t="s">
        <v>186</v>
      </c>
    </row>
    <row r="335" spans="1:7" x14ac:dyDescent="0.25">
      <c r="A335" t="str">
        <f t="shared" si="5"/>
        <v>C0334</v>
      </c>
      <c r="B335" t="s">
        <v>684</v>
      </c>
      <c r="C335" t="str">
        <f>VLOOKUP(LEFT(B335,FIND(" ",B335)-1),Customer_Helper!$A$2:$B$101,2,FALSE)</f>
        <v>Female</v>
      </c>
      <c r="D335">
        <v>18</v>
      </c>
      <c r="E335" t="s">
        <v>17</v>
      </c>
      <c r="F335" t="str">
        <f>VLOOKUP(E335,Customer_Helper!$F$2:$G$13,2,FALSE)</f>
        <v>South</v>
      </c>
      <c r="G335" t="s">
        <v>187</v>
      </c>
    </row>
    <row r="336" spans="1:7" x14ac:dyDescent="0.25">
      <c r="A336" t="str">
        <f t="shared" si="5"/>
        <v>C0335</v>
      </c>
      <c r="B336" t="s">
        <v>685</v>
      </c>
      <c r="C336" t="str">
        <f>VLOOKUP(LEFT(B336,FIND(" ",B336)-1),Customer_Helper!$A$2:$B$101,2,FALSE)</f>
        <v>Male</v>
      </c>
      <c r="D336">
        <v>35</v>
      </c>
      <c r="E336" t="s">
        <v>289</v>
      </c>
      <c r="F336" t="str">
        <f>VLOOKUP(E336,Customer_Helper!$F$2:$G$13,2,FALSE)</f>
        <v>West</v>
      </c>
      <c r="G336" t="s">
        <v>186</v>
      </c>
    </row>
    <row r="337" spans="1:7" x14ac:dyDescent="0.25">
      <c r="A337" t="str">
        <f t="shared" si="5"/>
        <v>C0336</v>
      </c>
      <c r="B337" t="s">
        <v>686</v>
      </c>
      <c r="C337" t="str">
        <f>VLOOKUP(LEFT(B337,FIND(" ",B337)-1),Customer_Helper!$A$2:$B$101,2,FALSE)</f>
        <v>Male</v>
      </c>
      <c r="D337">
        <v>34</v>
      </c>
      <c r="E337" t="s">
        <v>9</v>
      </c>
      <c r="F337" t="str">
        <f>VLOOKUP(E337,Customer_Helper!$F$2:$G$13,2,FALSE)</f>
        <v>North</v>
      </c>
      <c r="G337" t="s">
        <v>186</v>
      </c>
    </row>
    <row r="338" spans="1:7" x14ac:dyDescent="0.25">
      <c r="A338" t="str">
        <f t="shared" si="5"/>
        <v>C0337</v>
      </c>
      <c r="B338" t="s">
        <v>687</v>
      </c>
      <c r="C338" t="str">
        <f>VLOOKUP(LEFT(B338,FIND(" ",B338)-1),Customer_Helper!$A$2:$B$101,2,FALSE)</f>
        <v>Female</v>
      </c>
      <c r="D338">
        <v>45</v>
      </c>
      <c r="E338" t="s">
        <v>290</v>
      </c>
      <c r="F338" t="str">
        <f>VLOOKUP(E338,Customer_Helper!$F$2:$G$13,2,FALSE)</f>
        <v>West</v>
      </c>
      <c r="G338" t="s">
        <v>187</v>
      </c>
    </row>
    <row r="339" spans="1:7" x14ac:dyDescent="0.25">
      <c r="A339" t="str">
        <f t="shared" si="5"/>
        <v>C0338</v>
      </c>
      <c r="B339" t="s">
        <v>688</v>
      </c>
      <c r="C339" t="str">
        <f>VLOOKUP(LEFT(B339,FIND(" ",B339)-1),Customer_Helper!$A$2:$B$101,2,FALSE)</f>
        <v>Male</v>
      </c>
      <c r="D339">
        <v>28</v>
      </c>
      <c r="E339" t="s">
        <v>10</v>
      </c>
      <c r="F339" t="str">
        <f>VLOOKUP(E339,Customer_Helper!$F$2:$G$13,2,FALSE)</f>
        <v>North</v>
      </c>
      <c r="G339" t="s">
        <v>185</v>
      </c>
    </row>
    <row r="340" spans="1:7" x14ac:dyDescent="0.25">
      <c r="A340" t="str">
        <f t="shared" si="5"/>
        <v>C0339</v>
      </c>
      <c r="B340" t="s">
        <v>689</v>
      </c>
      <c r="C340" t="str">
        <f>VLOOKUP(LEFT(B340,FIND(" ",B340)-1),Customer_Helper!$A$2:$B$101,2,FALSE)</f>
        <v>Female</v>
      </c>
      <c r="D340">
        <v>51</v>
      </c>
      <c r="E340" t="s">
        <v>2</v>
      </c>
      <c r="F340" t="str">
        <f>VLOOKUP(E340,Customer_Helper!$F$2:$G$13,2,FALSE)</f>
        <v>West</v>
      </c>
      <c r="G340" t="s">
        <v>187</v>
      </c>
    </row>
    <row r="341" spans="1:7" x14ac:dyDescent="0.25">
      <c r="A341" t="str">
        <f t="shared" si="5"/>
        <v>C0340</v>
      </c>
      <c r="B341" t="s">
        <v>690</v>
      </c>
      <c r="C341" t="str">
        <f>VLOOKUP(LEFT(B341,FIND(" ",B341)-1),Customer_Helper!$A$2:$B$101,2,FALSE)</f>
        <v>Female</v>
      </c>
      <c r="D341">
        <v>39</v>
      </c>
      <c r="E341" t="s">
        <v>14</v>
      </c>
      <c r="F341" t="str">
        <f>VLOOKUP(E341,Customer_Helper!$F$2:$G$13,2,FALSE)</f>
        <v>South</v>
      </c>
      <c r="G341" t="s">
        <v>186</v>
      </c>
    </row>
    <row r="342" spans="1:7" x14ac:dyDescent="0.25">
      <c r="A342" t="str">
        <f t="shared" si="5"/>
        <v>C0341</v>
      </c>
      <c r="B342" t="s">
        <v>691</v>
      </c>
      <c r="C342" t="str">
        <f>VLOOKUP(LEFT(B342,FIND(" ",B342)-1),Customer_Helper!$A$2:$B$101,2,FALSE)</f>
        <v>Female</v>
      </c>
      <c r="D342">
        <v>40</v>
      </c>
      <c r="E342" t="s">
        <v>5</v>
      </c>
      <c r="F342" t="str">
        <f>VLOOKUP(E342,Customer_Helper!$F$2:$G$13,2,FALSE)</f>
        <v>West</v>
      </c>
      <c r="G342" t="s">
        <v>185</v>
      </c>
    </row>
    <row r="343" spans="1:7" x14ac:dyDescent="0.25">
      <c r="A343" t="str">
        <f t="shared" si="5"/>
        <v>C0342</v>
      </c>
      <c r="B343" t="s">
        <v>692</v>
      </c>
      <c r="C343" t="str">
        <f>VLOOKUP(LEFT(B343,FIND(" ",B343)-1),Customer_Helper!$A$2:$B$101,2,FALSE)</f>
        <v>Female</v>
      </c>
      <c r="D343">
        <v>53</v>
      </c>
      <c r="E343" t="s">
        <v>2</v>
      </c>
      <c r="F343" t="str">
        <f>VLOOKUP(E343,Customer_Helper!$F$2:$G$13,2,FALSE)</f>
        <v>West</v>
      </c>
      <c r="G343" t="s">
        <v>186</v>
      </c>
    </row>
    <row r="344" spans="1:7" x14ac:dyDescent="0.25">
      <c r="A344" t="str">
        <f t="shared" si="5"/>
        <v>C0343</v>
      </c>
      <c r="B344" t="s">
        <v>693</v>
      </c>
      <c r="C344" t="str">
        <f>VLOOKUP(LEFT(B344,FIND(" ",B344)-1),Customer_Helper!$A$2:$B$101,2,FALSE)</f>
        <v>Female</v>
      </c>
      <c r="D344">
        <v>18</v>
      </c>
      <c r="E344" t="s">
        <v>17</v>
      </c>
      <c r="F344" t="str">
        <f>VLOOKUP(E344,Customer_Helper!$F$2:$G$13,2,FALSE)</f>
        <v>South</v>
      </c>
      <c r="G344" t="s">
        <v>185</v>
      </c>
    </row>
    <row r="345" spans="1:7" x14ac:dyDescent="0.25">
      <c r="A345" t="str">
        <f t="shared" si="5"/>
        <v>C0344</v>
      </c>
      <c r="B345" t="s">
        <v>694</v>
      </c>
      <c r="C345" t="str">
        <f>VLOOKUP(LEFT(B345,FIND(" ",B345)-1),Customer_Helper!$A$2:$B$101,2,FALSE)</f>
        <v>Female</v>
      </c>
      <c r="D345">
        <v>28</v>
      </c>
      <c r="E345" t="s">
        <v>7</v>
      </c>
      <c r="F345" t="str">
        <f>VLOOKUP(E345,Customer_Helper!$F$2:$G$13,2,FALSE)</f>
        <v>North</v>
      </c>
      <c r="G345" t="s">
        <v>187</v>
      </c>
    </row>
    <row r="346" spans="1:7" x14ac:dyDescent="0.25">
      <c r="A346" t="str">
        <f t="shared" si="5"/>
        <v>C0345</v>
      </c>
      <c r="B346" t="s">
        <v>695</v>
      </c>
      <c r="C346" t="str">
        <f>VLOOKUP(LEFT(B346,FIND(" ",B346)-1),Customer_Helper!$A$2:$B$101,2,FALSE)</f>
        <v>Male</v>
      </c>
      <c r="D346">
        <v>21</v>
      </c>
      <c r="E346" t="s">
        <v>14</v>
      </c>
      <c r="F346" t="str">
        <f>VLOOKUP(E346,Customer_Helper!$F$2:$G$13,2,FALSE)</f>
        <v>South</v>
      </c>
      <c r="G346" t="s">
        <v>185</v>
      </c>
    </row>
    <row r="347" spans="1:7" x14ac:dyDescent="0.25">
      <c r="A347" t="str">
        <f t="shared" si="5"/>
        <v>C0346</v>
      </c>
      <c r="B347" t="s">
        <v>696</v>
      </c>
      <c r="C347" t="str">
        <f>VLOOKUP(LEFT(B347,FIND(" ",B347)-1),Customer_Helper!$A$2:$B$101,2,FALSE)</f>
        <v>Male</v>
      </c>
      <c r="D347">
        <v>18</v>
      </c>
      <c r="E347" t="s">
        <v>7</v>
      </c>
      <c r="F347" t="str">
        <f>VLOOKUP(E347,Customer_Helper!$F$2:$G$13,2,FALSE)</f>
        <v>North</v>
      </c>
      <c r="G347" t="s">
        <v>186</v>
      </c>
    </row>
    <row r="348" spans="1:7" x14ac:dyDescent="0.25">
      <c r="A348" t="str">
        <f t="shared" si="5"/>
        <v>C0347</v>
      </c>
      <c r="B348" t="s">
        <v>697</v>
      </c>
      <c r="C348" t="str">
        <f>VLOOKUP(LEFT(B348,FIND(" ",B348)-1),Customer_Helper!$A$2:$B$101,2,FALSE)</f>
        <v>Female</v>
      </c>
      <c r="D348">
        <v>48</v>
      </c>
      <c r="E348" t="s">
        <v>9</v>
      </c>
      <c r="F348" t="str">
        <f>VLOOKUP(E348,Customer_Helper!$F$2:$G$13,2,FALSE)</f>
        <v>North</v>
      </c>
      <c r="G348" t="s">
        <v>185</v>
      </c>
    </row>
    <row r="349" spans="1:7" x14ac:dyDescent="0.25">
      <c r="A349" t="str">
        <f t="shared" si="5"/>
        <v>C0348</v>
      </c>
      <c r="B349" t="s">
        <v>698</v>
      </c>
      <c r="C349" t="str">
        <f>VLOOKUP(LEFT(B349,FIND(" ",B349)-1),Customer_Helper!$A$2:$B$101,2,FALSE)</f>
        <v>Male</v>
      </c>
      <c r="D349">
        <v>30</v>
      </c>
      <c r="E349" t="s">
        <v>5</v>
      </c>
      <c r="F349" t="str">
        <f>VLOOKUP(E349,Customer_Helper!$F$2:$G$13,2,FALSE)</f>
        <v>West</v>
      </c>
      <c r="G349" t="s">
        <v>187</v>
      </c>
    </row>
    <row r="350" spans="1:7" x14ac:dyDescent="0.25">
      <c r="A350" t="str">
        <f t="shared" si="5"/>
        <v>C0349</v>
      </c>
      <c r="B350" t="s">
        <v>699</v>
      </c>
      <c r="C350" t="str">
        <f>VLOOKUP(LEFT(B350,FIND(" ",B350)-1),Customer_Helper!$A$2:$B$101,2,FALSE)</f>
        <v>Female</v>
      </c>
      <c r="D350">
        <v>43</v>
      </c>
      <c r="E350" t="s">
        <v>17</v>
      </c>
      <c r="F350" t="str">
        <f>VLOOKUP(E350,Customer_Helper!$F$2:$G$13,2,FALSE)</f>
        <v>South</v>
      </c>
      <c r="G350" t="s">
        <v>187</v>
      </c>
    </row>
    <row r="351" spans="1:7" x14ac:dyDescent="0.25">
      <c r="A351" t="str">
        <f t="shared" si="5"/>
        <v>C0350</v>
      </c>
      <c r="B351" t="s">
        <v>700</v>
      </c>
      <c r="C351" t="str">
        <f>VLOOKUP(LEFT(B351,FIND(" ",B351)-1),Customer_Helper!$A$2:$B$101,2,FALSE)</f>
        <v>Female</v>
      </c>
      <c r="D351">
        <v>63</v>
      </c>
      <c r="E351" t="s">
        <v>2</v>
      </c>
      <c r="F351" t="str">
        <f>VLOOKUP(E351,Customer_Helper!$F$2:$G$13,2,FALSE)</f>
        <v>West</v>
      </c>
      <c r="G351" t="s">
        <v>186</v>
      </c>
    </row>
    <row r="352" spans="1:7" x14ac:dyDescent="0.25">
      <c r="A352" t="str">
        <f t="shared" si="5"/>
        <v>C0351</v>
      </c>
      <c r="B352" t="s">
        <v>701</v>
      </c>
      <c r="C352" t="str">
        <f>VLOOKUP(LEFT(B352,FIND(" ",B352)-1),Customer_Helper!$A$2:$B$101,2,FALSE)</f>
        <v>Male</v>
      </c>
      <c r="D352">
        <v>20</v>
      </c>
      <c r="E352" t="s">
        <v>14</v>
      </c>
      <c r="F352" t="str">
        <f>VLOOKUP(E352,Customer_Helper!$F$2:$G$13,2,FALSE)</f>
        <v>South</v>
      </c>
      <c r="G352" t="s">
        <v>187</v>
      </c>
    </row>
    <row r="353" spans="1:7" x14ac:dyDescent="0.25">
      <c r="A353" t="str">
        <f t="shared" si="5"/>
        <v>C0352</v>
      </c>
      <c r="B353" t="s">
        <v>702</v>
      </c>
      <c r="C353" t="str">
        <f>VLOOKUP(LEFT(B353,FIND(" ",B353)-1),Customer_Helper!$A$2:$B$101,2,FALSE)</f>
        <v>Male</v>
      </c>
      <c r="D353">
        <v>32</v>
      </c>
      <c r="E353" t="s">
        <v>16</v>
      </c>
      <c r="F353" t="str">
        <f>VLOOKUP(E353,Customer_Helper!$F$2:$G$13,2,FALSE)</f>
        <v>South</v>
      </c>
      <c r="G353" t="s">
        <v>186</v>
      </c>
    </row>
    <row r="354" spans="1:7" x14ac:dyDescent="0.25">
      <c r="A354" t="str">
        <f t="shared" si="5"/>
        <v>C0353</v>
      </c>
      <c r="B354" t="s">
        <v>703</v>
      </c>
      <c r="C354" t="str">
        <f>VLOOKUP(LEFT(B354,FIND(" ",B354)-1),Customer_Helper!$A$2:$B$101,2,FALSE)</f>
        <v>Male</v>
      </c>
      <c r="D354">
        <v>38</v>
      </c>
      <c r="E354" t="s">
        <v>16</v>
      </c>
      <c r="F354" t="str">
        <f>VLOOKUP(E354,Customer_Helper!$F$2:$G$13,2,FALSE)</f>
        <v>South</v>
      </c>
      <c r="G354" t="s">
        <v>185</v>
      </c>
    </row>
    <row r="355" spans="1:7" x14ac:dyDescent="0.25">
      <c r="A355" t="str">
        <f t="shared" si="5"/>
        <v>C0354</v>
      </c>
      <c r="B355" t="s">
        <v>704</v>
      </c>
      <c r="C355" t="str">
        <f>VLOOKUP(LEFT(B355,FIND(" ",B355)-1),Customer_Helper!$A$2:$B$101,2,FALSE)</f>
        <v>Female</v>
      </c>
      <c r="D355">
        <v>28</v>
      </c>
      <c r="E355" t="s">
        <v>4</v>
      </c>
      <c r="F355" t="str">
        <f>VLOOKUP(E355,Customer_Helper!$F$2:$G$13,2,FALSE)</f>
        <v>West</v>
      </c>
      <c r="G355" t="s">
        <v>186</v>
      </c>
    </row>
    <row r="356" spans="1:7" x14ac:dyDescent="0.25">
      <c r="A356" t="str">
        <f t="shared" si="5"/>
        <v>C0355</v>
      </c>
      <c r="B356" t="s">
        <v>705</v>
      </c>
      <c r="C356" t="str">
        <f>VLOOKUP(LEFT(B356,FIND(" ",B356)-1),Customer_Helper!$A$2:$B$101,2,FALSE)</f>
        <v>Female</v>
      </c>
      <c r="D356">
        <v>30</v>
      </c>
      <c r="E356" t="s">
        <v>16</v>
      </c>
      <c r="F356" t="str">
        <f>VLOOKUP(E356,Customer_Helper!$F$2:$G$13,2,FALSE)</f>
        <v>South</v>
      </c>
      <c r="G356" t="s">
        <v>187</v>
      </c>
    </row>
    <row r="357" spans="1:7" x14ac:dyDescent="0.25">
      <c r="A357" t="str">
        <f t="shared" si="5"/>
        <v>C0356</v>
      </c>
      <c r="B357" t="s">
        <v>706</v>
      </c>
      <c r="C357" t="str">
        <f>VLOOKUP(LEFT(B357,FIND(" ",B357)-1),Customer_Helper!$A$2:$B$101,2,FALSE)</f>
        <v>Male</v>
      </c>
      <c r="D357">
        <v>19</v>
      </c>
      <c r="E357" t="s">
        <v>11</v>
      </c>
      <c r="F357" t="str">
        <f>VLOOKUP(E357,Customer_Helper!$F$2:$G$13,2,FALSE)</f>
        <v>East</v>
      </c>
      <c r="G357" t="s">
        <v>187</v>
      </c>
    </row>
    <row r="358" spans="1:7" x14ac:dyDescent="0.25">
      <c r="A358" t="str">
        <f t="shared" si="5"/>
        <v>C0357</v>
      </c>
      <c r="B358" t="s">
        <v>707</v>
      </c>
      <c r="C358" t="str">
        <f>VLOOKUP(LEFT(B358,FIND(" ",B358)-1),Customer_Helper!$A$2:$B$101,2,FALSE)</f>
        <v>Male</v>
      </c>
      <c r="D358">
        <v>38</v>
      </c>
      <c r="E358" t="s">
        <v>14</v>
      </c>
      <c r="F358" t="str">
        <f>VLOOKUP(E358,Customer_Helper!$F$2:$G$13,2,FALSE)</f>
        <v>South</v>
      </c>
      <c r="G358" t="s">
        <v>186</v>
      </c>
    </row>
    <row r="359" spans="1:7" x14ac:dyDescent="0.25">
      <c r="A359" t="str">
        <f t="shared" si="5"/>
        <v>C0358</v>
      </c>
      <c r="B359" t="s">
        <v>708</v>
      </c>
      <c r="C359" t="str">
        <f>VLOOKUP(LEFT(B359,FIND(" ",B359)-1),Customer_Helper!$A$2:$B$101,2,FALSE)</f>
        <v>Male</v>
      </c>
      <c r="D359">
        <v>43</v>
      </c>
      <c r="E359" t="s">
        <v>10</v>
      </c>
      <c r="F359" t="str">
        <f>VLOOKUP(E359,Customer_Helper!$F$2:$G$13,2,FALSE)</f>
        <v>North</v>
      </c>
      <c r="G359" t="s">
        <v>186</v>
      </c>
    </row>
    <row r="360" spans="1:7" x14ac:dyDescent="0.25">
      <c r="A360" t="str">
        <f t="shared" si="5"/>
        <v>C0359</v>
      </c>
      <c r="B360" t="s">
        <v>709</v>
      </c>
      <c r="C360" t="str">
        <f>VLOOKUP(LEFT(B360,FIND(" ",B360)-1),Customer_Helper!$A$2:$B$101,2,FALSE)</f>
        <v>Female</v>
      </c>
      <c r="D360">
        <v>28</v>
      </c>
      <c r="E360" t="s">
        <v>17</v>
      </c>
      <c r="F360" t="str">
        <f>VLOOKUP(E360,Customer_Helper!$F$2:$G$13,2,FALSE)</f>
        <v>South</v>
      </c>
      <c r="G360" t="s">
        <v>187</v>
      </c>
    </row>
    <row r="361" spans="1:7" x14ac:dyDescent="0.25">
      <c r="A361" t="str">
        <f t="shared" si="5"/>
        <v>C0360</v>
      </c>
      <c r="B361" t="s">
        <v>710</v>
      </c>
      <c r="C361" t="str">
        <f>VLOOKUP(LEFT(B361,FIND(" ",B361)-1),Customer_Helper!$A$2:$B$101,2,FALSE)</f>
        <v>Female</v>
      </c>
      <c r="D361">
        <v>31</v>
      </c>
      <c r="E361" t="s">
        <v>16</v>
      </c>
      <c r="F361" t="str">
        <f>VLOOKUP(E361,Customer_Helper!$F$2:$G$13,2,FALSE)</f>
        <v>South</v>
      </c>
      <c r="G361" t="s">
        <v>185</v>
      </c>
    </row>
    <row r="362" spans="1:7" x14ac:dyDescent="0.25">
      <c r="A362" t="str">
        <f t="shared" si="5"/>
        <v>C0361</v>
      </c>
      <c r="B362" t="s">
        <v>711</v>
      </c>
      <c r="C362" t="str">
        <f>VLOOKUP(LEFT(B362,FIND(" ",B362)-1),Customer_Helper!$A$2:$B$101,2,FALSE)</f>
        <v>Female</v>
      </c>
      <c r="D362">
        <v>27</v>
      </c>
      <c r="E362" t="s">
        <v>5</v>
      </c>
      <c r="F362" t="str">
        <f>VLOOKUP(E362,Customer_Helper!$F$2:$G$13,2,FALSE)</f>
        <v>West</v>
      </c>
      <c r="G362" t="s">
        <v>186</v>
      </c>
    </row>
    <row r="363" spans="1:7" x14ac:dyDescent="0.25">
      <c r="A363" t="str">
        <f t="shared" si="5"/>
        <v>C0362</v>
      </c>
      <c r="B363" t="s">
        <v>712</v>
      </c>
      <c r="C363" t="str">
        <f>VLOOKUP(LEFT(B363,FIND(" ",B363)-1),Customer_Helper!$A$2:$B$101,2,FALSE)</f>
        <v>Female</v>
      </c>
      <c r="D363">
        <v>42</v>
      </c>
      <c r="E363" t="s">
        <v>289</v>
      </c>
      <c r="F363" t="str">
        <f>VLOOKUP(E363,Customer_Helper!$F$2:$G$13,2,FALSE)</f>
        <v>West</v>
      </c>
      <c r="G363" t="s">
        <v>186</v>
      </c>
    </row>
    <row r="364" spans="1:7" x14ac:dyDescent="0.25">
      <c r="A364" t="str">
        <f t="shared" si="5"/>
        <v>C0363</v>
      </c>
      <c r="B364" t="s">
        <v>713</v>
      </c>
      <c r="C364" t="str">
        <f>VLOOKUP(LEFT(B364,FIND(" ",B364)-1),Customer_Helper!$A$2:$B$101,2,FALSE)</f>
        <v>Female</v>
      </c>
      <c r="D364">
        <v>26</v>
      </c>
      <c r="E364" t="s">
        <v>7</v>
      </c>
      <c r="F364" t="str">
        <f>VLOOKUP(E364,Customer_Helper!$F$2:$G$13,2,FALSE)</f>
        <v>North</v>
      </c>
      <c r="G364" t="s">
        <v>185</v>
      </c>
    </row>
    <row r="365" spans="1:7" x14ac:dyDescent="0.25">
      <c r="A365" t="str">
        <f t="shared" si="5"/>
        <v>C0364</v>
      </c>
      <c r="B365" t="s">
        <v>714</v>
      </c>
      <c r="C365" t="str">
        <f>VLOOKUP(LEFT(B365,FIND(" ",B365)-1),Customer_Helper!$A$2:$B$101,2,FALSE)</f>
        <v>Male</v>
      </c>
      <c r="D365">
        <v>51</v>
      </c>
      <c r="E365" t="s">
        <v>11</v>
      </c>
      <c r="F365" t="str">
        <f>VLOOKUP(E365,Customer_Helper!$F$2:$G$13,2,FALSE)</f>
        <v>East</v>
      </c>
      <c r="G365" t="s">
        <v>187</v>
      </c>
    </row>
    <row r="366" spans="1:7" x14ac:dyDescent="0.25">
      <c r="A366" t="str">
        <f t="shared" si="5"/>
        <v>C0365</v>
      </c>
      <c r="B366" t="s">
        <v>715</v>
      </c>
      <c r="C366" t="str">
        <f>VLOOKUP(LEFT(B366,FIND(" ",B366)-1),Customer_Helper!$A$2:$B$101,2,FALSE)</f>
        <v>Male</v>
      </c>
      <c r="D366">
        <v>43</v>
      </c>
      <c r="E366" t="s">
        <v>5</v>
      </c>
      <c r="F366" t="str">
        <f>VLOOKUP(E366,Customer_Helper!$F$2:$G$13,2,FALSE)</f>
        <v>West</v>
      </c>
      <c r="G366" t="s">
        <v>186</v>
      </c>
    </row>
    <row r="367" spans="1:7" x14ac:dyDescent="0.25">
      <c r="A367" t="str">
        <f t="shared" si="5"/>
        <v>C0366</v>
      </c>
      <c r="B367" t="s">
        <v>716</v>
      </c>
      <c r="C367" t="str">
        <f>VLOOKUP(LEFT(B367,FIND(" ",B367)-1),Customer_Helper!$A$2:$B$101,2,FALSE)</f>
        <v>Male</v>
      </c>
      <c r="D367">
        <v>42</v>
      </c>
      <c r="E367" t="s">
        <v>17</v>
      </c>
      <c r="F367" t="str">
        <f>VLOOKUP(E367,Customer_Helper!$F$2:$G$13,2,FALSE)</f>
        <v>South</v>
      </c>
      <c r="G367" t="s">
        <v>186</v>
      </c>
    </row>
    <row r="368" spans="1:7" x14ac:dyDescent="0.25">
      <c r="A368" t="str">
        <f t="shared" si="5"/>
        <v>C0367</v>
      </c>
      <c r="B368" t="s">
        <v>717</v>
      </c>
      <c r="C368" t="str">
        <f>VLOOKUP(LEFT(B368,FIND(" ",B368)-1),Customer_Helper!$A$2:$B$101,2,FALSE)</f>
        <v>Male</v>
      </c>
      <c r="D368">
        <v>47</v>
      </c>
      <c r="E368" t="s">
        <v>14</v>
      </c>
      <c r="F368" t="str">
        <f>VLOOKUP(E368,Customer_Helper!$F$2:$G$13,2,FALSE)</f>
        <v>South</v>
      </c>
      <c r="G368" t="s">
        <v>185</v>
      </c>
    </row>
    <row r="369" spans="1:7" x14ac:dyDescent="0.25">
      <c r="A369" t="str">
        <f t="shared" si="5"/>
        <v>C0368</v>
      </c>
      <c r="B369" t="s">
        <v>718</v>
      </c>
      <c r="C369" t="str">
        <f>VLOOKUP(LEFT(B369,FIND(" ",B369)-1),Customer_Helper!$A$2:$B$101,2,FALSE)</f>
        <v>Female</v>
      </c>
      <c r="D369">
        <v>65</v>
      </c>
      <c r="E369" t="s">
        <v>2</v>
      </c>
      <c r="F369" t="str">
        <f>VLOOKUP(E369,Customer_Helper!$F$2:$G$13,2,FALSE)</f>
        <v>West</v>
      </c>
      <c r="G369" t="s">
        <v>185</v>
      </c>
    </row>
    <row r="370" spans="1:7" x14ac:dyDescent="0.25">
      <c r="A370" t="str">
        <f t="shared" si="5"/>
        <v>C0369</v>
      </c>
      <c r="B370" t="s">
        <v>719</v>
      </c>
      <c r="C370" t="str">
        <f>VLOOKUP(LEFT(B370,FIND(" ",B370)-1),Customer_Helper!$A$2:$B$101,2,FALSE)</f>
        <v>Male</v>
      </c>
      <c r="D370">
        <v>43</v>
      </c>
      <c r="E370" t="s">
        <v>290</v>
      </c>
      <c r="F370" t="str">
        <f>VLOOKUP(E370,Customer_Helper!$F$2:$G$13,2,FALSE)</f>
        <v>West</v>
      </c>
      <c r="G370" t="s">
        <v>187</v>
      </c>
    </row>
    <row r="371" spans="1:7" x14ac:dyDescent="0.25">
      <c r="A371" t="str">
        <f t="shared" si="5"/>
        <v>C0370</v>
      </c>
      <c r="B371" t="s">
        <v>720</v>
      </c>
      <c r="C371" t="str">
        <f>VLOOKUP(LEFT(B371,FIND(" ",B371)-1),Customer_Helper!$A$2:$B$101,2,FALSE)</f>
        <v>Male</v>
      </c>
      <c r="D371">
        <v>39</v>
      </c>
      <c r="E371" t="s">
        <v>17</v>
      </c>
      <c r="F371" t="str">
        <f>VLOOKUP(E371,Customer_Helper!$F$2:$G$13,2,FALSE)</f>
        <v>South</v>
      </c>
      <c r="G371" t="s">
        <v>187</v>
      </c>
    </row>
    <row r="372" spans="1:7" x14ac:dyDescent="0.25">
      <c r="A372" t="str">
        <f t="shared" si="5"/>
        <v>C0371</v>
      </c>
      <c r="B372" t="s">
        <v>721</v>
      </c>
      <c r="C372" t="str">
        <f>VLOOKUP(LEFT(B372,FIND(" ",B372)-1),Customer_Helper!$A$2:$B$101,2,FALSE)</f>
        <v>Male</v>
      </c>
      <c r="D372">
        <v>43</v>
      </c>
      <c r="E372" t="s">
        <v>7</v>
      </c>
      <c r="F372" t="str">
        <f>VLOOKUP(E372,Customer_Helper!$F$2:$G$13,2,FALSE)</f>
        <v>North</v>
      </c>
      <c r="G372" t="s">
        <v>187</v>
      </c>
    </row>
    <row r="373" spans="1:7" x14ac:dyDescent="0.25">
      <c r="A373" t="str">
        <f t="shared" si="5"/>
        <v>C0372</v>
      </c>
      <c r="B373" t="s">
        <v>646</v>
      </c>
      <c r="C373" t="str">
        <f>VLOOKUP(LEFT(B373,FIND(" ",B373)-1),Customer_Helper!$A$2:$B$101,2,FALSE)</f>
        <v>Female</v>
      </c>
      <c r="D373">
        <v>50</v>
      </c>
      <c r="E373" t="s">
        <v>290</v>
      </c>
      <c r="F373" t="str">
        <f>VLOOKUP(E373,Customer_Helper!$F$2:$G$13,2,FALSE)</f>
        <v>West</v>
      </c>
      <c r="G373" t="s">
        <v>186</v>
      </c>
    </row>
    <row r="374" spans="1:7" x14ac:dyDescent="0.25">
      <c r="A374" t="str">
        <f t="shared" si="5"/>
        <v>C0373</v>
      </c>
      <c r="B374" t="s">
        <v>722</v>
      </c>
      <c r="C374" t="str">
        <f>VLOOKUP(LEFT(B374,FIND(" ",B374)-1),Customer_Helper!$A$2:$B$101,2,FALSE)</f>
        <v>Female</v>
      </c>
      <c r="D374">
        <v>44</v>
      </c>
      <c r="E374" t="s">
        <v>4</v>
      </c>
      <c r="F374" t="str">
        <f>VLOOKUP(E374,Customer_Helper!$F$2:$G$13,2,FALSE)</f>
        <v>West</v>
      </c>
      <c r="G374" t="s">
        <v>187</v>
      </c>
    </row>
    <row r="375" spans="1:7" x14ac:dyDescent="0.25">
      <c r="A375" t="str">
        <f t="shared" si="5"/>
        <v>C0374</v>
      </c>
      <c r="B375" t="s">
        <v>723</v>
      </c>
      <c r="C375" t="str">
        <f>VLOOKUP(LEFT(B375,FIND(" ",B375)-1),Customer_Helper!$A$2:$B$101,2,FALSE)</f>
        <v>Female</v>
      </c>
      <c r="D375">
        <v>46</v>
      </c>
      <c r="E375" t="s">
        <v>7</v>
      </c>
      <c r="F375" t="str">
        <f>VLOOKUP(E375,Customer_Helper!$F$2:$G$13,2,FALSE)</f>
        <v>North</v>
      </c>
      <c r="G375" t="s">
        <v>187</v>
      </c>
    </row>
    <row r="376" spans="1:7" x14ac:dyDescent="0.25">
      <c r="A376" t="str">
        <f t="shared" si="5"/>
        <v>C0375</v>
      </c>
      <c r="B376" t="s">
        <v>724</v>
      </c>
      <c r="C376" t="str">
        <f>VLOOKUP(LEFT(B376,FIND(" ",B376)-1),Customer_Helper!$A$2:$B$101,2,FALSE)</f>
        <v>Male</v>
      </c>
      <c r="D376">
        <v>64</v>
      </c>
      <c r="E376" t="s">
        <v>7</v>
      </c>
      <c r="F376" t="str">
        <f>VLOOKUP(E376,Customer_Helper!$F$2:$G$13,2,FALSE)</f>
        <v>North</v>
      </c>
      <c r="G376" t="s">
        <v>187</v>
      </c>
    </row>
    <row r="377" spans="1:7" x14ac:dyDescent="0.25">
      <c r="A377" t="str">
        <f t="shared" si="5"/>
        <v>C0376</v>
      </c>
      <c r="B377" t="s">
        <v>725</v>
      </c>
      <c r="C377" t="str">
        <f>VLOOKUP(LEFT(B377,FIND(" ",B377)-1),Customer_Helper!$A$2:$B$101,2,FALSE)</f>
        <v>Male</v>
      </c>
      <c r="D377">
        <v>64</v>
      </c>
      <c r="E377" t="s">
        <v>11</v>
      </c>
      <c r="F377" t="str">
        <f>VLOOKUP(E377,Customer_Helper!$F$2:$G$13,2,FALSE)</f>
        <v>East</v>
      </c>
      <c r="G377" t="s">
        <v>187</v>
      </c>
    </row>
    <row r="378" spans="1:7" x14ac:dyDescent="0.25">
      <c r="A378" t="str">
        <f t="shared" si="5"/>
        <v>C0377</v>
      </c>
      <c r="B378" t="s">
        <v>726</v>
      </c>
      <c r="C378" t="str">
        <f>VLOOKUP(LEFT(B378,FIND(" ",B378)-1),Customer_Helper!$A$2:$B$101,2,FALSE)</f>
        <v>Male</v>
      </c>
      <c r="D378">
        <v>54</v>
      </c>
      <c r="E378" t="s">
        <v>2</v>
      </c>
      <c r="F378" t="str">
        <f>VLOOKUP(E378,Customer_Helper!$F$2:$G$13,2,FALSE)</f>
        <v>West</v>
      </c>
      <c r="G378" t="s">
        <v>185</v>
      </c>
    </row>
    <row r="379" spans="1:7" x14ac:dyDescent="0.25">
      <c r="A379" t="str">
        <f t="shared" si="5"/>
        <v>C0378</v>
      </c>
      <c r="B379" t="s">
        <v>727</v>
      </c>
      <c r="C379" t="str">
        <f>VLOOKUP(LEFT(B379,FIND(" ",B379)-1),Customer_Helper!$A$2:$B$101,2,FALSE)</f>
        <v>Female</v>
      </c>
      <c r="D379">
        <v>44</v>
      </c>
      <c r="E379" t="s">
        <v>7</v>
      </c>
      <c r="F379" t="str">
        <f>VLOOKUP(E379,Customer_Helper!$F$2:$G$13,2,FALSE)</f>
        <v>North</v>
      </c>
      <c r="G379" t="s">
        <v>186</v>
      </c>
    </row>
    <row r="380" spans="1:7" x14ac:dyDescent="0.25">
      <c r="A380" t="str">
        <f t="shared" si="5"/>
        <v>C0379</v>
      </c>
      <c r="B380" t="s">
        <v>365</v>
      </c>
      <c r="C380" t="str">
        <f>VLOOKUP(LEFT(B380,FIND(" ",B380)-1),Customer_Helper!$A$2:$B$101,2,FALSE)</f>
        <v>Female</v>
      </c>
      <c r="D380">
        <v>43</v>
      </c>
      <c r="E380" t="s">
        <v>10</v>
      </c>
      <c r="F380" t="str">
        <f>VLOOKUP(E380,Customer_Helper!$F$2:$G$13,2,FALSE)</f>
        <v>North</v>
      </c>
      <c r="G380" t="s">
        <v>185</v>
      </c>
    </row>
    <row r="381" spans="1:7" x14ac:dyDescent="0.25">
      <c r="A381" t="str">
        <f t="shared" si="5"/>
        <v>C0380</v>
      </c>
      <c r="B381" t="s">
        <v>728</v>
      </c>
      <c r="C381" t="str">
        <f>VLOOKUP(LEFT(B381,FIND(" ",B381)-1),Customer_Helper!$A$2:$B$101,2,FALSE)</f>
        <v>Male</v>
      </c>
      <c r="D381">
        <v>20</v>
      </c>
      <c r="E381" t="s">
        <v>11</v>
      </c>
      <c r="F381" t="str">
        <f>VLOOKUP(E381,Customer_Helper!$F$2:$G$13,2,FALSE)</f>
        <v>East</v>
      </c>
      <c r="G381" t="s">
        <v>185</v>
      </c>
    </row>
    <row r="382" spans="1:7" x14ac:dyDescent="0.25">
      <c r="A382" t="str">
        <f t="shared" si="5"/>
        <v>C0381</v>
      </c>
      <c r="B382" t="s">
        <v>729</v>
      </c>
      <c r="C382" t="str">
        <f>VLOOKUP(LEFT(B382,FIND(" ",B382)-1),Customer_Helper!$A$2:$B$101,2,FALSE)</f>
        <v>Female</v>
      </c>
      <c r="D382">
        <v>57</v>
      </c>
      <c r="E382" t="s">
        <v>10</v>
      </c>
      <c r="F382" t="str">
        <f>VLOOKUP(E382,Customer_Helper!$F$2:$G$13,2,FALSE)</f>
        <v>North</v>
      </c>
      <c r="G382" t="s">
        <v>187</v>
      </c>
    </row>
    <row r="383" spans="1:7" x14ac:dyDescent="0.25">
      <c r="A383" t="str">
        <f t="shared" si="5"/>
        <v>C0382</v>
      </c>
      <c r="B383" t="s">
        <v>730</v>
      </c>
      <c r="C383" t="str">
        <f>VLOOKUP(LEFT(B383,FIND(" ",B383)-1),Customer_Helper!$A$2:$B$101,2,FALSE)</f>
        <v>Male</v>
      </c>
      <c r="D383">
        <v>62</v>
      </c>
      <c r="E383" t="s">
        <v>290</v>
      </c>
      <c r="F383" t="str">
        <f>VLOOKUP(E383,Customer_Helper!$F$2:$G$13,2,FALSE)</f>
        <v>West</v>
      </c>
      <c r="G383" t="s">
        <v>187</v>
      </c>
    </row>
    <row r="384" spans="1:7" x14ac:dyDescent="0.25">
      <c r="A384" t="str">
        <f t="shared" si="5"/>
        <v>C0383</v>
      </c>
      <c r="B384" t="s">
        <v>731</v>
      </c>
      <c r="C384" t="str">
        <f>VLOOKUP(LEFT(B384,FIND(" ",B384)-1),Customer_Helper!$A$2:$B$101,2,FALSE)</f>
        <v>Male</v>
      </c>
      <c r="D384">
        <v>52</v>
      </c>
      <c r="E384" t="s">
        <v>5</v>
      </c>
      <c r="F384" t="str">
        <f>VLOOKUP(E384,Customer_Helper!$F$2:$G$13,2,FALSE)</f>
        <v>West</v>
      </c>
      <c r="G384" t="s">
        <v>185</v>
      </c>
    </row>
    <row r="385" spans="1:7" x14ac:dyDescent="0.25">
      <c r="A385" t="str">
        <f t="shared" si="5"/>
        <v>C0384</v>
      </c>
      <c r="B385" t="s">
        <v>732</v>
      </c>
      <c r="C385" t="str">
        <f>VLOOKUP(LEFT(B385,FIND(" ",B385)-1),Customer_Helper!$A$2:$B$101,2,FALSE)</f>
        <v>Male</v>
      </c>
      <c r="D385">
        <v>24</v>
      </c>
      <c r="E385" t="s">
        <v>290</v>
      </c>
      <c r="F385" t="str">
        <f>VLOOKUP(E385,Customer_Helper!$F$2:$G$13,2,FALSE)</f>
        <v>West</v>
      </c>
      <c r="G385" t="s">
        <v>187</v>
      </c>
    </row>
    <row r="386" spans="1:7" x14ac:dyDescent="0.25">
      <c r="A386" t="str">
        <f t="shared" si="5"/>
        <v>C0385</v>
      </c>
      <c r="B386" t="s">
        <v>733</v>
      </c>
      <c r="C386" t="str">
        <f>VLOOKUP(LEFT(B386,FIND(" ",B386)-1),Customer_Helper!$A$2:$B$101,2,FALSE)</f>
        <v>Female</v>
      </c>
      <c r="D386">
        <v>18</v>
      </c>
      <c r="E386" t="s">
        <v>290</v>
      </c>
      <c r="F386" t="str">
        <f>VLOOKUP(E386,Customer_Helper!$F$2:$G$13,2,FALSE)</f>
        <v>West</v>
      </c>
      <c r="G386" t="s">
        <v>185</v>
      </c>
    </row>
    <row r="387" spans="1:7" x14ac:dyDescent="0.25">
      <c r="A387" t="str">
        <f t="shared" ref="A387:A450" si="6">"C"&amp;TEXT(ROW()-1,"0000")</f>
        <v>C0386</v>
      </c>
      <c r="B387" t="s">
        <v>734</v>
      </c>
      <c r="C387" t="str">
        <f>VLOOKUP(LEFT(B387,FIND(" ",B387)-1),Customer_Helper!$A$2:$B$101,2,FALSE)</f>
        <v>Female</v>
      </c>
      <c r="D387">
        <v>38</v>
      </c>
      <c r="E387" t="s">
        <v>16</v>
      </c>
      <c r="F387" t="str">
        <f>VLOOKUP(E387,Customer_Helper!$F$2:$G$13,2,FALSE)</f>
        <v>South</v>
      </c>
      <c r="G387" t="s">
        <v>185</v>
      </c>
    </row>
    <row r="388" spans="1:7" x14ac:dyDescent="0.25">
      <c r="A388" t="str">
        <f t="shared" si="6"/>
        <v>C0387</v>
      </c>
      <c r="B388" t="s">
        <v>392</v>
      </c>
      <c r="C388" t="str">
        <f>VLOOKUP(LEFT(B388,FIND(" ",B388)-1),Customer_Helper!$A$2:$B$101,2,FALSE)</f>
        <v>Male</v>
      </c>
      <c r="D388">
        <v>19</v>
      </c>
      <c r="E388" t="s">
        <v>14</v>
      </c>
      <c r="F388" t="str">
        <f>VLOOKUP(E388,Customer_Helper!$F$2:$G$13,2,FALSE)</f>
        <v>South</v>
      </c>
      <c r="G388" t="s">
        <v>187</v>
      </c>
    </row>
    <row r="389" spans="1:7" x14ac:dyDescent="0.25">
      <c r="A389" t="str">
        <f t="shared" si="6"/>
        <v>C0388</v>
      </c>
      <c r="B389" t="s">
        <v>365</v>
      </c>
      <c r="C389" t="str">
        <f>VLOOKUP(LEFT(B389,FIND(" ",B389)-1),Customer_Helper!$A$2:$B$101,2,FALSE)</f>
        <v>Female</v>
      </c>
      <c r="D389">
        <v>61</v>
      </c>
      <c r="E389" t="s">
        <v>7</v>
      </c>
      <c r="F389" t="str">
        <f>VLOOKUP(E389,Customer_Helper!$F$2:$G$13,2,FALSE)</f>
        <v>North</v>
      </c>
      <c r="G389" t="s">
        <v>185</v>
      </c>
    </row>
    <row r="390" spans="1:7" x14ac:dyDescent="0.25">
      <c r="A390" t="str">
        <f t="shared" si="6"/>
        <v>C0389</v>
      </c>
      <c r="B390" t="s">
        <v>434</v>
      </c>
      <c r="C390" t="str">
        <f>VLOOKUP(LEFT(B390,FIND(" ",B390)-1),Customer_Helper!$A$2:$B$101,2,FALSE)</f>
        <v>Male</v>
      </c>
      <c r="D390">
        <v>62</v>
      </c>
      <c r="E390" t="s">
        <v>10</v>
      </c>
      <c r="F390" t="str">
        <f>VLOOKUP(E390,Customer_Helper!$F$2:$G$13,2,FALSE)</f>
        <v>North</v>
      </c>
      <c r="G390" t="s">
        <v>185</v>
      </c>
    </row>
    <row r="391" spans="1:7" x14ac:dyDescent="0.25">
      <c r="A391" t="str">
        <f t="shared" si="6"/>
        <v>C0390</v>
      </c>
      <c r="B391" t="s">
        <v>735</v>
      </c>
      <c r="C391" t="str">
        <f>VLOOKUP(LEFT(B391,FIND(" ",B391)-1),Customer_Helper!$A$2:$B$101,2,FALSE)</f>
        <v>Male</v>
      </c>
      <c r="D391">
        <v>36</v>
      </c>
      <c r="E391" t="s">
        <v>14</v>
      </c>
      <c r="F391" t="str">
        <f>VLOOKUP(E391,Customer_Helper!$F$2:$G$13,2,FALSE)</f>
        <v>South</v>
      </c>
      <c r="G391" t="s">
        <v>185</v>
      </c>
    </row>
    <row r="392" spans="1:7" x14ac:dyDescent="0.25">
      <c r="A392" t="str">
        <f t="shared" si="6"/>
        <v>C0391</v>
      </c>
      <c r="B392" t="s">
        <v>736</v>
      </c>
      <c r="C392" t="str">
        <f>VLOOKUP(LEFT(B392,FIND(" ",B392)-1),Customer_Helper!$A$2:$B$101,2,FALSE)</f>
        <v>Female</v>
      </c>
      <c r="D392">
        <v>24</v>
      </c>
      <c r="E392" t="s">
        <v>290</v>
      </c>
      <c r="F392" t="str">
        <f>VLOOKUP(E392,Customer_Helper!$F$2:$G$13,2,FALSE)</f>
        <v>West</v>
      </c>
      <c r="G392" t="s">
        <v>187</v>
      </c>
    </row>
    <row r="393" spans="1:7" x14ac:dyDescent="0.25">
      <c r="A393" t="str">
        <f t="shared" si="6"/>
        <v>C0392</v>
      </c>
      <c r="B393" t="s">
        <v>737</v>
      </c>
      <c r="C393" t="str">
        <f>VLOOKUP(LEFT(B393,FIND(" ",B393)-1),Customer_Helper!$A$2:$B$101,2,FALSE)</f>
        <v>Male</v>
      </c>
      <c r="D393">
        <v>56</v>
      </c>
      <c r="E393" t="s">
        <v>2</v>
      </c>
      <c r="F393" t="str">
        <f>VLOOKUP(E393,Customer_Helper!$F$2:$G$13,2,FALSE)</f>
        <v>West</v>
      </c>
      <c r="G393" t="s">
        <v>185</v>
      </c>
    </row>
    <row r="394" spans="1:7" x14ac:dyDescent="0.25">
      <c r="A394" t="str">
        <f t="shared" si="6"/>
        <v>C0393</v>
      </c>
      <c r="B394" t="s">
        <v>738</v>
      </c>
      <c r="C394" t="str">
        <f>VLOOKUP(LEFT(B394,FIND(" ",B394)-1),Customer_Helper!$A$2:$B$101,2,FALSE)</f>
        <v>Male</v>
      </c>
      <c r="D394">
        <v>32</v>
      </c>
      <c r="E394" t="s">
        <v>11</v>
      </c>
      <c r="F394" t="str">
        <f>VLOOKUP(E394,Customer_Helper!$F$2:$G$13,2,FALSE)</f>
        <v>East</v>
      </c>
      <c r="G394" t="s">
        <v>187</v>
      </c>
    </row>
    <row r="395" spans="1:7" x14ac:dyDescent="0.25">
      <c r="A395" t="str">
        <f t="shared" si="6"/>
        <v>C0394</v>
      </c>
      <c r="B395" t="s">
        <v>739</v>
      </c>
      <c r="C395" t="str">
        <f>VLOOKUP(LEFT(B395,FIND(" ",B395)-1),Customer_Helper!$A$2:$B$101,2,FALSE)</f>
        <v>Male</v>
      </c>
      <c r="D395">
        <v>32</v>
      </c>
      <c r="E395" t="s">
        <v>289</v>
      </c>
      <c r="F395" t="str">
        <f>VLOOKUP(E395,Customer_Helper!$F$2:$G$13,2,FALSE)</f>
        <v>West</v>
      </c>
      <c r="G395" t="s">
        <v>186</v>
      </c>
    </row>
    <row r="396" spans="1:7" x14ac:dyDescent="0.25">
      <c r="A396" t="str">
        <f t="shared" si="6"/>
        <v>C0395</v>
      </c>
      <c r="B396" t="s">
        <v>740</v>
      </c>
      <c r="C396" t="str">
        <f>VLOOKUP(LEFT(B396,FIND(" ",B396)-1),Customer_Helper!$A$2:$B$101,2,FALSE)</f>
        <v>Female</v>
      </c>
      <c r="D396">
        <v>20</v>
      </c>
      <c r="E396" t="s">
        <v>4</v>
      </c>
      <c r="F396" t="str">
        <f>VLOOKUP(E396,Customer_Helper!$F$2:$G$13,2,FALSE)</f>
        <v>West</v>
      </c>
      <c r="G396" t="s">
        <v>186</v>
      </c>
    </row>
    <row r="397" spans="1:7" x14ac:dyDescent="0.25">
      <c r="A397" t="str">
        <f t="shared" si="6"/>
        <v>C0396</v>
      </c>
      <c r="B397" t="s">
        <v>741</v>
      </c>
      <c r="C397" t="str">
        <f>VLOOKUP(LEFT(B397,FIND(" ",B397)-1),Customer_Helper!$A$2:$B$101,2,FALSE)</f>
        <v>Female</v>
      </c>
      <c r="D397">
        <v>34</v>
      </c>
      <c r="E397" t="s">
        <v>4</v>
      </c>
      <c r="F397" t="str">
        <f>VLOOKUP(E397,Customer_Helper!$F$2:$G$13,2,FALSE)</f>
        <v>West</v>
      </c>
      <c r="G397" t="s">
        <v>187</v>
      </c>
    </row>
    <row r="398" spans="1:7" x14ac:dyDescent="0.25">
      <c r="A398" t="str">
        <f t="shared" si="6"/>
        <v>C0397</v>
      </c>
      <c r="B398" t="s">
        <v>742</v>
      </c>
      <c r="C398" t="str">
        <f>VLOOKUP(LEFT(B398,FIND(" ",B398)-1),Customer_Helper!$A$2:$B$101,2,FALSE)</f>
        <v>Female</v>
      </c>
      <c r="D398">
        <v>63</v>
      </c>
      <c r="E398" t="s">
        <v>4</v>
      </c>
      <c r="F398" t="str">
        <f>VLOOKUP(E398,Customer_Helper!$F$2:$G$13,2,FALSE)</f>
        <v>West</v>
      </c>
      <c r="G398" t="s">
        <v>185</v>
      </c>
    </row>
    <row r="399" spans="1:7" x14ac:dyDescent="0.25">
      <c r="A399" t="str">
        <f t="shared" si="6"/>
        <v>C0398</v>
      </c>
      <c r="B399" t="s">
        <v>743</v>
      </c>
      <c r="C399" t="str">
        <f>VLOOKUP(LEFT(B399,FIND(" ",B399)-1),Customer_Helper!$A$2:$B$101,2,FALSE)</f>
        <v>Male</v>
      </c>
      <c r="D399">
        <v>43</v>
      </c>
      <c r="E399" t="s">
        <v>16</v>
      </c>
      <c r="F399" t="str">
        <f>VLOOKUP(E399,Customer_Helper!$F$2:$G$13,2,FALSE)</f>
        <v>South</v>
      </c>
      <c r="G399" t="s">
        <v>186</v>
      </c>
    </row>
    <row r="400" spans="1:7" x14ac:dyDescent="0.25">
      <c r="A400" t="str">
        <f t="shared" si="6"/>
        <v>C0399</v>
      </c>
      <c r="B400" t="s">
        <v>744</v>
      </c>
      <c r="C400" t="str">
        <f>VLOOKUP(LEFT(B400,FIND(" ",B400)-1),Customer_Helper!$A$2:$B$101,2,FALSE)</f>
        <v>Male</v>
      </c>
      <c r="D400">
        <v>42</v>
      </c>
      <c r="E400" t="s">
        <v>16</v>
      </c>
      <c r="F400" t="str">
        <f>VLOOKUP(E400,Customer_Helper!$F$2:$G$13,2,FALSE)</f>
        <v>South</v>
      </c>
      <c r="G400" t="s">
        <v>185</v>
      </c>
    </row>
    <row r="401" spans="1:7" x14ac:dyDescent="0.25">
      <c r="A401" t="str">
        <f t="shared" si="6"/>
        <v>C0400</v>
      </c>
      <c r="B401" t="s">
        <v>745</v>
      </c>
      <c r="C401" t="str">
        <f>VLOOKUP(LEFT(B401,FIND(" ",B401)-1),Customer_Helper!$A$2:$B$101,2,FALSE)</f>
        <v>Male</v>
      </c>
      <c r="D401">
        <v>35</v>
      </c>
      <c r="E401" t="s">
        <v>14</v>
      </c>
      <c r="F401" t="str">
        <f>VLOOKUP(E401,Customer_Helper!$F$2:$G$13,2,FALSE)</f>
        <v>South</v>
      </c>
      <c r="G401" t="s">
        <v>185</v>
      </c>
    </row>
    <row r="402" spans="1:7" x14ac:dyDescent="0.25">
      <c r="A402" t="str">
        <f t="shared" si="6"/>
        <v>C0401</v>
      </c>
      <c r="B402" t="s">
        <v>746</v>
      </c>
      <c r="C402" t="str">
        <f>VLOOKUP(LEFT(B402,FIND(" ",B402)-1),Customer_Helper!$A$2:$B$101,2,FALSE)</f>
        <v>Male</v>
      </c>
      <c r="D402">
        <v>45</v>
      </c>
      <c r="E402" t="s">
        <v>2</v>
      </c>
      <c r="F402" t="str">
        <f>VLOOKUP(E402,Customer_Helper!$F$2:$G$13,2,FALSE)</f>
        <v>West</v>
      </c>
      <c r="G402" t="s">
        <v>185</v>
      </c>
    </row>
    <row r="403" spans="1:7" x14ac:dyDescent="0.25">
      <c r="A403" t="str">
        <f t="shared" si="6"/>
        <v>C0402</v>
      </c>
      <c r="B403" t="s">
        <v>747</v>
      </c>
      <c r="C403" t="str">
        <f>VLOOKUP(LEFT(B403,FIND(" ",B403)-1),Customer_Helper!$A$2:$B$101,2,FALSE)</f>
        <v>Female</v>
      </c>
      <c r="D403">
        <v>39</v>
      </c>
      <c r="E403" t="s">
        <v>16</v>
      </c>
      <c r="F403" t="str">
        <f>VLOOKUP(E403,Customer_Helper!$F$2:$G$13,2,FALSE)</f>
        <v>South</v>
      </c>
      <c r="G403" t="s">
        <v>186</v>
      </c>
    </row>
    <row r="404" spans="1:7" x14ac:dyDescent="0.25">
      <c r="A404" t="str">
        <f t="shared" si="6"/>
        <v>C0403</v>
      </c>
      <c r="B404" t="s">
        <v>748</v>
      </c>
      <c r="C404" t="str">
        <f>VLOOKUP(LEFT(B404,FIND(" ",B404)-1),Customer_Helper!$A$2:$B$101,2,FALSE)</f>
        <v>Female</v>
      </c>
      <c r="D404">
        <v>34</v>
      </c>
      <c r="E404" t="s">
        <v>10</v>
      </c>
      <c r="F404" t="str">
        <f>VLOOKUP(E404,Customer_Helper!$F$2:$G$13,2,FALSE)</f>
        <v>North</v>
      </c>
      <c r="G404" t="s">
        <v>186</v>
      </c>
    </row>
    <row r="405" spans="1:7" x14ac:dyDescent="0.25">
      <c r="A405" t="str">
        <f t="shared" si="6"/>
        <v>C0404</v>
      </c>
      <c r="B405" t="s">
        <v>749</v>
      </c>
      <c r="C405" t="str">
        <f>VLOOKUP(LEFT(B405,FIND(" ",B405)-1),Customer_Helper!$A$2:$B$101,2,FALSE)</f>
        <v>Male</v>
      </c>
      <c r="D405">
        <v>28</v>
      </c>
      <c r="E405" t="s">
        <v>14</v>
      </c>
      <c r="F405" t="str">
        <f>VLOOKUP(E405,Customer_Helper!$F$2:$G$13,2,FALSE)</f>
        <v>South</v>
      </c>
      <c r="G405" t="s">
        <v>187</v>
      </c>
    </row>
    <row r="406" spans="1:7" x14ac:dyDescent="0.25">
      <c r="A406" t="str">
        <f t="shared" si="6"/>
        <v>C0405</v>
      </c>
      <c r="B406" t="s">
        <v>750</v>
      </c>
      <c r="C406" t="str">
        <f>VLOOKUP(LEFT(B406,FIND(" ",B406)-1),Customer_Helper!$A$2:$B$101,2,FALSE)</f>
        <v>Female</v>
      </c>
      <c r="D406">
        <v>24</v>
      </c>
      <c r="E406" t="s">
        <v>9</v>
      </c>
      <c r="F406" t="str">
        <f>VLOOKUP(E406,Customer_Helper!$F$2:$G$13,2,FALSE)</f>
        <v>North</v>
      </c>
      <c r="G406" t="s">
        <v>186</v>
      </c>
    </row>
    <row r="407" spans="1:7" x14ac:dyDescent="0.25">
      <c r="A407" t="str">
        <f t="shared" si="6"/>
        <v>C0406</v>
      </c>
      <c r="B407" t="s">
        <v>751</v>
      </c>
      <c r="C407" t="str">
        <f>VLOOKUP(LEFT(B407,FIND(" ",B407)-1),Customer_Helper!$A$2:$B$101,2,FALSE)</f>
        <v>Male</v>
      </c>
      <c r="D407">
        <v>62</v>
      </c>
      <c r="E407" t="s">
        <v>290</v>
      </c>
      <c r="F407" t="str">
        <f>VLOOKUP(E407,Customer_Helper!$F$2:$G$13,2,FALSE)</f>
        <v>West</v>
      </c>
      <c r="G407" t="s">
        <v>187</v>
      </c>
    </row>
    <row r="408" spans="1:7" x14ac:dyDescent="0.25">
      <c r="A408" t="str">
        <f t="shared" si="6"/>
        <v>C0407</v>
      </c>
      <c r="B408" t="s">
        <v>752</v>
      </c>
      <c r="C408" t="str">
        <f>VLOOKUP(LEFT(B408,FIND(" ",B408)-1),Customer_Helper!$A$2:$B$101,2,FALSE)</f>
        <v>Male</v>
      </c>
      <c r="D408">
        <v>53</v>
      </c>
      <c r="E408" t="s">
        <v>4</v>
      </c>
      <c r="F408" t="str">
        <f>VLOOKUP(E408,Customer_Helper!$F$2:$G$13,2,FALSE)</f>
        <v>West</v>
      </c>
      <c r="G408" t="s">
        <v>186</v>
      </c>
    </row>
    <row r="409" spans="1:7" x14ac:dyDescent="0.25">
      <c r="A409" t="str">
        <f t="shared" si="6"/>
        <v>C0408</v>
      </c>
      <c r="B409" t="s">
        <v>753</v>
      </c>
      <c r="C409" t="str">
        <f>VLOOKUP(LEFT(B409,FIND(" ",B409)-1),Customer_Helper!$A$2:$B$101,2,FALSE)</f>
        <v>Female</v>
      </c>
      <c r="D409">
        <v>25</v>
      </c>
      <c r="E409" t="s">
        <v>16</v>
      </c>
      <c r="F409" t="str">
        <f>VLOOKUP(E409,Customer_Helper!$F$2:$G$13,2,FALSE)</f>
        <v>South</v>
      </c>
      <c r="G409" t="s">
        <v>185</v>
      </c>
    </row>
    <row r="410" spans="1:7" x14ac:dyDescent="0.25">
      <c r="A410" t="str">
        <f t="shared" si="6"/>
        <v>C0409</v>
      </c>
      <c r="B410" t="s">
        <v>754</v>
      </c>
      <c r="C410" t="str">
        <f>VLOOKUP(LEFT(B410,FIND(" ",B410)-1),Customer_Helper!$A$2:$B$101,2,FALSE)</f>
        <v>Female</v>
      </c>
      <c r="D410">
        <v>46</v>
      </c>
      <c r="E410" t="s">
        <v>16</v>
      </c>
      <c r="F410" t="str">
        <f>VLOOKUP(E410,Customer_Helper!$F$2:$G$13,2,FALSE)</f>
        <v>South</v>
      </c>
      <c r="G410" t="s">
        <v>186</v>
      </c>
    </row>
    <row r="411" spans="1:7" x14ac:dyDescent="0.25">
      <c r="A411" t="str">
        <f t="shared" si="6"/>
        <v>C0410</v>
      </c>
      <c r="B411" t="s">
        <v>755</v>
      </c>
      <c r="C411" t="str">
        <f>VLOOKUP(LEFT(B411,FIND(" ",B411)-1),Customer_Helper!$A$2:$B$101,2,FALSE)</f>
        <v>Male</v>
      </c>
      <c r="D411">
        <v>35</v>
      </c>
      <c r="E411" t="s">
        <v>2</v>
      </c>
      <c r="F411" t="str">
        <f>VLOOKUP(E411,Customer_Helper!$F$2:$G$13,2,FALSE)</f>
        <v>West</v>
      </c>
      <c r="G411" t="s">
        <v>186</v>
      </c>
    </row>
    <row r="412" spans="1:7" x14ac:dyDescent="0.25">
      <c r="A412" t="str">
        <f t="shared" si="6"/>
        <v>C0411</v>
      </c>
      <c r="B412" t="s">
        <v>756</v>
      </c>
      <c r="C412" t="str">
        <f>VLOOKUP(LEFT(B412,FIND(" ",B412)-1),Customer_Helper!$A$2:$B$101,2,FALSE)</f>
        <v>Male</v>
      </c>
      <c r="D412">
        <v>39</v>
      </c>
      <c r="E412" t="s">
        <v>17</v>
      </c>
      <c r="F412" t="str">
        <f>VLOOKUP(E412,Customer_Helper!$F$2:$G$13,2,FALSE)</f>
        <v>South</v>
      </c>
      <c r="G412" t="s">
        <v>186</v>
      </c>
    </row>
    <row r="413" spans="1:7" x14ac:dyDescent="0.25">
      <c r="A413" t="str">
        <f t="shared" si="6"/>
        <v>C0412</v>
      </c>
      <c r="B413" t="s">
        <v>757</v>
      </c>
      <c r="C413" t="str">
        <f>VLOOKUP(LEFT(B413,FIND(" ",B413)-1),Customer_Helper!$A$2:$B$101,2,FALSE)</f>
        <v>Female</v>
      </c>
      <c r="D413">
        <v>21</v>
      </c>
      <c r="E413" t="s">
        <v>14</v>
      </c>
      <c r="F413" t="str">
        <f>VLOOKUP(E413,Customer_Helper!$F$2:$G$13,2,FALSE)</f>
        <v>South</v>
      </c>
      <c r="G413" t="s">
        <v>186</v>
      </c>
    </row>
    <row r="414" spans="1:7" x14ac:dyDescent="0.25">
      <c r="A414" t="str">
        <f t="shared" si="6"/>
        <v>C0413</v>
      </c>
      <c r="B414" t="s">
        <v>758</v>
      </c>
      <c r="C414" t="str">
        <f>VLOOKUP(LEFT(B414,FIND(" ",B414)-1),Customer_Helper!$A$2:$B$101,2,FALSE)</f>
        <v>Female</v>
      </c>
      <c r="D414">
        <v>36</v>
      </c>
      <c r="E414" t="s">
        <v>17</v>
      </c>
      <c r="F414" t="str">
        <f>VLOOKUP(E414,Customer_Helper!$F$2:$G$13,2,FALSE)</f>
        <v>South</v>
      </c>
      <c r="G414" t="s">
        <v>185</v>
      </c>
    </row>
    <row r="415" spans="1:7" x14ac:dyDescent="0.25">
      <c r="A415" t="str">
        <f t="shared" si="6"/>
        <v>C0414</v>
      </c>
      <c r="B415" t="s">
        <v>759</v>
      </c>
      <c r="C415" t="str">
        <f>VLOOKUP(LEFT(B415,FIND(" ",B415)-1),Customer_Helper!$A$2:$B$101,2,FALSE)</f>
        <v>Male</v>
      </c>
      <c r="D415">
        <v>45</v>
      </c>
      <c r="E415" t="s">
        <v>289</v>
      </c>
      <c r="F415" t="str">
        <f>VLOOKUP(E415,Customer_Helper!$F$2:$G$13,2,FALSE)</f>
        <v>West</v>
      </c>
      <c r="G415" t="s">
        <v>185</v>
      </c>
    </row>
    <row r="416" spans="1:7" x14ac:dyDescent="0.25">
      <c r="A416" t="str">
        <f t="shared" si="6"/>
        <v>C0415</v>
      </c>
      <c r="B416" t="s">
        <v>760</v>
      </c>
      <c r="C416" t="str">
        <f>VLOOKUP(LEFT(B416,FIND(" ",B416)-1),Customer_Helper!$A$2:$B$101,2,FALSE)</f>
        <v>Female</v>
      </c>
      <c r="D416">
        <v>53</v>
      </c>
      <c r="E416" t="s">
        <v>17</v>
      </c>
      <c r="F416" t="str">
        <f>VLOOKUP(E416,Customer_Helper!$F$2:$G$13,2,FALSE)</f>
        <v>South</v>
      </c>
      <c r="G416" t="s">
        <v>187</v>
      </c>
    </row>
    <row r="417" spans="1:7" x14ac:dyDescent="0.25">
      <c r="A417" t="str">
        <f t="shared" si="6"/>
        <v>C0416</v>
      </c>
      <c r="B417" t="s">
        <v>761</v>
      </c>
      <c r="C417" t="str">
        <f>VLOOKUP(LEFT(B417,FIND(" ",B417)-1),Customer_Helper!$A$2:$B$101,2,FALSE)</f>
        <v>Male</v>
      </c>
      <c r="D417">
        <v>34</v>
      </c>
      <c r="E417" t="s">
        <v>289</v>
      </c>
      <c r="F417" t="str">
        <f>VLOOKUP(E417,Customer_Helper!$F$2:$G$13,2,FALSE)</f>
        <v>West</v>
      </c>
      <c r="G417" t="s">
        <v>186</v>
      </c>
    </row>
    <row r="418" spans="1:7" x14ac:dyDescent="0.25">
      <c r="A418" t="str">
        <f t="shared" si="6"/>
        <v>C0417</v>
      </c>
      <c r="B418" t="s">
        <v>762</v>
      </c>
      <c r="C418" t="str">
        <f>VLOOKUP(LEFT(B418,FIND(" ",B418)-1),Customer_Helper!$A$2:$B$101,2,FALSE)</f>
        <v>Female</v>
      </c>
      <c r="D418">
        <v>39</v>
      </c>
      <c r="E418" t="s">
        <v>4</v>
      </c>
      <c r="F418" t="str">
        <f>VLOOKUP(E418,Customer_Helper!$F$2:$G$13,2,FALSE)</f>
        <v>West</v>
      </c>
      <c r="G418" t="s">
        <v>186</v>
      </c>
    </row>
    <row r="419" spans="1:7" x14ac:dyDescent="0.25">
      <c r="A419" t="str">
        <f t="shared" si="6"/>
        <v>C0418</v>
      </c>
      <c r="B419" t="s">
        <v>763</v>
      </c>
      <c r="C419" t="str">
        <f>VLOOKUP(LEFT(B419,FIND(" ",B419)-1),Customer_Helper!$A$2:$B$101,2,FALSE)</f>
        <v>Male</v>
      </c>
      <c r="D419">
        <v>29</v>
      </c>
      <c r="E419" t="s">
        <v>11</v>
      </c>
      <c r="F419" t="str">
        <f>VLOOKUP(E419,Customer_Helper!$F$2:$G$13,2,FALSE)</f>
        <v>East</v>
      </c>
      <c r="G419" t="s">
        <v>186</v>
      </c>
    </row>
    <row r="420" spans="1:7" x14ac:dyDescent="0.25">
      <c r="A420" t="str">
        <f t="shared" si="6"/>
        <v>C0419</v>
      </c>
      <c r="B420" t="s">
        <v>764</v>
      </c>
      <c r="C420" t="str">
        <f>VLOOKUP(LEFT(B420,FIND(" ",B420)-1),Customer_Helper!$A$2:$B$101,2,FALSE)</f>
        <v>Female</v>
      </c>
      <c r="D420">
        <v>44</v>
      </c>
      <c r="E420" t="s">
        <v>10</v>
      </c>
      <c r="F420" t="str">
        <f>VLOOKUP(E420,Customer_Helper!$F$2:$G$13,2,FALSE)</f>
        <v>North</v>
      </c>
      <c r="G420" t="s">
        <v>186</v>
      </c>
    </row>
    <row r="421" spans="1:7" x14ac:dyDescent="0.25">
      <c r="A421" t="str">
        <f t="shared" si="6"/>
        <v>C0420</v>
      </c>
      <c r="B421" t="s">
        <v>765</v>
      </c>
      <c r="C421" t="str">
        <f>VLOOKUP(LEFT(B421,FIND(" ",B421)-1),Customer_Helper!$A$2:$B$101,2,FALSE)</f>
        <v>Female</v>
      </c>
      <c r="D421">
        <v>25</v>
      </c>
      <c r="E421" t="s">
        <v>14</v>
      </c>
      <c r="F421" t="str">
        <f>VLOOKUP(E421,Customer_Helper!$F$2:$G$13,2,FALSE)</f>
        <v>South</v>
      </c>
      <c r="G421" t="s">
        <v>185</v>
      </c>
    </row>
    <row r="422" spans="1:7" x14ac:dyDescent="0.25">
      <c r="A422" t="str">
        <f t="shared" si="6"/>
        <v>C0421</v>
      </c>
      <c r="B422" t="s">
        <v>766</v>
      </c>
      <c r="C422" t="str">
        <f>VLOOKUP(LEFT(B422,FIND(" ",B422)-1),Customer_Helper!$A$2:$B$101,2,FALSE)</f>
        <v>Female</v>
      </c>
      <c r="D422">
        <v>18</v>
      </c>
      <c r="E422" t="s">
        <v>5</v>
      </c>
      <c r="F422" t="str">
        <f>VLOOKUP(E422,Customer_Helper!$F$2:$G$13,2,FALSE)</f>
        <v>West</v>
      </c>
      <c r="G422" t="s">
        <v>187</v>
      </c>
    </row>
    <row r="423" spans="1:7" x14ac:dyDescent="0.25">
      <c r="A423" t="str">
        <f t="shared" si="6"/>
        <v>C0422</v>
      </c>
      <c r="B423" t="s">
        <v>767</v>
      </c>
      <c r="C423" t="str">
        <f>VLOOKUP(LEFT(B423,FIND(" ",B423)-1),Customer_Helper!$A$2:$B$101,2,FALSE)</f>
        <v>Male</v>
      </c>
      <c r="D423">
        <v>34</v>
      </c>
      <c r="E423" t="s">
        <v>7</v>
      </c>
      <c r="F423" t="str">
        <f>VLOOKUP(E423,Customer_Helper!$F$2:$G$13,2,FALSE)</f>
        <v>North</v>
      </c>
      <c r="G423" t="s">
        <v>185</v>
      </c>
    </row>
    <row r="424" spans="1:7" x14ac:dyDescent="0.25">
      <c r="A424" t="str">
        <f t="shared" si="6"/>
        <v>C0423</v>
      </c>
      <c r="B424" t="s">
        <v>768</v>
      </c>
      <c r="C424" t="str">
        <f>VLOOKUP(LEFT(B424,FIND(" ",B424)-1),Customer_Helper!$A$2:$B$101,2,FALSE)</f>
        <v>Male</v>
      </c>
      <c r="D424">
        <v>36</v>
      </c>
      <c r="E424" t="s">
        <v>289</v>
      </c>
      <c r="F424" t="str">
        <f>VLOOKUP(E424,Customer_Helper!$F$2:$G$13,2,FALSE)</f>
        <v>West</v>
      </c>
      <c r="G424" t="s">
        <v>187</v>
      </c>
    </row>
    <row r="425" spans="1:7" x14ac:dyDescent="0.25">
      <c r="A425" t="str">
        <f t="shared" si="6"/>
        <v>C0424</v>
      </c>
      <c r="B425" t="s">
        <v>769</v>
      </c>
      <c r="C425" t="str">
        <f>VLOOKUP(LEFT(B425,FIND(" ",B425)-1),Customer_Helper!$A$2:$B$101,2,FALSE)</f>
        <v>Female</v>
      </c>
      <c r="D425">
        <v>49</v>
      </c>
      <c r="E425" t="s">
        <v>10</v>
      </c>
      <c r="F425" t="str">
        <f>VLOOKUP(E425,Customer_Helper!$F$2:$G$13,2,FALSE)</f>
        <v>North</v>
      </c>
      <c r="G425" t="s">
        <v>186</v>
      </c>
    </row>
    <row r="426" spans="1:7" x14ac:dyDescent="0.25">
      <c r="A426" t="str">
        <f t="shared" si="6"/>
        <v>C0425</v>
      </c>
      <c r="B426" t="s">
        <v>770</v>
      </c>
      <c r="C426" t="str">
        <f>VLOOKUP(LEFT(B426,FIND(" ",B426)-1),Customer_Helper!$A$2:$B$101,2,FALSE)</f>
        <v>Female</v>
      </c>
      <c r="D426">
        <v>29</v>
      </c>
      <c r="E426" t="s">
        <v>2</v>
      </c>
      <c r="F426" t="str">
        <f>VLOOKUP(E426,Customer_Helper!$F$2:$G$13,2,FALSE)</f>
        <v>West</v>
      </c>
      <c r="G426" t="s">
        <v>185</v>
      </c>
    </row>
    <row r="427" spans="1:7" x14ac:dyDescent="0.25">
      <c r="A427" t="str">
        <f t="shared" si="6"/>
        <v>C0426</v>
      </c>
      <c r="B427" t="s">
        <v>771</v>
      </c>
      <c r="C427" t="str">
        <f>VLOOKUP(LEFT(B427,FIND(" ",B427)-1),Customer_Helper!$A$2:$B$101,2,FALSE)</f>
        <v>Female</v>
      </c>
      <c r="D427">
        <v>62</v>
      </c>
      <c r="E427" t="s">
        <v>16</v>
      </c>
      <c r="F427" t="str">
        <f>VLOOKUP(E427,Customer_Helper!$F$2:$G$13,2,FALSE)</f>
        <v>South</v>
      </c>
      <c r="G427" t="s">
        <v>187</v>
      </c>
    </row>
    <row r="428" spans="1:7" x14ac:dyDescent="0.25">
      <c r="A428" t="str">
        <f t="shared" si="6"/>
        <v>C0427</v>
      </c>
      <c r="B428" t="s">
        <v>772</v>
      </c>
      <c r="C428" t="str">
        <f>VLOOKUP(LEFT(B428,FIND(" ",B428)-1),Customer_Helper!$A$2:$B$101,2,FALSE)</f>
        <v>Male</v>
      </c>
      <c r="D428">
        <v>34</v>
      </c>
      <c r="E428" t="s">
        <v>2</v>
      </c>
      <c r="F428" t="str">
        <f>VLOOKUP(E428,Customer_Helper!$F$2:$G$13,2,FALSE)</f>
        <v>West</v>
      </c>
      <c r="G428" t="s">
        <v>187</v>
      </c>
    </row>
    <row r="429" spans="1:7" x14ac:dyDescent="0.25">
      <c r="A429" t="str">
        <f t="shared" si="6"/>
        <v>C0428</v>
      </c>
      <c r="B429" t="s">
        <v>773</v>
      </c>
      <c r="C429" t="str">
        <f>VLOOKUP(LEFT(B429,FIND(" ",B429)-1),Customer_Helper!$A$2:$B$101,2,FALSE)</f>
        <v>Male</v>
      </c>
      <c r="D429">
        <v>34</v>
      </c>
      <c r="E429" t="s">
        <v>7</v>
      </c>
      <c r="F429" t="str">
        <f>VLOOKUP(E429,Customer_Helper!$F$2:$G$13,2,FALSE)</f>
        <v>North</v>
      </c>
      <c r="G429" t="s">
        <v>186</v>
      </c>
    </row>
    <row r="430" spans="1:7" x14ac:dyDescent="0.25">
      <c r="A430" t="str">
        <f t="shared" si="6"/>
        <v>C0429</v>
      </c>
      <c r="B430" t="s">
        <v>774</v>
      </c>
      <c r="C430" t="str">
        <f>VLOOKUP(LEFT(B430,FIND(" ",B430)-1),Customer_Helper!$A$2:$B$101,2,FALSE)</f>
        <v>Female</v>
      </c>
      <c r="D430">
        <v>35</v>
      </c>
      <c r="E430" t="s">
        <v>289</v>
      </c>
      <c r="F430" t="str">
        <f>VLOOKUP(E430,Customer_Helper!$F$2:$G$13,2,FALSE)</f>
        <v>West</v>
      </c>
      <c r="G430" t="s">
        <v>187</v>
      </c>
    </row>
    <row r="431" spans="1:7" x14ac:dyDescent="0.25">
      <c r="A431" t="str">
        <f t="shared" si="6"/>
        <v>C0430</v>
      </c>
      <c r="B431" t="s">
        <v>775</v>
      </c>
      <c r="C431" t="str">
        <f>VLOOKUP(LEFT(B431,FIND(" ",B431)-1),Customer_Helper!$A$2:$B$101,2,FALSE)</f>
        <v>Female</v>
      </c>
      <c r="D431">
        <v>29</v>
      </c>
      <c r="E431" t="s">
        <v>7</v>
      </c>
      <c r="F431" t="str">
        <f>VLOOKUP(E431,Customer_Helper!$F$2:$G$13,2,FALSE)</f>
        <v>North</v>
      </c>
      <c r="G431" t="s">
        <v>185</v>
      </c>
    </row>
    <row r="432" spans="1:7" x14ac:dyDescent="0.25">
      <c r="A432" t="str">
        <f t="shared" si="6"/>
        <v>C0431</v>
      </c>
      <c r="B432" t="s">
        <v>776</v>
      </c>
      <c r="C432" t="str">
        <f>VLOOKUP(LEFT(B432,FIND(" ",B432)-1),Customer_Helper!$A$2:$B$101,2,FALSE)</f>
        <v>Male</v>
      </c>
      <c r="D432">
        <v>21</v>
      </c>
      <c r="E432" t="s">
        <v>4</v>
      </c>
      <c r="F432" t="str">
        <f>VLOOKUP(E432,Customer_Helper!$F$2:$G$13,2,FALSE)</f>
        <v>West</v>
      </c>
      <c r="G432" t="s">
        <v>186</v>
      </c>
    </row>
    <row r="433" spans="1:7" x14ac:dyDescent="0.25">
      <c r="A433" t="str">
        <f t="shared" si="6"/>
        <v>C0432</v>
      </c>
      <c r="B433" t="s">
        <v>777</v>
      </c>
      <c r="C433" t="str">
        <f>VLOOKUP(LEFT(B433,FIND(" ",B433)-1),Customer_Helper!$A$2:$B$101,2,FALSE)</f>
        <v>Female</v>
      </c>
      <c r="D433">
        <v>23</v>
      </c>
      <c r="E433" t="s">
        <v>9</v>
      </c>
      <c r="F433" t="str">
        <f>VLOOKUP(E433,Customer_Helper!$F$2:$G$13,2,FALSE)</f>
        <v>North</v>
      </c>
      <c r="G433" t="s">
        <v>186</v>
      </c>
    </row>
    <row r="434" spans="1:7" x14ac:dyDescent="0.25">
      <c r="A434" t="str">
        <f t="shared" si="6"/>
        <v>C0433</v>
      </c>
      <c r="B434" t="s">
        <v>778</v>
      </c>
      <c r="C434" t="str">
        <f>VLOOKUP(LEFT(B434,FIND(" ",B434)-1),Customer_Helper!$A$2:$B$101,2,FALSE)</f>
        <v>Female</v>
      </c>
      <c r="D434">
        <v>62</v>
      </c>
      <c r="E434" t="s">
        <v>16</v>
      </c>
      <c r="F434" t="str">
        <f>VLOOKUP(E434,Customer_Helper!$F$2:$G$13,2,FALSE)</f>
        <v>South</v>
      </c>
      <c r="G434" t="s">
        <v>187</v>
      </c>
    </row>
    <row r="435" spans="1:7" x14ac:dyDescent="0.25">
      <c r="A435" t="str">
        <f t="shared" si="6"/>
        <v>C0434</v>
      </c>
      <c r="B435" t="s">
        <v>779</v>
      </c>
      <c r="C435" t="str">
        <f>VLOOKUP(LEFT(B435,FIND(" ",B435)-1),Customer_Helper!$A$2:$B$101,2,FALSE)</f>
        <v>Female</v>
      </c>
      <c r="D435">
        <v>42</v>
      </c>
      <c r="E435" t="s">
        <v>11</v>
      </c>
      <c r="F435" t="str">
        <f>VLOOKUP(E435,Customer_Helper!$F$2:$G$13,2,FALSE)</f>
        <v>East</v>
      </c>
      <c r="G435" t="s">
        <v>185</v>
      </c>
    </row>
    <row r="436" spans="1:7" x14ac:dyDescent="0.25">
      <c r="A436" t="str">
        <f t="shared" si="6"/>
        <v>C0435</v>
      </c>
      <c r="B436" t="s">
        <v>780</v>
      </c>
      <c r="C436" t="str">
        <f>VLOOKUP(LEFT(B436,FIND(" ",B436)-1),Customer_Helper!$A$2:$B$101,2,FALSE)</f>
        <v>Male</v>
      </c>
      <c r="D436">
        <v>27</v>
      </c>
      <c r="E436" t="s">
        <v>290</v>
      </c>
      <c r="F436" t="str">
        <f>VLOOKUP(E436,Customer_Helper!$F$2:$G$13,2,FALSE)</f>
        <v>West</v>
      </c>
      <c r="G436" t="s">
        <v>185</v>
      </c>
    </row>
    <row r="437" spans="1:7" x14ac:dyDescent="0.25">
      <c r="A437" t="str">
        <f t="shared" si="6"/>
        <v>C0436</v>
      </c>
      <c r="B437" t="s">
        <v>403</v>
      </c>
      <c r="C437" t="str">
        <f>VLOOKUP(LEFT(B437,FIND(" ",B437)-1),Customer_Helper!$A$2:$B$101,2,FALSE)</f>
        <v>Female</v>
      </c>
      <c r="D437">
        <v>60</v>
      </c>
      <c r="E437" t="s">
        <v>290</v>
      </c>
      <c r="F437" t="str">
        <f>VLOOKUP(E437,Customer_Helper!$F$2:$G$13,2,FALSE)</f>
        <v>West</v>
      </c>
      <c r="G437" t="s">
        <v>186</v>
      </c>
    </row>
    <row r="438" spans="1:7" x14ac:dyDescent="0.25">
      <c r="A438" t="str">
        <f t="shared" si="6"/>
        <v>C0437</v>
      </c>
      <c r="B438" t="s">
        <v>781</v>
      </c>
      <c r="C438" t="str">
        <f>VLOOKUP(LEFT(B438,FIND(" ",B438)-1),Customer_Helper!$A$2:$B$101,2,FALSE)</f>
        <v>Female</v>
      </c>
      <c r="D438">
        <v>56</v>
      </c>
      <c r="E438" t="s">
        <v>290</v>
      </c>
      <c r="F438" t="str">
        <f>VLOOKUP(E438,Customer_Helper!$F$2:$G$13,2,FALSE)</f>
        <v>West</v>
      </c>
      <c r="G438" t="s">
        <v>186</v>
      </c>
    </row>
    <row r="439" spans="1:7" x14ac:dyDescent="0.25">
      <c r="A439" t="str">
        <f t="shared" si="6"/>
        <v>C0438</v>
      </c>
      <c r="B439" t="s">
        <v>782</v>
      </c>
      <c r="C439" t="str">
        <f>VLOOKUP(LEFT(B439,FIND(" ",B439)-1),Customer_Helper!$A$2:$B$101,2,FALSE)</f>
        <v>Male</v>
      </c>
      <c r="D439">
        <v>34</v>
      </c>
      <c r="E439" t="s">
        <v>11</v>
      </c>
      <c r="F439" t="str">
        <f>VLOOKUP(E439,Customer_Helper!$F$2:$G$13,2,FALSE)</f>
        <v>East</v>
      </c>
      <c r="G439" t="s">
        <v>185</v>
      </c>
    </row>
    <row r="440" spans="1:7" x14ac:dyDescent="0.25">
      <c r="A440" t="str">
        <f t="shared" si="6"/>
        <v>C0439</v>
      </c>
      <c r="B440" t="s">
        <v>783</v>
      </c>
      <c r="C440" t="str">
        <f>VLOOKUP(LEFT(B440,FIND(" ",B440)-1),Customer_Helper!$A$2:$B$101,2,FALSE)</f>
        <v>Female</v>
      </c>
      <c r="D440">
        <v>54</v>
      </c>
      <c r="E440" t="s">
        <v>11</v>
      </c>
      <c r="F440" t="str">
        <f>VLOOKUP(E440,Customer_Helper!$F$2:$G$13,2,FALSE)</f>
        <v>East</v>
      </c>
      <c r="G440" t="s">
        <v>185</v>
      </c>
    </row>
    <row r="441" spans="1:7" x14ac:dyDescent="0.25">
      <c r="A441" t="str">
        <f t="shared" si="6"/>
        <v>C0440</v>
      </c>
      <c r="B441" t="s">
        <v>784</v>
      </c>
      <c r="C441" t="str">
        <f>VLOOKUP(LEFT(B441,FIND(" ",B441)-1),Customer_Helper!$A$2:$B$101,2,FALSE)</f>
        <v>Female</v>
      </c>
      <c r="D441">
        <v>43</v>
      </c>
      <c r="E441" t="s">
        <v>17</v>
      </c>
      <c r="F441" t="str">
        <f>VLOOKUP(E441,Customer_Helper!$F$2:$G$13,2,FALSE)</f>
        <v>South</v>
      </c>
      <c r="G441" t="s">
        <v>185</v>
      </c>
    </row>
    <row r="442" spans="1:7" x14ac:dyDescent="0.25">
      <c r="A442" t="str">
        <f t="shared" si="6"/>
        <v>C0441</v>
      </c>
      <c r="B442" t="s">
        <v>785</v>
      </c>
      <c r="C442" t="str">
        <f>VLOOKUP(LEFT(B442,FIND(" ",B442)-1),Customer_Helper!$A$2:$B$101,2,FALSE)</f>
        <v>Male</v>
      </c>
      <c r="D442">
        <v>44</v>
      </c>
      <c r="E442" t="s">
        <v>9</v>
      </c>
      <c r="F442" t="str">
        <f>VLOOKUP(E442,Customer_Helper!$F$2:$G$13,2,FALSE)</f>
        <v>North</v>
      </c>
      <c r="G442" t="s">
        <v>187</v>
      </c>
    </row>
    <row r="443" spans="1:7" x14ac:dyDescent="0.25">
      <c r="A443" t="str">
        <f t="shared" si="6"/>
        <v>C0442</v>
      </c>
      <c r="B443" t="s">
        <v>786</v>
      </c>
      <c r="C443" t="str">
        <f>VLOOKUP(LEFT(B443,FIND(" ",B443)-1),Customer_Helper!$A$2:$B$101,2,FALSE)</f>
        <v>Female</v>
      </c>
      <c r="D443">
        <v>49</v>
      </c>
      <c r="E443" t="s">
        <v>9</v>
      </c>
      <c r="F443" t="str">
        <f>VLOOKUP(E443,Customer_Helper!$F$2:$G$13,2,FALSE)</f>
        <v>North</v>
      </c>
      <c r="G443" t="s">
        <v>187</v>
      </c>
    </row>
    <row r="444" spans="1:7" x14ac:dyDescent="0.25">
      <c r="A444" t="str">
        <f t="shared" si="6"/>
        <v>C0443</v>
      </c>
      <c r="B444" t="s">
        <v>498</v>
      </c>
      <c r="C444" t="str">
        <f>VLOOKUP(LEFT(B444,FIND(" ",B444)-1),Customer_Helper!$A$2:$B$101,2,FALSE)</f>
        <v>Male</v>
      </c>
      <c r="D444">
        <v>58</v>
      </c>
      <c r="E444" t="s">
        <v>17</v>
      </c>
      <c r="F444" t="str">
        <f>VLOOKUP(E444,Customer_Helper!$F$2:$G$13,2,FALSE)</f>
        <v>South</v>
      </c>
      <c r="G444" t="s">
        <v>185</v>
      </c>
    </row>
    <row r="445" spans="1:7" x14ac:dyDescent="0.25">
      <c r="A445" t="str">
        <f t="shared" si="6"/>
        <v>C0444</v>
      </c>
      <c r="B445" t="s">
        <v>787</v>
      </c>
      <c r="C445" t="str">
        <f>VLOOKUP(LEFT(B445,FIND(" ",B445)-1),Customer_Helper!$A$2:$B$101,2,FALSE)</f>
        <v>Male</v>
      </c>
      <c r="D445">
        <v>53</v>
      </c>
      <c r="E445" t="s">
        <v>10</v>
      </c>
      <c r="F445" t="str">
        <f>VLOOKUP(E445,Customer_Helper!$F$2:$G$13,2,FALSE)</f>
        <v>North</v>
      </c>
      <c r="G445" t="s">
        <v>186</v>
      </c>
    </row>
    <row r="446" spans="1:7" x14ac:dyDescent="0.25">
      <c r="A446" t="str">
        <f t="shared" si="6"/>
        <v>C0445</v>
      </c>
      <c r="B446" t="s">
        <v>788</v>
      </c>
      <c r="C446" t="str">
        <f>VLOOKUP(LEFT(B446,FIND(" ",B446)-1),Customer_Helper!$A$2:$B$101,2,FALSE)</f>
        <v>Female</v>
      </c>
      <c r="D446">
        <v>57</v>
      </c>
      <c r="E446" t="s">
        <v>4</v>
      </c>
      <c r="F446" t="str">
        <f>VLOOKUP(E446,Customer_Helper!$F$2:$G$13,2,FALSE)</f>
        <v>West</v>
      </c>
      <c r="G446" t="s">
        <v>185</v>
      </c>
    </row>
    <row r="447" spans="1:7" x14ac:dyDescent="0.25">
      <c r="A447" t="str">
        <f t="shared" si="6"/>
        <v>C0446</v>
      </c>
      <c r="B447" t="s">
        <v>789</v>
      </c>
      <c r="C447" t="str">
        <f>VLOOKUP(LEFT(B447,FIND(" ",B447)-1),Customer_Helper!$A$2:$B$101,2,FALSE)</f>
        <v>Female</v>
      </c>
      <c r="D447">
        <v>64</v>
      </c>
      <c r="E447" t="s">
        <v>290</v>
      </c>
      <c r="F447" t="str">
        <f>VLOOKUP(E447,Customer_Helper!$F$2:$G$13,2,FALSE)</f>
        <v>West</v>
      </c>
      <c r="G447" t="s">
        <v>187</v>
      </c>
    </row>
    <row r="448" spans="1:7" x14ac:dyDescent="0.25">
      <c r="A448" t="str">
        <f t="shared" si="6"/>
        <v>C0447</v>
      </c>
      <c r="B448" t="s">
        <v>790</v>
      </c>
      <c r="C448" t="str">
        <f>VLOOKUP(LEFT(B448,FIND(" ",B448)-1),Customer_Helper!$A$2:$B$101,2,FALSE)</f>
        <v>Male</v>
      </c>
      <c r="D448">
        <v>58</v>
      </c>
      <c r="E448" t="s">
        <v>2</v>
      </c>
      <c r="F448" t="str">
        <f>VLOOKUP(E448,Customer_Helper!$F$2:$G$13,2,FALSE)</f>
        <v>West</v>
      </c>
      <c r="G448" t="s">
        <v>187</v>
      </c>
    </row>
    <row r="449" spans="1:7" x14ac:dyDescent="0.25">
      <c r="A449" t="str">
        <f t="shared" si="6"/>
        <v>C0448</v>
      </c>
      <c r="B449" t="s">
        <v>791</v>
      </c>
      <c r="C449" t="str">
        <f>VLOOKUP(LEFT(B449,FIND(" ",B449)-1),Customer_Helper!$A$2:$B$101,2,FALSE)</f>
        <v>Male</v>
      </c>
      <c r="D449">
        <v>21</v>
      </c>
      <c r="E449" t="s">
        <v>16</v>
      </c>
      <c r="F449" t="str">
        <f>VLOOKUP(E449,Customer_Helper!$F$2:$G$13,2,FALSE)</f>
        <v>South</v>
      </c>
      <c r="G449" t="s">
        <v>186</v>
      </c>
    </row>
    <row r="450" spans="1:7" x14ac:dyDescent="0.25">
      <c r="A450" t="str">
        <f t="shared" si="6"/>
        <v>C0449</v>
      </c>
      <c r="B450" t="s">
        <v>792</v>
      </c>
      <c r="C450" t="str">
        <f>VLOOKUP(LEFT(B450,FIND(" ",B450)-1),Customer_Helper!$A$2:$B$101,2,FALSE)</f>
        <v>Male</v>
      </c>
      <c r="D450">
        <v>28</v>
      </c>
      <c r="E450" t="s">
        <v>11</v>
      </c>
      <c r="F450" t="str">
        <f>VLOOKUP(E450,Customer_Helper!$F$2:$G$13,2,FALSE)</f>
        <v>East</v>
      </c>
      <c r="G450" t="s">
        <v>185</v>
      </c>
    </row>
    <row r="451" spans="1:7" x14ac:dyDescent="0.25">
      <c r="A451" t="str">
        <f t="shared" ref="A451:A514" si="7">"C"&amp;TEXT(ROW()-1,"0000")</f>
        <v>C0450</v>
      </c>
      <c r="B451" t="s">
        <v>793</v>
      </c>
      <c r="C451" t="str">
        <f>VLOOKUP(LEFT(B451,FIND(" ",B451)-1),Customer_Helper!$A$2:$B$101,2,FALSE)</f>
        <v>Male</v>
      </c>
      <c r="D451">
        <v>35</v>
      </c>
      <c r="E451" t="s">
        <v>9</v>
      </c>
      <c r="F451" t="str">
        <f>VLOOKUP(E451,Customer_Helper!$F$2:$G$13,2,FALSE)</f>
        <v>North</v>
      </c>
      <c r="G451" t="s">
        <v>187</v>
      </c>
    </row>
    <row r="452" spans="1:7" x14ac:dyDescent="0.25">
      <c r="A452" t="str">
        <f t="shared" si="7"/>
        <v>C0451</v>
      </c>
      <c r="B452" t="s">
        <v>794</v>
      </c>
      <c r="C452" t="str">
        <f>VLOOKUP(LEFT(B452,FIND(" ",B452)-1),Customer_Helper!$A$2:$B$101,2,FALSE)</f>
        <v>Female</v>
      </c>
      <c r="D452">
        <v>27</v>
      </c>
      <c r="E452" t="s">
        <v>4</v>
      </c>
      <c r="F452" t="str">
        <f>VLOOKUP(E452,Customer_Helper!$F$2:$G$13,2,FALSE)</f>
        <v>West</v>
      </c>
      <c r="G452" t="s">
        <v>186</v>
      </c>
    </row>
    <row r="453" spans="1:7" x14ac:dyDescent="0.25">
      <c r="A453" t="str">
        <f t="shared" si="7"/>
        <v>C0452</v>
      </c>
      <c r="B453" t="s">
        <v>795</v>
      </c>
      <c r="C453" t="str">
        <f>VLOOKUP(LEFT(B453,FIND(" ",B453)-1),Customer_Helper!$A$2:$B$101,2,FALSE)</f>
        <v>Male</v>
      </c>
      <c r="D453">
        <v>65</v>
      </c>
      <c r="E453" t="s">
        <v>17</v>
      </c>
      <c r="F453" t="str">
        <f>VLOOKUP(E453,Customer_Helper!$F$2:$G$13,2,FALSE)</f>
        <v>South</v>
      </c>
      <c r="G453" t="s">
        <v>185</v>
      </c>
    </row>
    <row r="454" spans="1:7" x14ac:dyDescent="0.25">
      <c r="A454" t="str">
        <f t="shared" si="7"/>
        <v>C0453</v>
      </c>
      <c r="B454" t="s">
        <v>796</v>
      </c>
      <c r="C454" t="str">
        <f>VLOOKUP(LEFT(B454,FIND(" ",B454)-1),Customer_Helper!$A$2:$B$101,2,FALSE)</f>
        <v>Female</v>
      </c>
      <c r="D454">
        <v>60</v>
      </c>
      <c r="E454" t="s">
        <v>290</v>
      </c>
      <c r="F454" t="str">
        <f>VLOOKUP(E454,Customer_Helper!$F$2:$G$13,2,FALSE)</f>
        <v>West</v>
      </c>
      <c r="G454" t="s">
        <v>185</v>
      </c>
    </row>
    <row r="455" spans="1:7" x14ac:dyDescent="0.25">
      <c r="A455" t="str">
        <f t="shared" si="7"/>
        <v>C0454</v>
      </c>
      <c r="B455" t="s">
        <v>797</v>
      </c>
      <c r="C455" t="str">
        <f>VLOOKUP(LEFT(B455,FIND(" ",B455)-1),Customer_Helper!$A$2:$B$101,2,FALSE)</f>
        <v>Female</v>
      </c>
      <c r="D455">
        <v>29</v>
      </c>
      <c r="E455" t="s">
        <v>10</v>
      </c>
      <c r="F455" t="str">
        <f>VLOOKUP(E455,Customer_Helper!$F$2:$G$13,2,FALSE)</f>
        <v>North</v>
      </c>
      <c r="G455" t="s">
        <v>187</v>
      </c>
    </row>
    <row r="456" spans="1:7" x14ac:dyDescent="0.25">
      <c r="A456" t="str">
        <f t="shared" si="7"/>
        <v>C0455</v>
      </c>
      <c r="B456" t="s">
        <v>798</v>
      </c>
      <c r="C456" t="str">
        <f>VLOOKUP(LEFT(B456,FIND(" ",B456)-1),Customer_Helper!$A$2:$B$101,2,FALSE)</f>
        <v>Female</v>
      </c>
      <c r="D456">
        <v>55</v>
      </c>
      <c r="E456" t="s">
        <v>16</v>
      </c>
      <c r="F456" t="str">
        <f>VLOOKUP(E456,Customer_Helper!$F$2:$G$13,2,FALSE)</f>
        <v>South</v>
      </c>
      <c r="G456" t="s">
        <v>185</v>
      </c>
    </row>
    <row r="457" spans="1:7" x14ac:dyDescent="0.25">
      <c r="A457" t="str">
        <f t="shared" si="7"/>
        <v>C0456</v>
      </c>
      <c r="B457" t="s">
        <v>799</v>
      </c>
      <c r="C457" t="str">
        <f>VLOOKUP(LEFT(B457,FIND(" ",B457)-1),Customer_Helper!$A$2:$B$101,2,FALSE)</f>
        <v>Female</v>
      </c>
      <c r="D457">
        <v>54</v>
      </c>
      <c r="E457" t="s">
        <v>7</v>
      </c>
      <c r="F457" t="str">
        <f>VLOOKUP(E457,Customer_Helper!$F$2:$G$13,2,FALSE)</f>
        <v>North</v>
      </c>
      <c r="G457" t="s">
        <v>187</v>
      </c>
    </row>
    <row r="458" spans="1:7" x14ac:dyDescent="0.25">
      <c r="A458" t="str">
        <f t="shared" si="7"/>
        <v>C0457</v>
      </c>
      <c r="B458" t="s">
        <v>800</v>
      </c>
      <c r="C458" t="str">
        <f>VLOOKUP(LEFT(B458,FIND(" ",B458)-1),Customer_Helper!$A$2:$B$101,2,FALSE)</f>
        <v>Male</v>
      </c>
      <c r="D458">
        <v>45</v>
      </c>
      <c r="E458" t="s">
        <v>16</v>
      </c>
      <c r="F458" t="str">
        <f>VLOOKUP(E458,Customer_Helper!$F$2:$G$13,2,FALSE)</f>
        <v>South</v>
      </c>
      <c r="G458" t="s">
        <v>185</v>
      </c>
    </row>
    <row r="459" spans="1:7" x14ac:dyDescent="0.25">
      <c r="A459" t="str">
        <f t="shared" si="7"/>
        <v>C0458</v>
      </c>
      <c r="B459" t="s">
        <v>801</v>
      </c>
      <c r="C459" t="str">
        <f>VLOOKUP(LEFT(B459,FIND(" ",B459)-1),Customer_Helper!$A$2:$B$101,2,FALSE)</f>
        <v>Female</v>
      </c>
      <c r="D459">
        <v>60</v>
      </c>
      <c r="E459" t="s">
        <v>11</v>
      </c>
      <c r="F459" t="str">
        <f>VLOOKUP(E459,Customer_Helper!$F$2:$G$13,2,FALSE)</f>
        <v>East</v>
      </c>
      <c r="G459" t="s">
        <v>185</v>
      </c>
    </row>
    <row r="460" spans="1:7" x14ac:dyDescent="0.25">
      <c r="A460" t="str">
        <f t="shared" si="7"/>
        <v>C0459</v>
      </c>
      <c r="B460" t="s">
        <v>802</v>
      </c>
      <c r="C460" t="str">
        <f>VLOOKUP(LEFT(B460,FIND(" ",B460)-1),Customer_Helper!$A$2:$B$101,2,FALSE)</f>
        <v>Female</v>
      </c>
      <c r="D460">
        <v>26</v>
      </c>
      <c r="E460" t="s">
        <v>289</v>
      </c>
      <c r="F460" t="str">
        <f>VLOOKUP(E460,Customer_Helper!$F$2:$G$13,2,FALSE)</f>
        <v>West</v>
      </c>
      <c r="G460" t="s">
        <v>186</v>
      </c>
    </row>
    <row r="461" spans="1:7" x14ac:dyDescent="0.25">
      <c r="A461" t="str">
        <f t="shared" si="7"/>
        <v>C0460</v>
      </c>
      <c r="B461" t="s">
        <v>803</v>
      </c>
      <c r="C461" t="str">
        <f>VLOOKUP(LEFT(B461,FIND(" ",B461)-1),Customer_Helper!$A$2:$B$101,2,FALSE)</f>
        <v>Female</v>
      </c>
      <c r="D461">
        <v>47</v>
      </c>
      <c r="E461" t="s">
        <v>17</v>
      </c>
      <c r="F461" t="str">
        <f>VLOOKUP(E461,Customer_Helper!$F$2:$G$13,2,FALSE)</f>
        <v>South</v>
      </c>
      <c r="G461" t="s">
        <v>185</v>
      </c>
    </row>
    <row r="462" spans="1:7" x14ac:dyDescent="0.25">
      <c r="A462" t="str">
        <f t="shared" si="7"/>
        <v>C0461</v>
      </c>
      <c r="B462" t="s">
        <v>804</v>
      </c>
      <c r="C462" t="str">
        <f>VLOOKUP(LEFT(B462,FIND(" ",B462)-1),Customer_Helper!$A$2:$B$101,2,FALSE)</f>
        <v>Male</v>
      </c>
      <c r="D462">
        <v>31</v>
      </c>
      <c r="E462" t="s">
        <v>2</v>
      </c>
      <c r="F462" t="str">
        <f>VLOOKUP(E462,Customer_Helper!$F$2:$G$13,2,FALSE)</f>
        <v>West</v>
      </c>
      <c r="G462" t="s">
        <v>187</v>
      </c>
    </row>
    <row r="463" spans="1:7" x14ac:dyDescent="0.25">
      <c r="A463" t="str">
        <f t="shared" si="7"/>
        <v>C0462</v>
      </c>
      <c r="B463" t="s">
        <v>805</v>
      </c>
      <c r="C463" t="str">
        <f>VLOOKUP(LEFT(B463,FIND(" ",B463)-1),Customer_Helper!$A$2:$B$101,2,FALSE)</f>
        <v>Female</v>
      </c>
      <c r="D463">
        <v>54</v>
      </c>
      <c r="E463" t="s">
        <v>7</v>
      </c>
      <c r="F463" t="str">
        <f>VLOOKUP(E463,Customer_Helper!$F$2:$G$13,2,FALSE)</f>
        <v>North</v>
      </c>
      <c r="G463" t="s">
        <v>185</v>
      </c>
    </row>
    <row r="464" spans="1:7" x14ac:dyDescent="0.25">
      <c r="A464" t="str">
        <f t="shared" si="7"/>
        <v>C0463</v>
      </c>
      <c r="B464" t="s">
        <v>806</v>
      </c>
      <c r="C464" t="str">
        <f>VLOOKUP(LEFT(B464,FIND(" ",B464)-1),Customer_Helper!$A$2:$B$101,2,FALSE)</f>
        <v>Female</v>
      </c>
      <c r="D464">
        <v>54</v>
      </c>
      <c r="E464" t="s">
        <v>2</v>
      </c>
      <c r="F464" t="str">
        <f>VLOOKUP(E464,Customer_Helper!$F$2:$G$13,2,FALSE)</f>
        <v>West</v>
      </c>
      <c r="G464" t="s">
        <v>185</v>
      </c>
    </row>
    <row r="465" spans="1:7" x14ac:dyDescent="0.25">
      <c r="A465" t="str">
        <f t="shared" si="7"/>
        <v>C0464</v>
      </c>
      <c r="B465" t="s">
        <v>807</v>
      </c>
      <c r="C465" t="str">
        <f>VLOOKUP(LEFT(B465,FIND(" ",B465)-1),Customer_Helper!$A$2:$B$101,2,FALSE)</f>
        <v>Female</v>
      </c>
      <c r="D465">
        <v>19</v>
      </c>
      <c r="E465" t="s">
        <v>16</v>
      </c>
      <c r="F465" t="str">
        <f>VLOOKUP(E465,Customer_Helper!$F$2:$G$13,2,FALSE)</f>
        <v>South</v>
      </c>
      <c r="G465" t="s">
        <v>185</v>
      </c>
    </row>
    <row r="466" spans="1:7" x14ac:dyDescent="0.25">
      <c r="A466" t="str">
        <f t="shared" si="7"/>
        <v>C0465</v>
      </c>
      <c r="B466" t="s">
        <v>808</v>
      </c>
      <c r="C466" t="str">
        <f>VLOOKUP(LEFT(B466,FIND(" ",B466)-1),Customer_Helper!$A$2:$B$101,2,FALSE)</f>
        <v>Female</v>
      </c>
      <c r="D466">
        <v>51</v>
      </c>
      <c r="E466" t="s">
        <v>2</v>
      </c>
      <c r="F466" t="str">
        <f>VLOOKUP(E466,Customer_Helper!$F$2:$G$13,2,FALSE)</f>
        <v>West</v>
      </c>
      <c r="G466" t="s">
        <v>185</v>
      </c>
    </row>
    <row r="467" spans="1:7" x14ac:dyDescent="0.25">
      <c r="A467" t="str">
        <f t="shared" si="7"/>
        <v>C0466</v>
      </c>
      <c r="B467" t="s">
        <v>809</v>
      </c>
      <c r="C467" t="str">
        <f>VLOOKUP(LEFT(B467,FIND(" ",B467)-1),Customer_Helper!$A$2:$B$101,2,FALSE)</f>
        <v>Female</v>
      </c>
      <c r="D467">
        <v>44</v>
      </c>
      <c r="E467" t="s">
        <v>17</v>
      </c>
      <c r="F467" t="str">
        <f>VLOOKUP(E467,Customer_Helper!$F$2:$G$13,2,FALSE)</f>
        <v>South</v>
      </c>
      <c r="G467" t="s">
        <v>186</v>
      </c>
    </row>
    <row r="468" spans="1:7" x14ac:dyDescent="0.25">
      <c r="A468" t="str">
        <f t="shared" si="7"/>
        <v>C0467</v>
      </c>
      <c r="B468" t="s">
        <v>810</v>
      </c>
      <c r="C468" t="str">
        <f>VLOOKUP(LEFT(B468,FIND(" ",B468)-1),Customer_Helper!$A$2:$B$101,2,FALSE)</f>
        <v>Male</v>
      </c>
      <c r="D468">
        <v>31</v>
      </c>
      <c r="E468" t="s">
        <v>11</v>
      </c>
      <c r="F468" t="str">
        <f>VLOOKUP(E468,Customer_Helper!$F$2:$G$13,2,FALSE)</f>
        <v>East</v>
      </c>
      <c r="G468" t="s">
        <v>186</v>
      </c>
    </row>
    <row r="469" spans="1:7" x14ac:dyDescent="0.25">
      <c r="A469" t="str">
        <f t="shared" si="7"/>
        <v>C0468</v>
      </c>
      <c r="B469" t="s">
        <v>643</v>
      </c>
      <c r="C469" t="str">
        <f>VLOOKUP(LEFT(B469,FIND(" ",B469)-1),Customer_Helper!$A$2:$B$101,2,FALSE)</f>
        <v>Female</v>
      </c>
      <c r="D469">
        <v>47</v>
      </c>
      <c r="E469" t="s">
        <v>7</v>
      </c>
      <c r="F469" t="str">
        <f>VLOOKUP(E469,Customer_Helper!$F$2:$G$13,2,FALSE)</f>
        <v>North</v>
      </c>
      <c r="G469" t="s">
        <v>186</v>
      </c>
    </row>
    <row r="470" spans="1:7" x14ac:dyDescent="0.25">
      <c r="A470" t="str">
        <f t="shared" si="7"/>
        <v>C0469</v>
      </c>
      <c r="B470" t="s">
        <v>500</v>
      </c>
      <c r="C470" t="str">
        <f>VLOOKUP(LEFT(B470,FIND(" ",B470)-1),Customer_Helper!$A$2:$B$101,2,FALSE)</f>
        <v>Male</v>
      </c>
      <c r="D470">
        <v>39</v>
      </c>
      <c r="E470" t="s">
        <v>290</v>
      </c>
      <c r="F470" t="str">
        <f>VLOOKUP(E470,Customer_Helper!$F$2:$G$13,2,FALSE)</f>
        <v>West</v>
      </c>
      <c r="G470" t="s">
        <v>185</v>
      </c>
    </row>
    <row r="471" spans="1:7" x14ac:dyDescent="0.25">
      <c r="A471" t="str">
        <f t="shared" si="7"/>
        <v>C0470</v>
      </c>
      <c r="B471" t="s">
        <v>811</v>
      </c>
      <c r="C471" t="str">
        <f>VLOOKUP(LEFT(B471,FIND(" ",B471)-1),Customer_Helper!$A$2:$B$101,2,FALSE)</f>
        <v>Male</v>
      </c>
      <c r="D471">
        <v>50</v>
      </c>
      <c r="E471" t="s">
        <v>10</v>
      </c>
      <c r="F471" t="str">
        <f>VLOOKUP(E471,Customer_Helper!$F$2:$G$13,2,FALSE)</f>
        <v>North</v>
      </c>
      <c r="G471" t="s">
        <v>185</v>
      </c>
    </row>
    <row r="472" spans="1:7" x14ac:dyDescent="0.25">
      <c r="A472" t="str">
        <f t="shared" si="7"/>
        <v>C0471</v>
      </c>
      <c r="B472" t="s">
        <v>812</v>
      </c>
      <c r="C472" t="str">
        <f>VLOOKUP(LEFT(B472,FIND(" ",B472)-1),Customer_Helper!$A$2:$B$101,2,FALSE)</f>
        <v>Male</v>
      </c>
      <c r="D472">
        <v>39</v>
      </c>
      <c r="E472" t="s">
        <v>14</v>
      </c>
      <c r="F472" t="str">
        <f>VLOOKUP(E472,Customer_Helper!$F$2:$G$13,2,FALSE)</f>
        <v>South</v>
      </c>
      <c r="G472" t="s">
        <v>186</v>
      </c>
    </row>
    <row r="473" spans="1:7" x14ac:dyDescent="0.25">
      <c r="A473" t="str">
        <f t="shared" si="7"/>
        <v>C0472</v>
      </c>
      <c r="B473" t="s">
        <v>813</v>
      </c>
      <c r="C473" t="str">
        <f>VLOOKUP(LEFT(B473,FIND(" ",B473)-1),Customer_Helper!$A$2:$B$101,2,FALSE)</f>
        <v>Male</v>
      </c>
      <c r="D473">
        <v>48</v>
      </c>
      <c r="E473" t="s">
        <v>16</v>
      </c>
      <c r="F473" t="str">
        <f>VLOOKUP(E473,Customer_Helper!$F$2:$G$13,2,FALSE)</f>
        <v>South</v>
      </c>
      <c r="G473" t="s">
        <v>185</v>
      </c>
    </row>
    <row r="474" spans="1:7" x14ac:dyDescent="0.25">
      <c r="A474" t="str">
        <f t="shared" si="7"/>
        <v>C0473</v>
      </c>
      <c r="B474" t="s">
        <v>814</v>
      </c>
      <c r="C474" t="str">
        <f>VLOOKUP(LEFT(B474,FIND(" ",B474)-1),Customer_Helper!$A$2:$B$101,2,FALSE)</f>
        <v>Female</v>
      </c>
      <c r="D474">
        <v>55</v>
      </c>
      <c r="E474" t="s">
        <v>289</v>
      </c>
      <c r="F474" t="str">
        <f>VLOOKUP(E474,Customer_Helper!$F$2:$G$13,2,FALSE)</f>
        <v>West</v>
      </c>
      <c r="G474" t="s">
        <v>186</v>
      </c>
    </row>
    <row r="475" spans="1:7" x14ac:dyDescent="0.25">
      <c r="A475" t="str">
        <f t="shared" si="7"/>
        <v>C0474</v>
      </c>
      <c r="B475" t="s">
        <v>815</v>
      </c>
      <c r="C475" t="str">
        <f>VLOOKUP(LEFT(B475,FIND(" ",B475)-1),Customer_Helper!$A$2:$B$101,2,FALSE)</f>
        <v>Female</v>
      </c>
      <c r="D475">
        <v>37</v>
      </c>
      <c r="E475" t="s">
        <v>9</v>
      </c>
      <c r="F475" t="str">
        <f>VLOOKUP(E475,Customer_Helper!$F$2:$G$13,2,FALSE)</f>
        <v>North</v>
      </c>
      <c r="G475" t="s">
        <v>185</v>
      </c>
    </row>
    <row r="476" spans="1:7" x14ac:dyDescent="0.25">
      <c r="A476" t="str">
        <f t="shared" si="7"/>
        <v>C0475</v>
      </c>
      <c r="B476" t="s">
        <v>816</v>
      </c>
      <c r="C476" t="str">
        <f>VLOOKUP(LEFT(B476,FIND(" ",B476)-1),Customer_Helper!$A$2:$B$101,2,FALSE)</f>
        <v>Female</v>
      </c>
      <c r="D476">
        <v>55</v>
      </c>
      <c r="E476" t="s">
        <v>10</v>
      </c>
      <c r="F476" t="str">
        <f>VLOOKUP(E476,Customer_Helper!$F$2:$G$13,2,FALSE)</f>
        <v>North</v>
      </c>
      <c r="G476" t="s">
        <v>187</v>
      </c>
    </row>
    <row r="477" spans="1:7" x14ac:dyDescent="0.25">
      <c r="A477" t="str">
        <f t="shared" si="7"/>
        <v>C0476</v>
      </c>
      <c r="B477" t="s">
        <v>817</v>
      </c>
      <c r="C477" t="str">
        <f>VLOOKUP(LEFT(B477,FIND(" ",B477)-1),Customer_Helper!$A$2:$B$101,2,FALSE)</f>
        <v>Female</v>
      </c>
      <c r="D477">
        <v>51</v>
      </c>
      <c r="E477" t="s">
        <v>10</v>
      </c>
      <c r="F477" t="str">
        <f>VLOOKUP(E477,Customer_Helper!$F$2:$G$13,2,FALSE)</f>
        <v>North</v>
      </c>
      <c r="G477" t="s">
        <v>187</v>
      </c>
    </row>
    <row r="478" spans="1:7" x14ac:dyDescent="0.25">
      <c r="A478" t="str">
        <f t="shared" si="7"/>
        <v>C0477</v>
      </c>
      <c r="B478" t="s">
        <v>818</v>
      </c>
      <c r="C478" t="str">
        <f>VLOOKUP(LEFT(B478,FIND(" ",B478)-1),Customer_Helper!$A$2:$B$101,2,FALSE)</f>
        <v>Female</v>
      </c>
      <c r="D478">
        <v>33</v>
      </c>
      <c r="E478" t="s">
        <v>17</v>
      </c>
      <c r="F478" t="str">
        <f>VLOOKUP(E478,Customer_Helper!$F$2:$G$13,2,FALSE)</f>
        <v>South</v>
      </c>
      <c r="G478" t="s">
        <v>186</v>
      </c>
    </row>
    <row r="479" spans="1:7" x14ac:dyDescent="0.25">
      <c r="A479" t="str">
        <f t="shared" si="7"/>
        <v>C0478</v>
      </c>
      <c r="B479" t="s">
        <v>819</v>
      </c>
      <c r="C479" t="str">
        <f>VLOOKUP(LEFT(B479,FIND(" ",B479)-1),Customer_Helper!$A$2:$B$101,2,FALSE)</f>
        <v>Male</v>
      </c>
      <c r="D479">
        <v>60</v>
      </c>
      <c r="E479" t="s">
        <v>7</v>
      </c>
      <c r="F479" t="str">
        <f>VLOOKUP(E479,Customer_Helper!$F$2:$G$13,2,FALSE)</f>
        <v>North</v>
      </c>
      <c r="G479" t="s">
        <v>187</v>
      </c>
    </row>
    <row r="480" spans="1:7" x14ac:dyDescent="0.25">
      <c r="A480" t="str">
        <f t="shared" si="7"/>
        <v>C0479</v>
      </c>
      <c r="B480" t="s">
        <v>820</v>
      </c>
      <c r="C480" t="str">
        <f>VLOOKUP(LEFT(B480,FIND(" ",B480)-1),Customer_Helper!$A$2:$B$101,2,FALSE)</f>
        <v>Male</v>
      </c>
      <c r="D480">
        <v>61</v>
      </c>
      <c r="E480" t="s">
        <v>11</v>
      </c>
      <c r="F480" t="str">
        <f>VLOOKUP(E480,Customer_Helper!$F$2:$G$13,2,FALSE)</f>
        <v>East</v>
      </c>
      <c r="G480" t="s">
        <v>187</v>
      </c>
    </row>
    <row r="481" spans="1:7" x14ac:dyDescent="0.25">
      <c r="A481" t="str">
        <f t="shared" si="7"/>
        <v>C0480</v>
      </c>
      <c r="B481" t="s">
        <v>821</v>
      </c>
      <c r="C481" t="str">
        <f>VLOOKUP(LEFT(B481,FIND(" ",B481)-1),Customer_Helper!$A$2:$B$101,2,FALSE)</f>
        <v>Male</v>
      </c>
      <c r="D481">
        <v>50</v>
      </c>
      <c r="E481" t="s">
        <v>2</v>
      </c>
      <c r="F481" t="str">
        <f>VLOOKUP(E481,Customer_Helper!$F$2:$G$13,2,FALSE)</f>
        <v>West</v>
      </c>
      <c r="G481" t="s">
        <v>186</v>
      </c>
    </row>
    <row r="482" spans="1:7" x14ac:dyDescent="0.25">
      <c r="A482" t="str">
        <f t="shared" si="7"/>
        <v>C0481</v>
      </c>
      <c r="B482" t="s">
        <v>822</v>
      </c>
      <c r="C482" t="str">
        <f>VLOOKUP(LEFT(B482,FIND(" ",B482)-1),Customer_Helper!$A$2:$B$101,2,FALSE)</f>
        <v>Female</v>
      </c>
      <c r="D482">
        <v>41</v>
      </c>
      <c r="E482" t="s">
        <v>17</v>
      </c>
      <c r="F482" t="str">
        <f>VLOOKUP(E482,Customer_Helper!$F$2:$G$13,2,FALSE)</f>
        <v>South</v>
      </c>
      <c r="G482" t="s">
        <v>185</v>
      </c>
    </row>
    <row r="483" spans="1:7" x14ac:dyDescent="0.25">
      <c r="A483" t="str">
        <f t="shared" si="7"/>
        <v>C0482</v>
      </c>
      <c r="B483" t="s">
        <v>823</v>
      </c>
      <c r="C483" t="str">
        <f>VLOOKUP(LEFT(B483,FIND(" ",B483)-1),Customer_Helper!$A$2:$B$101,2,FALSE)</f>
        <v>Male</v>
      </c>
      <c r="D483">
        <v>30</v>
      </c>
      <c r="E483" t="s">
        <v>14</v>
      </c>
      <c r="F483" t="str">
        <f>VLOOKUP(E483,Customer_Helper!$F$2:$G$13,2,FALSE)</f>
        <v>South</v>
      </c>
      <c r="G483" t="s">
        <v>186</v>
      </c>
    </row>
    <row r="484" spans="1:7" x14ac:dyDescent="0.25">
      <c r="A484" t="str">
        <f t="shared" si="7"/>
        <v>C0483</v>
      </c>
      <c r="B484" t="s">
        <v>824</v>
      </c>
      <c r="C484" t="str">
        <f>VLOOKUP(LEFT(B484,FIND(" ",B484)-1),Customer_Helper!$A$2:$B$101,2,FALSE)</f>
        <v>Male</v>
      </c>
      <c r="D484">
        <v>39</v>
      </c>
      <c r="E484" t="s">
        <v>2</v>
      </c>
      <c r="F484" t="str">
        <f>VLOOKUP(E484,Customer_Helper!$F$2:$G$13,2,FALSE)</f>
        <v>West</v>
      </c>
      <c r="G484" t="s">
        <v>186</v>
      </c>
    </row>
    <row r="485" spans="1:7" x14ac:dyDescent="0.25">
      <c r="A485" t="str">
        <f t="shared" si="7"/>
        <v>C0484</v>
      </c>
      <c r="B485" t="s">
        <v>825</v>
      </c>
      <c r="C485" t="str">
        <f>VLOOKUP(LEFT(B485,FIND(" ",B485)-1),Customer_Helper!$A$2:$B$101,2,FALSE)</f>
        <v>Male</v>
      </c>
      <c r="D485">
        <v>62</v>
      </c>
      <c r="E485" t="s">
        <v>5</v>
      </c>
      <c r="F485" t="str">
        <f>VLOOKUP(E485,Customer_Helper!$F$2:$G$13,2,FALSE)</f>
        <v>West</v>
      </c>
      <c r="G485" t="s">
        <v>187</v>
      </c>
    </row>
    <row r="486" spans="1:7" x14ac:dyDescent="0.25">
      <c r="A486" t="str">
        <f t="shared" si="7"/>
        <v>C0485</v>
      </c>
      <c r="B486" t="s">
        <v>826</v>
      </c>
      <c r="C486" t="str">
        <f>VLOOKUP(LEFT(B486,FIND(" ",B486)-1),Customer_Helper!$A$2:$B$101,2,FALSE)</f>
        <v>Male</v>
      </c>
      <c r="D486">
        <v>56</v>
      </c>
      <c r="E486" t="s">
        <v>289</v>
      </c>
      <c r="F486" t="str">
        <f>VLOOKUP(E486,Customer_Helper!$F$2:$G$13,2,FALSE)</f>
        <v>West</v>
      </c>
      <c r="G486" t="s">
        <v>185</v>
      </c>
    </row>
    <row r="487" spans="1:7" x14ac:dyDescent="0.25">
      <c r="A487" t="str">
        <f t="shared" si="7"/>
        <v>C0486</v>
      </c>
      <c r="B487" t="s">
        <v>827</v>
      </c>
      <c r="C487" t="str">
        <f>VLOOKUP(LEFT(B487,FIND(" ",B487)-1),Customer_Helper!$A$2:$B$101,2,FALSE)</f>
        <v>Male</v>
      </c>
      <c r="D487">
        <v>24</v>
      </c>
      <c r="E487" t="s">
        <v>289</v>
      </c>
      <c r="F487" t="str">
        <f>VLOOKUP(E487,Customer_Helper!$F$2:$G$13,2,FALSE)</f>
        <v>West</v>
      </c>
      <c r="G487" t="s">
        <v>185</v>
      </c>
    </row>
    <row r="488" spans="1:7" x14ac:dyDescent="0.25">
      <c r="A488" t="str">
        <f t="shared" si="7"/>
        <v>C0487</v>
      </c>
      <c r="B488" t="s">
        <v>828</v>
      </c>
      <c r="C488" t="str">
        <f>VLOOKUP(LEFT(B488,FIND(" ",B488)-1),Customer_Helper!$A$2:$B$101,2,FALSE)</f>
        <v>Female</v>
      </c>
      <c r="D488">
        <v>63</v>
      </c>
      <c r="E488" t="s">
        <v>11</v>
      </c>
      <c r="F488" t="str">
        <f>VLOOKUP(E488,Customer_Helper!$F$2:$G$13,2,FALSE)</f>
        <v>East</v>
      </c>
      <c r="G488" t="s">
        <v>185</v>
      </c>
    </row>
    <row r="489" spans="1:7" x14ac:dyDescent="0.25">
      <c r="A489" t="str">
        <f t="shared" si="7"/>
        <v>C0488</v>
      </c>
      <c r="B489" t="s">
        <v>829</v>
      </c>
      <c r="C489" t="str">
        <f>VLOOKUP(LEFT(B489,FIND(" ",B489)-1),Customer_Helper!$A$2:$B$101,2,FALSE)</f>
        <v>Female</v>
      </c>
      <c r="D489">
        <v>23</v>
      </c>
      <c r="E489" t="s">
        <v>2</v>
      </c>
      <c r="F489" t="str">
        <f>VLOOKUP(E489,Customer_Helper!$F$2:$G$13,2,FALSE)</f>
        <v>West</v>
      </c>
      <c r="G489" t="s">
        <v>185</v>
      </c>
    </row>
    <row r="490" spans="1:7" x14ac:dyDescent="0.25">
      <c r="A490" t="str">
        <f t="shared" si="7"/>
        <v>C0489</v>
      </c>
      <c r="B490" t="s">
        <v>830</v>
      </c>
      <c r="C490" t="str">
        <f>VLOOKUP(LEFT(B490,FIND(" ",B490)-1),Customer_Helper!$A$2:$B$101,2,FALSE)</f>
        <v>Female</v>
      </c>
      <c r="D490">
        <v>20</v>
      </c>
      <c r="E490" t="s">
        <v>5</v>
      </c>
      <c r="F490" t="str">
        <f>VLOOKUP(E490,Customer_Helper!$F$2:$G$13,2,FALSE)</f>
        <v>West</v>
      </c>
      <c r="G490" t="s">
        <v>187</v>
      </c>
    </row>
    <row r="491" spans="1:7" x14ac:dyDescent="0.25">
      <c r="A491" t="str">
        <f t="shared" si="7"/>
        <v>C0490</v>
      </c>
      <c r="B491" t="s">
        <v>831</v>
      </c>
      <c r="C491" t="str">
        <f>VLOOKUP(LEFT(B491,FIND(" ",B491)-1),Customer_Helper!$A$2:$B$101,2,FALSE)</f>
        <v>Male</v>
      </c>
      <c r="D491">
        <v>57</v>
      </c>
      <c r="E491" t="s">
        <v>11</v>
      </c>
      <c r="F491" t="str">
        <f>VLOOKUP(E491,Customer_Helper!$F$2:$G$13,2,FALSE)</f>
        <v>East</v>
      </c>
      <c r="G491" t="s">
        <v>186</v>
      </c>
    </row>
    <row r="492" spans="1:7" x14ac:dyDescent="0.25">
      <c r="A492" t="str">
        <f t="shared" si="7"/>
        <v>C0491</v>
      </c>
      <c r="B492" t="s">
        <v>779</v>
      </c>
      <c r="C492" t="str">
        <f>VLOOKUP(LEFT(B492,FIND(" ",B492)-1),Customer_Helper!$A$2:$B$101,2,FALSE)</f>
        <v>Female</v>
      </c>
      <c r="D492">
        <v>38</v>
      </c>
      <c r="E492" t="s">
        <v>9</v>
      </c>
      <c r="F492" t="str">
        <f>VLOOKUP(E492,Customer_Helper!$F$2:$G$13,2,FALSE)</f>
        <v>North</v>
      </c>
      <c r="G492" t="s">
        <v>185</v>
      </c>
    </row>
    <row r="493" spans="1:7" x14ac:dyDescent="0.25">
      <c r="A493" t="str">
        <f t="shared" si="7"/>
        <v>C0492</v>
      </c>
      <c r="B493" t="s">
        <v>832</v>
      </c>
      <c r="C493" t="str">
        <f>VLOOKUP(LEFT(B493,FIND(" ",B493)-1),Customer_Helper!$A$2:$B$101,2,FALSE)</f>
        <v>Female</v>
      </c>
      <c r="D493">
        <v>55</v>
      </c>
      <c r="E493" t="s">
        <v>10</v>
      </c>
      <c r="F493" t="str">
        <f>VLOOKUP(E493,Customer_Helper!$F$2:$G$13,2,FALSE)</f>
        <v>North</v>
      </c>
      <c r="G493" t="s">
        <v>186</v>
      </c>
    </row>
    <row r="494" spans="1:7" x14ac:dyDescent="0.25">
      <c r="A494" t="str">
        <f t="shared" si="7"/>
        <v>C0493</v>
      </c>
      <c r="B494" t="s">
        <v>833</v>
      </c>
      <c r="C494" t="str">
        <f>VLOOKUP(LEFT(B494,FIND(" ",B494)-1),Customer_Helper!$A$2:$B$101,2,FALSE)</f>
        <v>Female</v>
      </c>
      <c r="D494">
        <v>21</v>
      </c>
      <c r="E494" t="s">
        <v>10</v>
      </c>
      <c r="F494" t="str">
        <f>VLOOKUP(E494,Customer_Helper!$F$2:$G$13,2,FALSE)</f>
        <v>North</v>
      </c>
      <c r="G494" t="s">
        <v>185</v>
      </c>
    </row>
    <row r="495" spans="1:7" x14ac:dyDescent="0.25">
      <c r="A495" t="str">
        <f t="shared" si="7"/>
        <v>C0494</v>
      </c>
      <c r="B495" t="s">
        <v>834</v>
      </c>
      <c r="C495" t="str">
        <f>VLOOKUP(LEFT(B495,FIND(" ",B495)-1),Customer_Helper!$A$2:$B$101,2,FALSE)</f>
        <v>Male</v>
      </c>
      <c r="D495">
        <v>65</v>
      </c>
      <c r="E495" t="s">
        <v>4</v>
      </c>
      <c r="F495" t="str">
        <f>VLOOKUP(E495,Customer_Helper!$F$2:$G$13,2,FALSE)</f>
        <v>West</v>
      </c>
      <c r="G495" t="s">
        <v>187</v>
      </c>
    </row>
    <row r="496" spans="1:7" x14ac:dyDescent="0.25">
      <c r="A496" t="str">
        <f t="shared" si="7"/>
        <v>C0495</v>
      </c>
      <c r="B496" t="s">
        <v>835</v>
      </c>
      <c r="C496" t="str">
        <f>VLOOKUP(LEFT(B496,FIND(" ",B496)-1),Customer_Helper!$A$2:$B$101,2,FALSE)</f>
        <v>Female</v>
      </c>
      <c r="D496">
        <v>28</v>
      </c>
      <c r="E496" t="s">
        <v>2</v>
      </c>
      <c r="F496" t="str">
        <f>VLOOKUP(E496,Customer_Helper!$F$2:$G$13,2,FALSE)</f>
        <v>West</v>
      </c>
      <c r="G496" t="s">
        <v>187</v>
      </c>
    </row>
    <row r="497" spans="1:7" x14ac:dyDescent="0.25">
      <c r="A497" t="str">
        <f t="shared" si="7"/>
        <v>C0496</v>
      </c>
      <c r="B497" t="s">
        <v>836</v>
      </c>
      <c r="C497" t="str">
        <f>VLOOKUP(LEFT(B497,FIND(" ",B497)-1),Customer_Helper!$A$2:$B$101,2,FALSE)</f>
        <v>Female</v>
      </c>
      <c r="D497">
        <v>58</v>
      </c>
      <c r="E497" t="s">
        <v>11</v>
      </c>
      <c r="F497" t="str">
        <f>VLOOKUP(E497,Customer_Helper!$F$2:$G$13,2,FALSE)</f>
        <v>East</v>
      </c>
      <c r="G497" t="s">
        <v>186</v>
      </c>
    </row>
    <row r="498" spans="1:7" x14ac:dyDescent="0.25">
      <c r="A498" t="str">
        <f t="shared" si="7"/>
        <v>C0497</v>
      </c>
      <c r="B498" t="s">
        <v>837</v>
      </c>
      <c r="C498" t="str">
        <f>VLOOKUP(LEFT(B498,FIND(" ",B498)-1),Customer_Helper!$A$2:$B$101,2,FALSE)</f>
        <v>Male</v>
      </c>
      <c r="D498">
        <v>47</v>
      </c>
      <c r="E498" t="s">
        <v>290</v>
      </c>
      <c r="F498" t="str">
        <f>VLOOKUP(E498,Customer_Helper!$F$2:$G$13,2,FALSE)</f>
        <v>West</v>
      </c>
      <c r="G498" t="s">
        <v>185</v>
      </c>
    </row>
    <row r="499" spans="1:7" x14ac:dyDescent="0.25">
      <c r="A499" t="str">
        <f t="shared" si="7"/>
        <v>C0498</v>
      </c>
      <c r="B499" t="s">
        <v>838</v>
      </c>
      <c r="C499" t="str">
        <f>VLOOKUP(LEFT(B499,FIND(" ",B499)-1),Customer_Helper!$A$2:$B$101,2,FALSE)</f>
        <v>Female</v>
      </c>
      <c r="D499">
        <v>59</v>
      </c>
      <c r="E499" t="s">
        <v>7</v>
      </c>
      <c r="F499" t="str">
        <f>VLOOKUP(E499,Customer_Helper!$F$2:$G$13,2,FALSE)</f>
        <v>North</v>
      </c>
      <c r="G499" t="s">
        <v>187</v>
      </c>
    </row>
    <row r="500" spans="1:7" x14ac:dyDescent="0.25">
      <c r="A500" t="str">
        <f t="shared" si="7"/>
        <v>C0499</v>
      </c>
      <c r="B500" t="s">
        <v>553</v>
      </c>
      <c r="C500" t="str">
        <f>VLOOKUP(LEFT(B500,FIND(" ",B500)-1),Customer_Helper!$A$2:$B$101,2,FALSE)</f>
        <v>Male</v>
      </c>
      <c r="D500">
        <v>34</v>
      </c>
      <c r="E500" t="s">
        <v>9</v>
      </c>
      <c r="F500" t="str">
        <f>VLOOKUP(E500,Customer_Helper!$F$2:$G$13,2,FALSE)</f>
        <v>North</v>
      </c>
      <c r="G500" t="s">
        <v>187</v>
      </c>
    </row>
    <row r="501" spans="1:7" x14ac:dyDescent="0.25">
      <c r="A501" t="str">
        <f t="shared" si="7"/>
        <v>C0500</v>
      </c>
      <c r="B501" t="s">
        <v>777</v>
      </c>
      <c r="C501" t="str">
        <f>VLOOKUP(LEFT(B501,FIND(" ",B501)-1),Customer_Helper!$A$2:$B$101,2,FALSE)</f>
        <v>Female</v>
      </c>
      <c r="D501">
        <v>19</v>
      </c>
      <c r="E501" t="s">
        <v>4</v>
      </c>
      <c r="F501" t="str">
        <f>VLOOKUP(E501,Customer_Helper!$F$2:$G$13,2,FALSE)</f>
        <v>West</v>
      </c>
      <c r="G501" t="s">
        <v>187</v>
      </c>
    </row>
    <row r="502" spans="1:7" x14ac:dyDescent="0.25">
      <c r="A502" t="str">
        <f t="shared" si="7"/>
        <v>C0501</v>
      </c>
      <c r="B502" t="s">
        <v>839</v>
      </c>
      <c r="C502" t="str">
        <f>VLOOKUP(LEFT(B502,FIND(" ",B502)-1),Customer_Helper!$A$2:$B$101,2,FALSE)</f>
        <v>Female</v>
      </c>
      <c r="D502">
        <v>60</v>
      </c>
      <c r="E502" t="s">
        <v>17</v>
      </c>
      <c r="F502" t="str">
        <f>VLOOKUP(E502,Customer_Helper!$F$2:$G$13,2,FALSE)</f>
        <v>South</v>
      </c>
      <c r="G502" t="s">
        <v>186</v>
      </c>
    </row>
    <row r="503" spans="1:7" x14ac:dyDescent="0.25">
      <c r="A503" t="str">
        <f t="shared" si="7"/>
        <v>C0502</v>
      </c>
      <c r="B503" t="s">
        <v>840</v>
      </c>
      <c r="C503" t="str">
        <f>VLOOKUP(LEFT(B503,FIND(" ",B503)-1),Customer_Helper!$A$2:$B$101,2,FALSE)</f>
        <v>Female</v>
      </c>
      <c r="D503">
        <v>34</v>
      </c>
      <c r="E503" t="s">
        <v>10</v>
      </c>
      <c r="F503" t="str">
        <f>VLOOKUP(E503,Customer_Helper!$F$2:$G$13,2,FALSE)</f>
        <v>North</v>
      </c>
      <c r="G503" t="s">
        <v>187</v>
      </c>
    </row>
    <row r="504" spans="1:7" x14ac:dyDescent="0.25">
      <c r="A504" t="str">
        <f t="shared" si="7"/>
        <v>C0503</v>
      </c>
      <c r="B504" t="s">
        <v>841</v>
      </c>
      <c r="C504" t="str">
        <f>VLOOKUP(LEFT(B504,FIND(" ",B504)-1),Customer_Helper!$A$2:$B$101,2,FALSE)</f>
        <v>Female</v>
      </c>
      <c r="D504">
        <v>61</v>
      </c>
      <c r="E504" t="s">
        <v>10</v>
      </c>
      <c r="F504" t="str">
        <f>VLOOKUP(E504,Customer_Helper!$F$2:$G$13,2,FALSE)</f>
        <v>North</v>
      </c>
      <c r="G504" t="s">
        <v>186</v>
      </c>
    </row>
    <row r="505" spans="1:7" x14ac:dyDescent="0.25">
      <c r="A505" t="str">
        <f t="shared" si="7"/>
        <v>C0504</v>
      </c>
      <c r="B505" t="s">
        <v>842</v>
      </c>
      <c r="C505" t="str">
        <f>VLOOKUP(LEFT(B505,FIND(" ",B505)-1),Customer_Helper!$A$2:$B$101,2,FALSE)</f>
        <v>Male</v>
      </c>
      <c r="D505">
        <v>39</v>
      </c>
      <c r="E505" t="s">
        <v>7</v>
      </c>
      <c r="F505" t="str">
        <f>VLOOKUP(E505,Customer_Helper!$F$2:$G$13,2,FALSE)</f>
        <v>North</v>
      </c>
      <c r="G505" t="s">
        <v>187</v>
      </c>
    </row>
    <row r="506" spans="1:7" x14ac:dyDescent="0.25">
      <c r="A506" t="str">
        <f t="shared" si="7"/>
        <v>C0505</v>
      </c>
      <c r="B506" t="s">
        <v>843</v>
      </c>
      <c r="C506" t="str">
        <f>VLOOKUP(LEFT(B506,FIND(" ",B506)-1),Customer_Helper!$A$2:$B$101,2,FALSE)</f>
        <v>Female</v>
      </c>
      <c r="D506">
        <v>19</v>
      </c>
      <c r="E506" t="s">
        <v>7</v>
      </c>
      <c r="F506" t="str">
        <f>VLOOKUP(E506,Customer_Helper!$F$2:$G$13,2,FALSE)</f>
        <v>North</v>
      </c>
      <c r="G506" t="s">
        <v>186</v>
      </c>
    </row>
    <row r="507" spans="1:7" x14ac:dyDescent="0.25">
      <c r="A507" t="str">
        <f t="shared" si="7"/>
        <v>C0506</v>
      </c>
      <c r="B507" t="s">
        <v>844</v>
      </c>
      <c r="C507" t="str">
        <f>VLOOKUP(LEFT(B507,FIND(" ",B507)-1),Customer_Helper!$A$2:$B$101,2,FALSE)</f>
        <v>Male</v>
      </c>
      <c r="D507">
        <v>37</v>
      </c>
      <c r="E507" t="s">
        <v>16</v>
      </c>
      <c r="F507" t="str">
        <f>VLOOKUP(E507,Customer_Helper!$F$2:$G$13,2,FALSE)</f>
        <v>South</v>
      </c>
      <c r="G507" t="s">
        <v>186</v>
      </c>
    </row>
    <row r="508" spans="1:7" x14ac:dyDescent="0.25">
      <c r="A508" t="str">
        <f t="shared" si="7"/>
        <v>C0507</v>
      </c>
      <c r="B508" t="s">
        <v>845</v>
      </c>
      <c r="C508" t="str">
        <f>VLOOKUP(LEFT(B508,FIND(" ",B508)-1),Customer_Helper!$A$2:$B$101,2,FALSE)</f>
        <v>Female</v>
      </c>
      <c r="D508">
        <v>52</v>
      </c>
      <c r="E508" t="s">
        <v>14</v>
      </c>
      <c r="F508" t="str">
        <f>VLOOKUP(E508,Customer_Helper!$F$2:$G$13,2,FALSE)</f>
        <v>South</v>
      </c>
      <c r="G508" t="s">
        <v>186</v>
      </c>
    </row>
    <row r="509" spans="1:7" x14ac:dyDescent="0.25">
      <c r="A509" t="str">
        <f t="shared" si="7"/>
        <v>C0508</v>
      </c>
      <c r="B509" t="s">
        <v>846</v>
      </c>
      <c r="C509" t="str">
        <f>VLOOKUP(LEFT(B509,FIND(" ",B509)-1),Customer_Helper!$A$2:$B$101,2,FALSE)</f>
        <v>Female</v>
      </c>
      <c r="D509">
        <v>52</v>
      </c>
      <c r="E509" t="s">
        <v>14</v>
      </c>
      <c r="F509" t="str">
        <f>VLOOKUP(E509,Customer_Helper!$F$2:$G$13,2,FALSE)</f>
        <v>South</v>
      </c>
      <c r="G509" t="s">
        <v>187</v>
      </c>
    </row>
    <row r="510" spans="1:7" x14ac:dyDescent="0.25">
      <c r="A510" t="str">
        <f t="shared" si="7"/>
        <v>C0509</v>
      </c>
      <c r="B510" t="s">
        <v>847</v>
      </c>
      <c r="C510" t="str">
        <f>VLOOKUP(LEFT(B510,FIND(" ",B510)-1),Customer_Helper!$A$2:$B$101,2,FALSE)</f>
        <v>Male</v>
      </c>
      <c r="D510">
        <v>52</v>
      </c>
      <c r="E510" t="s">
        <v>2</v>
      </c>
      <c r="F510" t="str">
        <f>VLOOKUP(E510,Customer_Helper!$F$2:$G$13,2,FALSE)</f>
        <v>West</v>
      </c>
      <c r="G510" t="s">
        <v>185</v>
      </c>
    </row>
    <row r="511" spans="1:7" x14ac:dyDescent="0.25">
      <c r="A511" t="str">
        <f t="shared" si="7"/>
        <v>C0510</v>
      </c>
      <c r="B511" t="s">
        <v>848</v>
      </c>
      <c r="C511" t="str">
        <f>VLOOKUP(LEFT(B511,FIND(" ",B511)-1),Customer_Helper!$A$2:$B$101,2,FALSE)</f>
        <v>Female</v>
      </c>
      <c r="D511">
        <v>47</v>
      </c>
      <c r="E511" t="s">
        <v>10</v>
      </c>
      <c r="F511" t="str">
        <f>VLOOKUP(E511,Customer_Helper!$F$2:$G$13,2,FALSE)</f>
        <v>North</v>
      </c>
      <c r="G511" t="s">
        <v>186</v>
      </c>
    </row>
    <row r="512" spans="1:7" x14ac:dyDescent="0.25">
      <c r="A512" t="str">
        <f t="shared" si="7"/>
        <v>C0511</v>
      </c>
      <c r="B512" t="s">
        <v>849</v>
      </c>
      <c r="C512" t="str">
        <f>VLOOKUP(LEFT(B512,FIND(" ",B512)-1),Customer_Helper!$A$2:$B$101,2,FALSE)</f>
        <v>Male</v>
      </c>
      <c r="D512">
        <v>27</v>
      </c>
      <c r="E512" t="s">
        <v>17</v>
      </c>
      <c r="F512" t="str">
        <f>VLOOKUP(E512,Customer_Helper!$F$2:$G$13,2,FALSE)</f>
        <v>South</v>
      </c>
      <c r="G512" t="s">
        <v>185</v>
      </c>
    </row>
    <row r="513" spans="1:7" x14ac:dyDescent="0.25">
      <c r="A513" t="str">
        <f t="shared" si="7"/>
        <v>C0512</v>
      </c>
      <c r="B513" t="s">
        <v>850</v>
      </c>
      <c r="C513" t="str">
        <f>VLOOKUP(LEFT(B513,FIND(" ",B513)-1),Customer_Helper!$A$2:$B$101,2,FALSE)</f>
        <v>Male</v>
      </c>
      <c r="D513">
        <v>44</v>
      </c>
      <c r="E513" t="s">
        <v>5</v>
      </c>
      <c r="F513" t="str">
        <f>VLOOKUP(E513,Customer_Helper!$F$2:$G$13,2,FALSE)</f>
        <v>West</v>
      </c>
      <c r="G513" t="s">
        <v>186</v>
      </c>
    </row>
    <row r="514" spans="1:7" x14ac:dyDescent="0.25">
      <c r="A514" t="str">
        <f t="shared" si="7"/>
        <v>C0513</v>
      </c>
      <c r="B514" t="s">
        <v>851</v>
      </c>
      <c r="C514" t="str">
        <f>VLOOKUP(LEFT(B514,FIND(" ",B514)-1),Customer_Helper!$A$2:$B$101,2,FALSE)</f>
        <v>Male</v>
      </c>
      <c r="D514">
        <v>43</v>
      </c>
      <c r="E514" t="s">
        <v>4</v>
      </c>
      <c r="F514" t="str">
        <f>VLOOKUP(E514,Customer_Helper!$F$2:$G$13,2,FALSE)</f>
        <v>West</v>
      </c>
      <c r="G514" t="s">
        <v>185</v>
      </c>
    </row>
    <row r="515" spans="1:7" x14ac:dyDescent="0.25">
      <c r="A515" t="str">
        <f t="shared" ref="A515:A578" si="8">"C"&amp;TEXT(ROW()-1,"0000")</f>
        <v>C0514</v>
      </c>
      <c r="B515" t="s">
        <v>852</v>
      </c>
      <c r="C515" t="str">
        <f>VLOOKUP(LEFT(B515,FIND(" ",B515)-1),Customer_Helper!$A$2:$B$101,2,FALSE)</f>
        <v>Male</v>
      </c>
      <c r="D515">
        <v>57</v>
      </c>
      <c r="E515" t="s">
        <v>14</v>
      </c>
      <c r="F515" t="str">
        <f>VLOOKUP(E515,Customer_Helper!$F$2:$G$13,2,FALSE)</f>
        <v>South</v>
      </c>
      <c r="G515" t="s">
        <v>186</v>
      </c>
    </row>
    <row r="516" spans="1:7" x14ac:dyDescent="0.25">
      <c r="A516" t="str">
        <f t="shared" si="8"/>
        <v>C0515</v>
      </c>
      <c r="B516" t="s">
        <v>853</v>
      </c>
      <c r="C516" t="str">
        <f>VLOOKUP(LEFT(B516,FIND(" ",B516)-1),Customer_Helper!$A$2:$B$101,2,FALSE)</f>
        <v>Male</v>
      </c>
      <c r="D516">
        <v>37</v>
      </c>
      <c r="E516" t="s">
        <v>11</v>
      </c>
      <c r="F516" t="str">
        <f>VLOOKUP(E516,Customer_Helper!$F$2:$G$13,2,FALSE)</f>
        <v>East</v>
      </c>
      <c r="G516" t="s">
        <v>186</v>
      </c>
    </row>
    <row r="517" spans="1:7" x14ac:dyDescent="0.25">
      <c r="A517" t="str">
        <f t="shared" si="8"/>
        <v>C0516</v>
      </c>
      <c r="B517" t="s">
        <v>854</v>
      </c>
      <c r="C517" t="str">
        <f>VLOOKUP(LEFT(B517,FIND(" ",B517)-1),Customer_Helper!$A$2:$B$101,2,FALSE)</f>
        <v>Female</v>
      </c>
      <c r="D517">
        <v>28</v>
      </c>
      <c r="E517" t="s">
        <v>2</v>
      </c>
      <c r="F517" t="str">
        <f>VLOOKUP(E517,Customer_Helper!$F$2:$G$13,2,FALSE)</f>
        <v>West</v>
      </c>
      <c r="G517" t="s">
        <v>186</v>
      </c>
    </row>
    <row r="518" spans="1:7" x14ac:dyDescent="0.25">
      <c r="A518" t="str">
        <f t="shared" si="8"/>
        <v>C0517</v>
      </c>
      <c r="B518" t="s">
        <v>855</v>
      </c>
      <c r="C518" t="str">
        <f>VLOOKUP(LEFT(B518,FIND(" ",B518)-1),Customer_Helper!$A$2:$B$101,2,FALSE)</f>
        <v>Female</v>
      </c>
      <c r="D518">
        <v>62</v>
      </c>
      <c r="E518" t="s">
        <v>9</v>
      </c>
      <c r="F518" t="str">
        <f>VLOOKUP(E518,Customer_Helper!$F$2:$G$13,2,FALSE)</f>
        <v>North</v>
      </c>
      <c r="G518" t="s">
        <v>186</v>
      </c>
    </row>
    <row r="519" spans="1:7" x14ac:dyDescent="0.25">
      <c r="A519" t="str">
        <f t="shared" si="8"/>
        <v>C0518</v>
      </c>
      <c r="B519" t="s">
        <v>856</v>
      </c>
      <c r="C519" t="str">
        <f>VLOOKUP(LEFT(B519,FIND(" ",B519)-1),Customer_Helper!$A$2:$B$101,2,FALSE)</f>
        <v>Female</v>
      </c>
      <c r="D519">
        <v>34</v>
      </c>
      <c r="E519" t="s">
        <v>290</v>
      </c>
      <c r="F519" t="str">
        <f>VLOOKUP(E519,Customer_Helper!$F$2:$G$13,2,FALSE)</f>
        <v>West</v>
      </c>
      <c r="G519" t="s">
        <v>185</v>
      </c>
    </row>
    <row r="520" spans="1:7" x14ac:dyDescent="0.25">
      <c r="A520" t="str">
        <f t="shared" si="8"/>
        <v>C0519</v>
      </c>
      <c r="B520" t="s">
        <v>857</v>
      </c>
      <c r="C520" t="str">
        <f>VLOOKUP(LEFT(B520,FIND(" ",B520)-1),Customer_Helper!$A$2:$B$101,2,FALSE)</f>
        <v>Male</v>
      </c>
      <c r="D520">
        <v>20</v>
      </c>
      <c r="E520" t="s">
        <v>14</v>
      </c>
      <c r="F520" t="str">
        <f>VLOOKUP(E520,Customer_Helper!$F$2:$G$13,2,FALSE)</f>
        <v>South</v>
      </c>
      <c r="G520" t="s">
        <v>187</v>
      </c>
    </row>
    <row r="521" spans="1:7" x14ac:dyDescent="0.25">
      <c r="A521" t="str">
        <f t="shared" si="8"/>
        <v>C0520</v>
      </c>
      <c r="B521" t="s">
        <v>858</v>
      </c>
      <c r="C521" t="str">
        <f>VLOOKUP(LEFT(B521,FIND(" ",B521)-1),Customer_Helper!$A$2:$B$101,2,FALSE)</f>
        <v>Male</v>
      </c>
      <c r="D521">
        <v>41</v>
      </c>
      <c r="E521" t="s">
        <v>289</v>
      </c>
      <c r="F521" t="str">
        <f>VLOOKUP(E521,Customer_Helper!$F$2:$G$13,2,FALSE)</f>
        <v>West</v>
      </c>
      <c r="G521" t="s">
        <v>186</v>
      </c>
    </row>
    <row r="522" spans="1:7" x14ac:dyDescent="0.25">
      <c r="A522" t="str">
        <f t="shared" si="8"/>
        <v>C0521</v>
      </c>
      <c r="B522" t="s">
        <v>859</v>
      </c>
      <c r="C522" t="str">
        <f>VLOOKUP(LEFT(B522,FIND(" ",B522)-1),Customer_Helper!$A$2:$B$101,2,FALSE)</f>
        <v>Female</v>
      </c>
      <c r="D522">
        <v>61</v>
      </c>
      <c r="E522" t="s">
        <v>11</v>
      </c>
      <c r="F522" t="str">
        <f>VLOOKUP(E522,Customer_Helper!$F$2:$G$13,2,FALSE)</f>
        <v>East</v>
      </c>
      <c r="G522" t="s">
        <v>185</v>
      </c>
    </row>
    <row r="523" spans="1:7" x14ac:dyDescent="0.25">
      <c r="A523" t="str">
        <f t="shared" si="8"/>
        <v>C0522</v>
      </c>
      <c r="B523" t="s">
        <v>860</v>
      </c>
      <c r="C523" t="str">
        <f>VLOOKUP(LEFT(B523,FIND(" ",B523)-1),Customer_Helper!$A$2:$B$101,2,FALSE)</f>
        <v>Female</v>
      </c>
      <c r="D523">
        <v>57</v>
      </c>
      <c r="E523" t="s">
        <v>9</v>
      </c>
      <c r="F523" t="str">
        <f>VLOOKUP(E523,Customer_Helper!$F$2:$G$13,2,FALSE)</f>
        <v>North</v>
      </c>
      <c r="G523" t="s">
        <v>187</v>
      </c>
    </row>
    <row r="524" spans="1:7" x14ac:dyDescent="0.25">
      <c r="A524" t="str">
        <f t="shared" si="8"/>
        <v>C0523</v>
      </c>
      <c r="B524" t="s">
        <v>861</v>
      </c>
      <c r="C524" t="str">
        <f>VLOOKUP(LEFT(B524,FIND(" ",B524)-1),Customer_Helper!$A$2:$B$101,2,FALSE)</f>
        <v>Male</v>
      </c>
      <c r="D524">
        <v>26</v>
      </c>
      <c r="E524" t="s">
        <v>7</v>
      </c>
      <c r="F524" t="str">
        <f>VLOOKUP(E524,Customer_Helper!$F$2:$G$13,2,FALSE)</f>
        <v>North</v>
      </c>
      <c r="G524" t="s">
        <v>186</v>
      </c>
    </row>
    <row r="525" spans="1:7" x14ac:dyDescent="0.25">
      <c r="A525" t="str">
        <f t="shared" si="8"/>
        <v>C0524</v>
      </c>
      <c r="B525" t="s">
        <v>862</v>
      </c>
      <c r="C525" t="str">
        <f>VLOOKUP(LEFT(B525,FIND(" ",B525)-1),Customer_Helper!$A$2:$B$101,2,FALSE)</f>
        <v>Female</v>
      </c>
      <c r="D525">
        <v>59</v>
      </c>
      <c r="E525" t="s">
        <v>4</v>
      </c>
      <c r="F525" t="str">
        <f>VLOOKUP(E525,Customer_Helper!$F$2:$G$13,2,FALSE)</f>
        <v>West</v>
      </c>
      <c r="G525" t="s">
        <v>187</v>
      </c>
    </row>
    <row r="526" spans="1:7" x14ac:dyDescent="0.25">
      <c r="A526" t="str">
        <f t="shared" si="8"/>
        <v>C0525</v>
      </c>
      <c r="B526" t="s">
        <v>863</v>
      </c>
      <c r="C526" t="str">
        <f>VLOOKUP(LEFT(B526,FIND(" ",B526)-1),Customer_Helper!$A$2:$B$101,2,FALSE)</f>
        <v>Female</v>
      </c>
      <c r="D526">
        <v>24</v>
      </c>
      <c r="E526" t="s">
        <v>11</v>
      </c>
      <c r="F526" t="str">
        <f>VLOOKUP(E526,Customer_Helper!$F$2:$G$13,2,FALSE)</f>
        <v>East</v>
      </c>
      <c r="G526" t="s">
        <v>187</v>
      </c>
    </row>
    <row r="527" spans="1:7" x14ac:dyDescent="0.25">
      <c r="A527" t="str">
        <f t="shared" si="8"/>
        <v>C0526</v>
      </c>
      <c r="B527" t="s">
        <v>864</v>
      </c>
      <c r="C527" t="str">
        <f>VLOOKUP(LEFT(B527,FIND(" ",B527)-1),Customer_Helper!$A$2:$B$101,2,FALSE)</f>
        <v>Female</v>
      </c>
      <c r="D527">
        <v>61</v>
      </c>
      <c r="E527" t="s">
        <v>4</v>
      </c>
      <c r="F527" t="str">
        <f>VLOOKUP(E527,Customer_Helper!$F$2:$G$13,2,FALSE)</f>
        <v>West</v>
      </c>
      <c r="G527" t="s">
        <v>185</v>
      </c>
    </row>
    <row r="528" spans="1:7" x14ac:dyDescent="0.25">
      <c r="A528" t="str">
        <f t="shared" si="8"/>
        <v>C0527</v>
      </c>
      <c r="B528" t="s">
        <v>865</v>
      </c>
      <c r="C528" t="str">
        <f>VLOOKUP(LEFT(B528,FIND(" ",B528)-1),Customer_Helper!$A$2:$B$101,2,FALSE)</f>
        <v>Male</v>
      </c>
      <c r="D528">
        <v>43</v>
      </c>
      <c r="E528" t="s">
        <v>10</v>
      </c>
      <c r="F528" t="str">
        <f>VLOOKUP(E528,Customer_Helper!$F$2:$G$13,2,FALSE)</f>
        <v>North</v>
      </c>
      <c r="G528" t="s">
        <v>187</v>
      </c>
    </row>
    <row r="529" spans="1:7" x14ac:dyDescent="0.25">
      <c r="A529" t="str">
        <f t="shared" si="8"/>
        <v>C0528</v>
      </c>
      <c r="B529" t="s">
        <v>866</v>
      </c>
      <c r="C529" t="str">
        <f>VLOOKUP(LEFT(B529,FIND(" ",B529)-1),Customer_Helper!$A$2:$B$101,2,FALSE)</f>
        <v>Female</v>
      </c>
      <c r="D529">
        <v>56</v>
      </c>
      <c r="E529" t="s">
        <v>5</v>
      </c>
      <c r="F529" t="str">
        <f>VLOOKUP(E529,Customer_Helper!$F$2:$G$13,2,FALSE)</f>
        <v>West</v>
      </c>
      <c r="G529" t="s">
        <v>186</v>
      </c>
    </row>
    <row r="530" spans="1:7" x14ac:dyDescent="0.25">
      <c r="A530" t="str">
        <f t="shared" si="8"/>
        <v>C0529</v>
      </c>
      <c r="B530" t="s">
        <v>867</v>
      </c>
      <c r="C530" t="str">
        <f>VLOOKUP(LEFT(B530,FIND(" ",B530)-1),Customer_Helper!$A$2:$B$101,2,FALSE)</f>
        <v>Female</v>
      </c>
      <c r="D530">
        <v>33</v>
      </c>
      <c r="E530" t="s">
        <v>5</v>
      </c>
      <c r="F530" t="str">
        <f>VLOOKUP(E530,Customer_Helper!$F$2:$G$13,2,FALSE)</f>
        <v>West</v>
      </c>
      <c r="G530" t="s">
        <v>185</v>
      </c>
    </row>
    <row r="531" spans="1:7" x14ac:dyDescent="0.25">
      <c r="A531" t="str">
        <f t="shared" si="8"/>
        <v>C0530</v>
      </c>
      <c r="B531" t="s">
        <v>510</v>
      </c>
      <c r="C531" t="str">
        <f>VLOOKUP(LEFT(B531,FIND(" ",B531)-1),Customer_Helper!$A$2:$B$101,2,FALSE)</f>
        <v>Male</v>
      </c>
      <c r="D531">
        <v>35</v>
      </c>
      <c r="E531" t="s">
        <v>7</v>
      </c>
      <c r="F531" t="str">
        <f>VLOOKUP(E531,Customer_Helper!$F$2:$G$13,2,FALSE)</f>
        <v>North</v>
      </c>
      <c r="G531" t="s">
        <v>187</v>
      </c>
    </row>
    <row r="532" spans="1:7" x14ac:dyDescent="0.25">
      <c r="A532" t="str">
        <f t="shared" si="8"/>
        <v>C0531</v>
      </c>
      <c r="B532" t="s">
        <v>868</v>
      </c>
      <c r="C532" t="str">
        <f>VLOOKUP(LEFT(B532,FIND(" ",B532)-1),Customer_Helper!$A$2:$B$101,2,FALSE)</f>
        <v>Female</v>
      </c>
      <c r="D532">
        <v>63</v>
      </c>
      <c r="E532" t="s">
        <v>11</v>
      </c>
      <c r="F532" t="str">
        <f>VLOOKUP(E532,Customer_Helper!$F$2:$G$13,2,FALSE)</f>
        <v>East</v>
      </c>
      <c r="G532" t="s">
        <v>186</v>
      </c>
    </row>
    <row r="533" spans="1:7" x14ac:dyDescent="0.25">
      <c r="A533" t="str">
        <f t="shared" si="8"/>
        <v>C0532</v>
      </c>
      <c r="B533" t="s">
        <v>869</v>
      </c>
      <c r="C533" t="str">
        <f>VLOOKUP(LEFT(B533,FIND(" ",B533)-1),Customer_Helper!$A$2:$B$101,2,FALSE)</f>
        <v>Male</v>
      </c>
      <c r="D533">
        <v>36</v>
      </c>
      <c r="E533" t="s">
        <v>290</v>
      </c>
      <c r="F533" t="str">
        <f>VLOOKUP(E533,Customer_Helper!$F$2:$G$13,2,FALSE)</f>
        <v>West</v>
      </c>
      <c r="G533" t="s">
        <v>187</v>
      </c>
    </row>
    <row r="534" spans="1:7" x14ac:dyDescent="0.25">
      <c r="A534" t="str">
        <f t="shared" si="8"/>
        <v>C0533</v>
      </c>
      <c r="B534" t="s">
        <v>775</v>
      </c>
      <c r="C534" t="str">
        <f>VLOOKUP(LEFT(B534,FIND(" ",B534)-1),Customer_Helper!$A$2:$B$101,2,FALSE)</f>
        <v>Female</v>
      </c>
      <c r="D534">
        <v>60</v>
      </c>
      <c r="E534" t="s">
        <v>14</v>
      </c>
      <c r="F534" t="str">
        <f>VLOOKUP(E534,Customer_Helper!$F$2:$G$13,2,FALSE)</f>
        <v>South</v>
      </c>
      <c r="G534" t="s">
        <v>186</v>
      </c>
    </row>
    <row r="535" spans="1:7" x14ac:dyDescent="0.25">
      <c r="A535" t="str">
        <f t="shared" si="8"/>
        <v>C0534</v>
      </c>
      <c r="B535" t="s">
        <v>870</v>
      </c>
      <c r="C535" t="str">
        <f>VLOOKUP(LEFT(B535,FIND(" ",B535)-1),Customer_Helper!$A$2:$B$101,2,FALSE)</f>
        <v>Female</v>
      </c>
      <c r="D535">
        <v>24</v>
      </c>
      <c r="E535" t="s">
        <v>10</v>
      </c>
      <c r="F535" t="str">
        <f>VLOOKUP(E535,Customer_Helper!$F$2:$G$13,2,FALSE)</f>
        <v>North</v>
      </c>
      <c r="G535" t="s">
        <v>185</v>
      </c>
    </row>
    <row r="536" spans="1:7" x14ac:dyDescent="0.25">
      <c r="A536" t="str">
        <f t="shared" si="8"/>
        <v>C0535</v>
      </c>
      <c r="B536" t="s">
        <v>871</v>
      </c>
      <c r="C536" t="str">
        <f>VLOOKUP(LEFT(B536,FIND(" ",B536)-1),Customer_Helper!$A$2:$B$101,2,FALSE)</f>
        <v>Female</v>
      </c>
      <c r="D536">
        <v>60</v>
      </c>
      <c r="E536" t="s">
        <v>2</v>
      </c>
      <c r="F536" t="str">
        <f>VLOOKUP(E536,Customer_Helper!$F$2:$G$13,2,FALSE)</f>
        <v>West</v>
      </c>
      <c r="G536" t="s">
        <v>185</v>
      </c>
    </row>
    <row r="537" spans="1:7" x14ac:dyDescent="0.25">
      <c r="A537" t="str">
        <f t="shared" si="8"/>
        <v>C0536</v>
      </c>
      <c r="B537" t="s">
        <v>872</v>
      </c>
      <c r="C537" t="str">
        <f>VLOOKUP(LEFT(B537,FIND(" ",B537)-1),Customer_Helper!$A$2:$B$101,2,FALSE)</f>
        <v>Male</v>
      </c>
      <c r="D537">
        <v>34</v>
      </c>
      <c r="E537" t="s">
        <v>7</v>
      </c>
      <c r="F537" t="str">
        <f>VLOOKUP(E537,Customer_Helper!$F$2:$G$13,2,FALSE)</f>
        <v>North</v>
      </c>
      <c r="G537" t="s">
        <v>185</v>
      </c>
    </row>
    <row r="538" spans="1:7" x14ac:dyDescent="0.25">
      <c r="A538" t="str">
        <f t="shared" si="8"/>
        <v>C0537</v>
      </c>
      <c r="B538" t="s">
        <v>873</v>
      </c>
      <c r="C538" t="str">
        <f>VLOOKUP(LEFT(B538,FIND(" ",B538)-1),Customer_Helper!$A$2:$B$101,2,FALSE)</f>
        <v>Male</v>
      </c>
      <c r="D538">
        <v>47</v>
      </c>
      <c r="E538" t="s">
        <v>14</v>
      </c>
      <c r="F538" t="str">
        <f>VLOOKUP(E538,Customer_Helper!$F$2:$G$13,2,FALSE)</f>
        <v>South</v>
      </c>
      <c r="G538" t="s">
        <v>185</v>
      </c>
    </row>
    <row r="539" spans="1:7" x14ac:dyDescent="0.25">
      <c r="A539" t="str">
        <f t="shared" si="8"/>
        <v>C0538</v>
      </c>
      <c r="B539" t="s">
        <v>874</v>
      </c>
      <c r="C539" t="str">
        <f>VLOOKUP(LEFT(B539,FIND(" ",B539)-1),Customer_Helper!$A$2:$B$101,2,FALSE)</f>
        <v>Male</v>
      </c>
      <c r="D539">
        <v>61</v>
      </c>
      <c r="E539" t="s">
        <v>11</v>
      </c>
      <c r="F539" t="str">
        <f>VLOOKUP(E539,Customer_Helper!$F$2:$G$13,2,FALSE)</f>
        <v>East</v>
      </c>
      <c r="G539" t="s">
        <v>186</v>
      </c>
    </row>
    <row r="540" spans="1:7" x14ac:dyDescent="0.25">
      <c r="A540" t="str">
        <f t="shared" si="8"/>
        <v>C0539</v>
      </c>
      <c r="B540" t="s">
        <v>875</v>
      </c>
      <c r="C540" t="str">
        <f>VLOOKUP(LEFT(B540,FIND(" ",B540)-1),Customer_Helper!$A$2:$B$101,2,FALSE)</f>
        <v>Male</v>
      </c>
      <c r="D540">
        <v>40</v>
      </c>
      <c r="E540" t="s">
        <v>2</v>
      </c>
      <c r="F540" t="str">
        <f>VLOOKUP(E540,Customer_Helper!$F$2:$G$13,2,FALSE)</f>
        <v>West</v>
      </c>
      <c r="G540" t="s">
        <v>187</v>
      </c>
    </row>
    <row r="541" spans="1:7" x14ac:dyDescent="0.25">
      <c r="A541" t="str">
        <f t="shared" si="8"/>
        <v>C0540</v>
      </c>
      <c r="B541" t="s">
        <v>876</v>
      </c>
      <c r="C541" t="str">
        <f>VLOOKUP(LEFT(B541,FIND(" ",B541)-1),Customer_Helper!$A$2:$B$101,2,FALSE)</f>
        <v>Male</v>
      </c>
      <c r="D541">
        <v>61</v>
      </c>
      <c r="E541" t="s">
        <v>2</v>
      </c>
      <c r="F541" t="str">
        <f>VLOOKUP(E541,Customer_Helper!$F$2:$G$13,2,FALSE)</f>
        <v>West</v>
      </c>
      <c r="G541" t="s">
        <v>187</v>
      </c>
    </row>
    <row r="542" spans="1:7" x14ac:dyDescent="0.25">
      <c r="A542" t="str">
        <f t="shared" si="8"/>
        <v>C0541</v>
      </c>
      <c r="B542" t="s">
        <v>877</v>
      </c>
      <c r="C542" t="str">
        <f>VLOOKUP(LEFT(B542,FIND(" ",B542)-1),Customer_Helper!$A$2:$B$101,2,FALSE)</f>
        <v>Female</v>
      </c>
      <c r="D542">
        <v>21</v>
      </c>
      <c r="E542" t="s">
        <v>7</v>
      </c>
      <c r="F542" t="str">
        <f>VLOOKUP(E542,Customer_Helper!$F$2:$G$13,2,FALSE)</f>
        <v>North</v>
      </c>
      <c r="G542" t="s">
        <v>185</v>
      </c>
    </row>
    <row r="543" spans="1:7" x14ac:dyDescent="0.25">
      <c r="A543" t="str">
        <f t="shared" si="8"/>
        <v>C0542</v>
      </c>
      <c r="B543" t="s">
        <v>878</v>
      </c>
      <c r="C543" t="str">
        <f>VLOOKUP(LEFT(B543,FIND(" ",B543)-1),Customer_Helper!$A$2:$B$101,2,FALSE)</f>
        <v>Female</v>
      </c>
      <c r="D543">
        <v>34</v>
      </c>
      <c r="E543" t="s">
        <v>17</v>
      </c>
      <c r="F543" t="str">
        <f>VLOOKUP(E543,Customer_Helper!$F$2:$G$13,2,FALSE)</f>
        <v>South</v>
      </c>
      <c r="G543" t="s">
        <v>185</v>
      </c>
    </row>
    <row r="544" spans="1:7" x14ac:dyDescent="0.25">
      <c r="A544" t="str">
        <f t="shared" si="8"/>
        <v>C0543</v>
      </c>
      <c r="B544" t="s">
        <v>879</v>
      </c>
      <c r="C544" t="str">
        <f>VLOOKUP(LEFT(B544,FIND(" ",B544)-1),Customer_Helper!$A$2:$B$101,2,FALSE)</f>
        <v>Male</v>
      </c>
      <c r="D544">
        <v>41</v>
      </c>
      <c r="E544" t="s">
        <v>7</v>
      </c>
      <c r="F544" t="str">
        <f>VLOOKUP(E544,Customer_Helper!$F$2:$G$13,2,FALSE)</f>
        <v>North</v>
      </c>
      <c r="G544" t="s">
        <v>187</v>
      </c>
    </row>
    <row r="545" spans="1:7" x14ac:dyDescent="0.25">
      <c r="A545" t="str">
        <f t="shared" si="8"/>
        <v>C0544</v>
      </c>
      <c r="B545" t="s">
        <v>880</v>
      </c>
      <c r="C545" t="str">
        <f>VLOOKUP(LEFT(B545,FIND(" ",B545)-1),Customer_Helper!$A$2:$B$101,2,FALSE)</f>
        <v>Male</v>
      </c>
      <c r="D545">
        <v>25</v>
      </c>
      <c r="E545" t="s">
        <v>14</v>
      </c>
      <c r="F545" t="str">
        <f>VLOOKUP(E545,Customer_Helper!$F$2:$G$13,2,FALSE)</f>
        <v>South</v>
      </c>
      <c r="G545" t="s">
        <v>185</v>
      </c>
    </row>
    <row r="546" spans="1:7" x14ac:dyDescent="0.25">
      <c r="A546" t="str">
        <f t="shared" si="8"/>
        <v>C0545</v>
      </c>
      <c r="B546" t="s">
        <v>881</v>
      </c>
      <c r="C546" t="str">
        <f>VLOOKUP(LEFT(B546,FIND(" ",B546)-1),Customer_Helper!$A$2:$B$101,2,FALSE)</f>
        <v>Female</v>
      </c>
      <c r="D546">
        <v>34</v>
      </c>
      <c r="E546" t="s">
        <v>7</v>
      </c>
      <c r="F546" t="str">
        <f>VLOOKUP(E546,Customer_Helper!$F$2:$G$13,2,FALSE)</f>
        <v>North</v>
      </c>
      <c r="G546" t="s">
        <v>186</v>
      </c>
    </row>
    <row r="547" spans="1:7" x14ac:dyDescent="0.25">
      <c r="A547" t="str">
        <f t="shared" si="8"/>
        <v>C0546</v>
      </c>
      <c r="B547" t="s">
        <v>882</v>
      </c>
      <c r="C547" t="str">
        <f>VLOOKUP(LEFT(B547,FIND(" ",B547)-1),Customer_Helper!$A$2:$B$101,2,FALSE)</f>
        <v>Male</v>
      </c>
      <c r="D547">
        <v>46</v>
      </c>
      <c r="E547" t="s">
        <v>4</v>
      </c>
      <c r="F547" t="str">
        <f>VLOOKUP(E547,Customer_Helper!$F$2:$G$13,2,FALSE)</f>
        <v>West</v>
      </c>
      <c r="G547" t="s">
        <v>187</v>
      </c>
    </row>
    <row r="548" spans="1:7" x14ac:dyDescent="0.25">
      <c r="A548" t="str">
        <f t="shared" si="8"/>
        <v>C0547</v>
      </c>
      <c r="B548" t="s">
        <v>883</v>
      </c>
      <c r="C548" t="str">
        <f>VLOOKUP(LEFT(B548,FIND(" ",B548)-1),Customer_Helper!$A$2:$B$101,2,FALSE)</f>
        <v>Female</v>
      </c>
      <c r="D548">
        <v>54</v>
      </c>
      <c r="E548" t="s">
        <v>14</v>
      </c>
      <c r="F548" t="str">
        <f>VLOOKUP(E548,Customer_Helper!$F$2:$G$13,2,FALSE)</f>
        <v>South</v>
      </c>
      <c r="G548" t="s">
        <v>186</v>
      </c>
    </row>
    <row r="549" spans="1:7" x14ac:dyDescent="0.25">
      <c r="A549" t="str">
        <f t="shared" si="8"/>
        <v>C0548</v>
      </c>
      <c r="B549" t="s">
        <v>884</v>
      </c>
      <c r="C549" t="str">
        <f>VLOOKUP(LEFT(B549,FIND(" ",B549)-1),Customer_Helper!$A$2:$B$101,2,FALSE)</f>
        <v>Female</v>
      </c>
      <c r="D549">
        <v>29</v>
      </c>
      <c r="E549" t="s">
        <v>9</v>
      </c>
      <c r="F549" t="str">
        <f>VLOOKUP(E549,Customer_Helper!$F$2:$G$13,2,FALSE)</f>
        <v>North</v>
      </c>
      <c r="G549" t="s">
        <v>186</v>
      </c>
    </row>
    <row r="550" spans="1:7" x14ac:dyDescent="0.25">
      <c r="A550" t="str">
        <f t="shared" si="8"/>
        <v>C0549</v>
      </c>
      <c r="B550" t="s">
        <v>885</v>
      </c>
      <c r="C550" t="str">
        <f>VLOOKUP(LEFT(B550,FIND(" ",B550)-1),Customer_Helper!$A$2:$B$101,2,FALSE)</f>
        <v>Female</v>
      </c>
      <c r="D550">
        <v>56</v>
      </c>
      <c r="E550" t="s">
        <v>290</v>
      </c>
      <c r="F550" t="str">
        <f>VLOOKUP(E550,Customer_Helper!$F$2:$G$13,2,FALSE)</f>
        <v>West</v>
      </c>
      <c r="G550" t="s">
        <v>187</v>
      </c>
    </row>
    <row r="551" spans="1:7" x14ac:dyDescent="0.25">
      <c r="A551" t="str">
        <f t="shared" si="8"/>
        <v>C0550</v>
      </c>
      <c r="B551" t="s">
        <v>886</v>
      </c>
      <c r="C551" t="str">
        <f>VLOOKUP(LEFT(B551,FIND(" ",B551)-1),Customer_Helper!$A$2:$B$101,2,FALSE)</f>
        <v>Male</v>
      </c>
      <c r="D551">
        <v>54</v>
      </c>
      <c r="E551" t="s">
        <v>7</v>
      </c>
      <c r="F551" t="str">
        <f>VLOOKUP(E551,Customer_Helper!$F$2:$G$13,2,FALSE)</f>
        <v>North</v>
      </c>
      <c r="G551" t="s">
        <v>186</v>
      </c>
    </row>
    <row r="552" spans="1:7" x14ac:dyDescent="0.25">
      <c r="A552" t="str">
        <f t="shared" si="8"/>
        <v>C0551</v>
      </c>
      <c r="B552" t="s">
        <v>887</v>
      </c>
      <c r="C552" t="str">
        <f>VLOOKUP(LEFT(B552,FIND(" ",B552)-1),Customer_Helper!$A$2:$B$101,2,FALSE)</f>
        <v>Male</v>
      </c>
      <c r="D552">
        <v>26</v>
      </c>
      <c r="E552" t="s">
        <v>290</v>
      </c>
      <c r="F552" t="str">
        <f>VLOOKUP(E552,Customer_Helper!$F$2:$G$13,2,FALSE)</f>
        <v>West</v>
      </c>
      <c r="G552" t="s">
        <v>185</v>
      </c>
    </row>
    <row r="553" spans="1:7" x14ac:dyDescent="0.25">
      <c r="A553" t="str">
        <f t="shared" si="8"/>
        <v>C0552</v>
      </c>
      <c r="B553" t="s">
        <v>888</v>
      </c>
      <c r="C553" t="str">
        <f>VLOOKUP(LEFT(B553,FIND(" ",B553)-1),Customer_Helper!$A$2:$B$101,2,FALSE)</f>
        <v>Female</v>
      </c>
      <c r="D553">
        <v>63</v>
      </c>
      <c r="E553" t="s">
        <v>11</v>
      </c>
      <c r="F553" t="str">
        <f>VLOOKUP(E553,Customer_Helper!$F$2:$G$13,2,FALSE)</f>
        <v>East</v>
      </c>
      <c r="G553" t="s">
        <v>187</v>
      </c>
    </row>
    <row r="554" spans="1:7" x14ac:dyDescent="0.25">
      <c r="A554" t="str">
        <f t="shared" si="8"/>
        <v>C0553</v>
      </c>
      <c r="B554" t="s">
        <v>889</v>
      </c>
      <c r="C554" t="str">
        <f>VLOOKUP(LEFT(B554,FIND(" ",B554)-1),Customer_Helper!$A$2:$B$101,2,FALSE)</f>
        <v>Female</v>
      </c>
      <c r="D554">
        <v>31</v>
      </c>
      <c r="E554" t="s">
        <v>9</v>
      </c>
      <c r="F554" t="str">
        <f>VLOOKUP(E554,Customer_Helper!$F$2:$G$13,2,FALSE)</f>
        <v>North</v>
      </c>
      <c r="G554" t="s">
        <v>185</v>
      </c>
    </row>
    <row r="555" spans="1:7" x14ac:dyDescent="0.25">
      <c r="A555" t="str">
        <f t="shared" si="8"/>
        <v>C0554</v>
      </c>
      <c r="B555" t="s">
        <v>890</v>
      </c>
      <c r="C555" t="str">
        <f>VLOOKUP(LEFT(B555,FIND(" ",B555)-1),Customer_Helper!$A$2:$B$101,2,FALSE)</f>
        <v>Female</v>
      </c>
      <c r="D555">
        <v>25</v>
      </c>
      <c r="E555" t="s">
        <v>17</v>
      </c>
      <c r="F555" t="str">
        <f>VLOOKUP(E555,Customer_Helper!$F$2:$G$13,2,FALSE)</f>
        <v>South</v>
      </c>
      <c r="G555" t="s">
        <v>185</v>
      </c>
    </row>
    <row r="556" spans="1:7" x14ac:dyDescent="0.25">
      <c r="A556" t="str">
        <f t="shared" si="8"/>
        <v>C0555</v>
      </c>
      <c r="B556" t="s">
        <v>891</v>
      </c>
      <c r="C556" t="str">
        <f>VLOOKUP(LEFT(B556,FIND(" ",B556)-1),Customer_Helper!$A$2:$B$101,2,FALSE)</f>
        <v>Male</v>
      </c>
      <c r="D556">
        <v>44</v>
      </c>
      <c r="E556" t="s">
        <v>17</v>
      </c>
      <c r="F556" t="str">
        <f>VLOOKUP(E556,Customer_Helper!$F$2:$G$13,2,FALSE)</f>
        <v>South</v>
      </c>
      <c r="G556" t="s">
        <v>186</v>
      </c>
    </row>
    <row r="557" spans="1:7" x14ac:dyDescent="0.25">
      <c r="A557" t="str">
        <f t="shared" si="8"/>
        <v>C0556</v>
      </c>
      <c r="B557" t="s">
        <v>892</v>
      </c>
      <c r="C557" t="str">
        <f>VLOOKUP(LEFT(B557,FIND(" ",B557)-1),Customer_Helper!$A$2:$B$101,2,FALSE)</f>
        <v>Female</v>
      </c>
      <c r="D557">
        <v>35</v>
      </c>
      <c r="E557" t="s">
        <v>9</v>
      </c>
      <c r="F557" t="str">
        <f>VLOOKUP(E557,Customer_Helper!$F$2:$G$13,2,FALSE)</f>
        <v>North</v>
      </c>
      <c r="G557" t="s">
        <v>185</v>
      </c>
    </row>
    <row r="558" spans="1:7" x14ac:dyDescent="0.25">
      <c r="A558" t="str">
        <f t="shared" si="8"/>
        <v>C0557</v>
      </c>
      <c r="B558" t="s">
        <v>893</v>
      </c>
      <c r="C558" t="str">
        <f>VLOOKUP(LEFT(B558,FIND(" ",B558)-1),Customer_Helper!$A$2:$B$101,2,FALSE)</f>
        <v>Male</v>
      </c>
      <c r="D558">
        <v>50</v>
      </c>
      <c r="E558" t="s">
        <v>17</v>
      </c>
      <c r="F558" t="str">
        <f>VLOOKUP(E558,Customer_Helper!$F$2:$G$13,2,FALSE)</f>
        <v>South</v>
      </c>
      <c r="G558" t="s">
        <v>186</v>
      </c>
    </row>
    <row r="559" spans="1:7" x14ac:dyDescent="0.25">
      <c r="A559" t="str">
        <f t="shared" si="8"/>
        <v>C0558</v>
      </c>
      <c r="B559" t="s">
        <v>867</v>
      </c>
      <c r="C559" t="str">
        <f>VLOOKUP(LEFT(B559,FIND(" ",B559)-1),Customer_Helper!$A$2:$B$101,2,FALSE)</f>
        <v>Female</v>
      </c>
      <c r="D559">
        <v>21</v>
      </c>
      <c r="E559" t="s">
        <v>16</v>
      </c>
      <c r="F559" t="str">
        <f>VLOOKUP(E559,Customer_Helper!$F$2:$G$13,2,FALSE)</f>
        <v>South</v>
      </c>
      <c r="G559" t="s">
        <v>187</v>
      </c>
    </row>
    <row r="560" spans="1:7" x14ac:dyDescent="0.25">
      <c r="A560" t="str">
        <f t="shared" si="8"/>
        <v>C0559</v>
      </c>
      <c r="B560" t="s">
        <v>894</v>
      </c>
      <c r="C560" t="str">
        <f>VLOOKUP(LEFT(B560,FIND(" ",B560)-1),Customer_Helper!$A$2:$B$101,2,FALSE)</f>
        <v>Male</v>
      </c>
      <c r="D560">
        <v>50</v>
      </c>
      <c r="E560" t="s">
        <v>11</v>
      </c>
      <c r="F560" t="str">
        <f>VLOOKUP(E560,Customer_Helper!$F$2:$G$13,2,FALSE)</f>
        <v>East</v>
      </c>
      <c r="G560" t="s">
        <v>185</v>
      </c>
    </row>
    <row r="561" spans="1:7" x14ac:dyDescent="0.25">
      <c r="A561" t="str">
        <f t="shared" si="8"/>
        <v>C0560</v>
      </c>
      <c r="B561" t="s">
        <v>895</v>
      </c>
      <c r="C561" t="str">
        <f>VLOOKUP(LEFT(B561,FIND(" ",B561)-1),Customer_Helper!$A$2:$B$101,2,FALSE)</f>
        <v>Male</v>
      </c>
      <c r="D561">
        <v>59</v>
      </c>
      <c r="E561" t="s">
        <v>10</v>
      </c>
      <c r="F561" t="str">
        <f>VLOOKUP(E561,Customer_Helper!$F$2:$G$13,2,FALSE)</f>
        <v>North</v>
      </c>
      <c r="G561" t="s">
        <v>186</v>
      </c>
    </row>
    <row r="562" spans="1:7" x14ac:dyDescent="0.25">
      <c r="A562" t="str">
        <f t="shared" si="8"/>
        <v>C0561</v>
      </c>
      <c r="B562" t="s">
        <v>896</v>
      </c>
      <c r="C562" t="str">
        <f>VLOOKUP(LEFT(B562,FIND(" ",B562)-1),Customer_Helper!$A$2:$B$101,2,FALSE)</f>
        <v>Male</v>
      </c>
      <c r="D562">
        <v>53</v>
      </c>
      <c r="E562" t="s">
        <v>16</v>
      </c>
      <c r="F562" t="str">
        <f>VLOOKUP(E562,Customer_Helper!$F$2:$G$13,2,FALSE)</f>
        <v>South</v>
      </c>
      <c r="G562" t="s">
        <v>185</v>
      </c>
    </row>
    <row r="563" spans="1:7" x14ac:dyDescent="0.25">
      <c r="A563" t="str">
        <f t="shared" si="8"/>
        <v>C0562</v>
      </c>
      <c r="B563" t="s">
        <v>897</v>
      </c>
      <c r="C563" t="str">
        <f>VLOOKUP(LEFT(B563,FIND(" ",B563)-1),Customer_Helper!$A$2:$B$101,2,FALSE)</f>
        <v>Female</v>
      </c>
      <c r="D563">
        <v>55</v>
      </c>
      <c r="E563" t="s">
        <v>17</v>
      </c>
      <c r="F563" t="str">
        <f>VLOOKUP(E563,Customer_Helper!$F$2:$G$13,2,FALSE)</f>
        <v>South</v>
      </c>
      <c r="G563" t="s">
        <v>186</v>
      </c>
    </row>
    <row r="564" spans="1:7" x14ac:dyDescent="0.25">
      <c r="A564" t="str">
        <f t="shared" si="8"/>
        <v>C0563</v>
      </c>
      <c r="B564" t="s">
        <v>898</v>
      </c>
      <c r="C564" t="str">
        <f>VLOOKUP(LEFT(B564,FIND(" ",B564)-1),Customer_Helper!$A$2:$B$101,2,FALSE)</f>
        <v>Female</v>
      </c>
      <c r="D564">
        <v>65</v>
      </c>
      <c r="E564" t="s">
        <v>11</v>
      </c>
      <c r="F564" t="str">
        <f>VLOOKUP(E564,Customer_Helper!$F$2:$G$13,2,FALSE)</f>
        <v>East</v>
      </c>
      <c r="G564" t="s">
        <v>186</v>
      </c>
    </row>
    <row r="565" spans="1:7" x14ac:dyDescent="0.25">
      <c r="A565" t="str">
        <f t="shared" si="8"/>
        <v>C0564</v>
      </c>
      <c r="B565" t="s">
        <v>899</v>
      </c>
      <c r="C565" t="str">
        <f>VLOOKUP(LEFT(B565,FIND(" ",B565)-1),Customer_Helper!$A$2:$B$101,2,FALSE)</f>
        <v>Male</v>
      </c>
      <c r="D565">
        <v>57</v>
      </c>
      <c r="E565" t="s">
        <v>2</v>
      </c>
      <c r="F565" t="str">
        <f>VLOOKUP(E565,Customer_Helper!$F$2:$G$13,2,FALSE)</f>
        <v>West</v>
      </c>
      <c r="G565" t="s">
        <v>185</v>
      </c>
    </row>
    <row r="566" spans="1:7" x14ac:dyDescent="0.25">
      <c r="A566" t="str">
        <f t="shared" si="8"/>
        <v>C0565</v>
      </c>
      <c r="B566" t="s">
        <v>900</v>
      </c>
      <c r="C566" t="str">
        <f>VLOOKUP(LEFT(B566,FIND(" ",B566)-1),Customer_Helper!$A$2:$B$101,2,FALSE)</f>
        <v>Female</v>
      </c>
      <c r="D566">
        <v>58</v>
      </c>
      <c r="E566" t="s">
        <v>7</v>
      </c>
      <c r="F566" t="str">
        <f>VLOOKUP(E566,Customer_Helper!$F$2:$G$13,2,FALSE)</f>
        <v>North</v>
      </c>
      <c r="G566" t="s">
        <v>187</v>
      </c>
    </row>
    <row r="567" spans="1:7" x14ac:dyDescent="0.25">
      <c r="A567" t="str">
        <f t="shared" si="8"/>
        <v>C0566</v>
      </c>
      <c r="B567" t="s">
        <v>901</v>
      </c>
      <c r="C567" t="str">
        <f>VLOOKUP(LEFT(B567,FIND(" ",B567)-1),Customer_Helper!$A$2:$B$101,2,FALSE)</f>
        <v>Female</v>
      </c>
      <c r="D567">
        <v>59</v>
      </c>
      <c r="E567" t="s">
        <v>289</v>
      </c>
      <c r="F567" t="str">
        <f>VLOOKUP(E567,Customer_Helper!$F$2:$G$13,2,FALSE)</f>
        <v>West</v>
      </c>
      <c r="G567" t="s">
        <v>186</v>
      </c>
    </row>
    <row r="568" spans="1:7" x14ac:dyDescent="0.25">
      <c r="A568" t="str">
        <f t="shared" si="8"/>
        <v>C0567</v>
      </c>
      <c r="B568" t="s">
        <v>902</v>
      </c>
      <c r="C568" t="str">
        <f>VLOOKUP(LEFT(B568,FIND(" ",B568)-1),Customer_Helper!$A$2:$B$101,2,FALSE)</f>
        <v>Male</v>
      </c>
      <c r="D568">
        <v>63</v>
      </c>
      <c r="E568" t="s">
        <v>5</v>
      </c>
      <c r="F568" t="str">
        <f>VLOOKUP(E568,Customer_Helper!$F$2:$G$13,2,FALSE)</f>
        <v>West</v>
      </c>
      <c r="G568" t="s">
        <v>185</v>
      </c>
    </row>
    <row r="569" spans="1:7" x14ac:dyDescent="0.25">
      <c r="A569" t="str">
        <f t="shared" si="8"/>
        <v>C0568</v>
      </c>
      <c r="B569" t="s">
        <v>576</v>
      </c>
      <c r="C569" t="str">
        <f>VLOOKUP(LEFT(B569,FIND(" ",B569)-1),Customer_Helper!$A$2:$B$101,2,FALSE)</f>
        <v>Female</v>
      </c>
      <c r="D569">
        <v>47</v>
      </c>
      <c r="E569" t="s">
        <v>9</v>
      </c>
      <c r="F569" t="str">
        <f>VLOOKUP(E569,Customer_Helper!$F$2:$G$13,2,FALSE)</f>
        <v>North</v>
      </c>
      <c r="G569" t="s">
        <v>185</v>
      </c>
    </row>
    <row r="570" spans="1:7" x14ac:dyDescent="0.25">
      <c r="A570" t="str">
        <f t="shared" si="8"/>
        <v>C0569</v>
      </c>
      <c r="B570" t="s">
        <v>903</v>
      </c>
      <c r="C570" t="str">
        <f>VLOOKUP(LEFT(B570,FIND(" ",B570)-1),Customer_Helper!$A$2:$B$101,2,FALSE)</f>
        <v>Female</v>
      </c>
      <c r="D570">
        <v>56</v>
      </c>
      <c r="E570" t="s">
        <v>4</v>
      </c>
      <c r="F570" t="str">
        <f>VLOOKUP(E570,Customer_Helper!$F$2:$G$13,2,FALSE)</f>
        <v>West</v>
      </c>
      <c r="G570" t="s">
        <v>186</v>
      </c>
    </row>
    <row r="571" spans="1:7" x14ac:dyDescent="0.25">
      <c r="A571" t="str">
        <f t="shared" si="8"/>
        <v>C0570</v>
      </c>
      <c r="B571" t="s">
        <v>904</v>
      </c>
      <c r="C571" t="str">
        <f>VLOOKUP(LEFT(B571,FIND(" ",B571)-1),Customer_Helper!$A$2:$B$101,2,FALSE)</f>
        <v>Male</v>
      </c>
      <c r="D571">
        <v>22</v>
      </c>
      <c r="E571" t="s">
        <v>2</v>
      </c>
      <c r="F571" t="str">
        <f>VLOOKUP(E571,Customer_Helper!$F$2:$G$13,2,FALSE)</f>
        <v>West</v>
      </c>
      <c r="G571" t="s">
        <v>186</v>
      </c>
    </row>
    <row r="572" spans="1:7" x14ac:dyDescent="0.25">
      <c r="A572" t="str">
        <f t="shared" si="8"/>
        <v>C0571</v>
      </c>
      <c r="B572" t="s">
        <v>905</v>
      </c>
      <c r="C572" t="str">
        <f>VLOOKUP(LEFT(B572,FIND(" ",B572)-1),Customer_Helper!$A$2:$B$101,2,FALSE)</f>
        <v>Female</v>
      </c>
      <c r="D572">
        <v>63</v>
      </c>
      <c r="E572" t="s">
        <v>2</v>
      </c>
      <c r="F572" t="str">
        <f>VLOOKUP(E572,Customer_Helper!$F$2:$G$13,2,FALSE)</f>
        <v>West</v>
      </c>
      <c r="G572" t="s">
        <v>185</v>
      </c>
    </row>
    <row r="573" spans="1:7" x14ac:dyDescent="0.25">
      <c r="A573" t="str">
        <f t="shared" si="8"/>
        <v>C0572</v>
      </c>
      <c r="B573" t="s">
        <v>906</v>
      </c>
      <c r="C573" t="str">
        <f>VLOOKUP(LEFT(B573,FIND(" ",B573)-1),Customer_Helper!$A$2:$B$101,2,FALSE)</f>
        <v>Female</v>
      </c>
      <c r="D573">
        <v>65</v>
      </c>
      <c r="E573" t="s">
        <v>2</v>
      </c>
      <c r="F573" t="str">
        <f>VLOOKUP(E573,Customer_Helper!$F$2:$G$13,2,FALSE)</f>
        <v>West</v>
      </c>
      <c r="G573" t="s">
        <v>186</v>
      </c>
    </row>
    <row r="574" spans="1:7" x14ac:dyDescent="0.25">
      <c r="A574" t="str">
        <f t="shared" si="8"/>
        <v>C0573</v>
      </c>
      <c r="B574" t="s">
        <v>907</v>
      </c>
      <c r="C574" t="str">
        <f>VLOOKUP(LEFT(B574,FIND(" ",B574)-1),Customer_Helper!$A$2:$B$101,2,FALSE)</f>
        <v>Male</v>
      </c>
      <c r="D574">
        <v>22</v>
      </c>
      <c r="E574" t="s">
        <v>9</v>
      </c>
      <c r="F574" t="str">
        <f>VLOOKUP(E574,Customer_Helper!$F$2:$G$13,2,FALSE)</f>
        <v>North</v>
      </c>
      <c r="G574" t="s">
        <v>186</v>
      </c>
    </row>
    <row r="575" spans="1:7" x14ac:dyDescent="0.25">
      <c r="A575" t="str">
        <f t="shared" si="8"/>
        <v>C0574</v>
      </c>
      <c r="B575" t="s">
        <v>908</v>
      </c>
      <c r="C575" t="str">
        <f>VLOOKUP(LEFT(B575,FIND(" ",B575)-1),Customer_Helper!$A$2:$B$101,2,FALSE)</f>
        <v>Female</v>
      </c>
      <c r="D575">
        <v>33</v>
      </c>
      <c r="E575" t="s">
        <v>14</v>
      </c>
      <c r="F575" t="str">
        <f>VLOOKUP(E575,Customer_Helper!$F$2:$G$13,2,FALSE)</f>
        <v>South</v>
      </c>
      <c r="G575" t="s">
        <v>185</v>
      </c>
    </row>
    <row r="576" spans="1:7" x14ac:dyDescent="0.25">
      <c r="A576" t="str">
        <f t="shared" si="8"/>
        <v>C0575</v>
      </c>
      <c r="B576" t="s">
        <v>909</v>
      </c>
      <c r="C576" t="str">
        <f>VLOOKUP(LEFT(B576,FIND(" ",B576)-1),Customer_Helper!$A$2:$B$101,2,FALSE)</f>
        <v>Female</v>
      </c>
      <c r="D576">
        <v>57</v>
      </c>
      <c r="E576" t="s">
        <v>5</v>
      </c>
      <c r="F576" t="str">
        <f>VLOOKUP(E576,Customer_Helper!$F$2:$G$13,2,FALSE)</f>
        <v>West</v>
      </c>
      <c r="G576" t="s">
        <v>186</v>
      </c>
    </row>
    <row r="577" spans="1:7" x14ac:dyDescent="0.25">
      <c r="A577" t="str">
        <f t="shared" si="8"/>
        <v>C0576</v>
      </c>
      <c r="B577" t="s">
        <v>910</v>
      </c>
      <c r="C577" t="str">
        <f>VLOOKUP(LEFT(B577,FIND(" ",B577)-1),Customer_Helper!$A$2:$B$101,2,FALSE)</f>
        <v>Female</v>
      </c>
      <c r="D577">
        <v>62</v>
      </c>
      <c r="E577" t="s">
        <v>2</v>
      </c>
      <c r="F577" t="str">
        <f>VLOOKUP(E577,Customer_Helper!$F$2:$G$13,2,FALSE)</f>
        <v>West</v>
      </c>
      <c r="G577" t="s">
        <v>185</v>
      </c>
    </row>
    <row r="578" spans="1:7" x14ac:dyDescent="0.25">
      <c r="A578" t="str">
        <f t="shared" si="8"/>
        <v>C0577</v>
      </c>
      <c r="B578" t="s">
        <v>911</v>
      </c>
      <c r="C578" t="str">
        <f>VLOOKUP(LEFT(B578,FIND(" ",B578)-1),Customer_Helper!$A$2:$B$101,2,FALSE)</f>
        <v>Male</v>
      </c>
      <c r="D578">
        <v>64</v>
      </c>
      <c r="E578" t="s">
        <v>10</v>
      </c>
      <c r="F578" t="str">
        <f>VLOOKUP(E578,Customer_Helper!$F$2:$G$13,2,FALSE)</f>
        <v>North</v>
      </c>
      <c r="G578" t="s">
        <v>186</v>
      </c>
    </row>
    <row r="579" spans="1:7" x14ac:dyDescent="0.25">
      <c r="A579" t="str">
        <f t="shared" ref="A579:A642" si="9">"C"&amp;TEXT(ROW()-1,"0000")</f>
        <v>C0578</v>
      </c>
      <c r="B579" t="s">
        <v>912</v>
      </c>
      <c r="C579" t="str">
        <f>VLOOKUP(LEFT(B579,FIND(" ",B579)-1),Customer_Helper!$A$2:$B$101,2,FALSE)</f>
        <v>Male</v>
      </c>
      <c r="D579">
        <v>40</v>
      </c>
      <c r="E579" t="s">
        <v>10</v>
      </c>
      <c r="F579" t="str">
        <f>VLOOKUP(E579,Customer_Helper!$F$2:$G$13,2,FALSE)</f>
        <v>North</v>
      </c>
      <c r="G579" t="s">
        <v>185</v>
      </c>
    </row>
    <row r="580" spans="1:7" x14ac:dyDescent="0.25">
      <c r="A580" t="str">
        <f t="shared" si="9"/>
        <v>C0579</v>
      </c>
      <c r="B580" t="s">
        <v>913</v>
      </c>
      <c r="C580" t="str">
        <f>VLOOKUP(LEFT(B580,FIND(" ",B580)-1),Customer_Helper!$A$2:$B$101,2,FALSE)</f>
        <v>Female</v>
      </c>
      <c r="D580">
        <v>46</v>
      </c>
      <c r="E580" t="s">
        <v>4</v>
      </c>
      <c r="F580" t="str">
        <f>VLOOKUP(E580,Customer_Helper!$F$2:$G$13,2,FALSE)</f>
        <v>West</v>
      </c>
      <c r="G580" t="s">
        <v>186</v>
      </c>
    </row>
    <row r="581" spans="1:7" x14ac:dyDescent="0.25">
      <c r="A581" t="str">
        <f t="shared" si="9"/>
        <v>C0580</v>
      </c>
      <c r="B581" t="s">
        <v>914</v>
      </c>
      <c r="C581" t="str">
        <f>VLOOKUP(LEFT(B581,FIND(" ",B581)-1),Customer_Helper!$A$2:$B$101,2,FALSE)</f>
        <v>Female</v>
      </c>
      <c r="D581">
        <v>30</v>
      </c>
      <c r="E581" t="s">
        <v>289</v>
      </c>
      <c r="F581" t="str">
        <f>VLOOKUP(E581,Customer_Helper!$F$2:$G$13,2,FALSE)</f>
        <v>West</v>
      </c>
      <c r="G581" t="s">
        <v>185</v>
      </c>
    </row>
    <row r="582" spans="1:7" x14ac:dyDescent="0.25">
      <c r="A582" t="str">
        <f t="shared" si="9"/>
        <v>C0581</v>
      </c>
      <c r="B582" t="s">
        <v>915</v>
      </c>
      <c r="C582" t="str">
        <f>VLOOKUP(LEFT(B582,FIND(" ",B582)-1),Customer_Helper!$A$2:$B$101,2,FALSE)</f>
        <v>Male</v>
      </c>
      <c r="D582">
        <v>48</v>
      </c>
      <c r="E582" t="s">
        <v>2</v>
      </c>
      <c r="F582" t="str">
        <f>VLOOKUP(E582,Customer_Helper!$F$2:$G$13,2,FALSE)</f>
        <v>West</v>
      </c>
      <c r="G582" t="s">
        <v>185</v>
      </c>
    </row>
    <row r="583" spans="1:7" x14ac:dyDescent="0.25">
      <c r="A583" t="str">
        <f t="shared" si="9"/>
        <v>C0582</v>
      </c>
      <c r="B583" t="s">
        <v>916</v>
      </c>
      <c r="C583" t="str">
        <f>VLOOKUP(LEFT(B583,FIND(" ",B583)-1),Customer_Helper!$A$2:$B$101,2,FALSE)</f>
        <v>Female</v>
      </c>
      <c r="D583">
        <v>54</v>
      </c>
      <c r="E583" t="s">
        <v>290</v>
      </c>
      <c r="F583" t="str">
        <f>VLOOKUP(E583,Customer_Helper!$F$2:$G$13,2,FALSE)</f>
        <v>West</v>
      </c>
      <c r="G583" t="s">
        <v>185</v>
      </c>
    </row>
    <row r="584" spans="1:7" x14ac:dyDescent="0.25">
      <c r="A584" t="str">
        <f t="shared" si="9"/>
        <v>C0583</v>
      </c>
      <c r="B584" t="s">
        <v>917</v>
      </c>
      <c r="C584" t="str">
        <f>VLOOKUP(LEFT(B584,FIND(" ",B584)-1),Customer_Helper!$A$2:$B$101,2,FALSE)</f>
        <v>Male</v>
      </c>
      <c r="D584">
        <v>64</v>
      </c>
      <c r="E584" t="s">
        <v>16</v>
      </c>
      <c r="F584" t="str">
        <f>VLOOKUP(E584,Customer_Helper!$F$2:$G$13,2,FALSE)</f>
        <v>South</v>
      </c>
      <c r="G584" t="s">
        <v>187</v>
      </c>
    </row>
    <row r="585" spans="1:7" x14ac:dyDescent="0.25">
      <c r="A585" t="str">
        <f t="shared" si="9"/>
        <v>C0584</v>
      </c>
      <c r="B585" t="s">
        <v>918</v>
      </c>
      <c r="C585" t="str">
        <f>VLOOKUP(LEFT(B585,FIND(" ",B585)-1),Customer_Helper!$A$2:$B$101,2,FALSE)</f>
        <v>Female</v>
      </c>
      <c r="D585">
        <v>44</v>
      </c>
      <c r="E585" t="s">
        <v>9</v>
      </c>
      <c r="F585" t="str">
        <f>VLOOKUP(E585,Customer_Helper!$F$2:$G$13,2,FALSE)</f>
        <v>North</v>
      </c>
      <c r="G585" t="s">
        <v>187</v>
      </c>
    </row>
    <row r="586" spans="1:7" x14ac:dyDescent="0.25">
      <c r="A586" t="str">
        <f t="shared" si="9"/>
        <v>C0585</v>
      </c>
      <c r="B586" t="s">
        <v>919</v>
      </c>
      <c r="C586" t="str">
        <f>VLOOKUP(LEFT(B586,FIND(" ",B586)-1),Customer_Helper!$A$2:$B$101,2,FALSE)</f>
        <v>Female</v>
      </c>
      <c r="D586">
        <v>49</v>
      </c>
      <c r="E586" t="s">
        <v>14</v>
      </c>
      <c r="F586" t="str">
        <f>VLOOKUP(E586,Customer_Helper!$F$2:$G$13,2,FALSE)</f>
        <v>South</v>
      </c>
      <c r="G586" t="s">
        <v>186</v>
      </c>
    </row>
    <row r="587" spans="1:7" x14ac:dyDescent="0.25">
      <c r="A587" t="str">
        <f t="shared" si="9"/>
        <v>C0586</v>
      </c>
      <c r="B587" t="s">
        <v>920</v>
      </c>
      <c r="C587" t="str">
        <f>VLOOKUP(LEFT(B587,FIND(" ",B587)-1),Customer_Helper!$A$2:$B$101,2,FALSE)</f>
        <v>Female</v>
      </c>
      <c r="D587">
        <v>32</v>
      </c>
      <c r="E587" t="s">
        <v>16</v>
      </c>
      <c r="F587" t="str">
        <f>VLOOKUP(E587,Customer_Helper!$F$2:$G$13,2,FALSE)</f>
        <v>South</v>
      </c>
      <c r="G587" t="s">
        <v>187</v>
      </c>
    </row>
    <row r="588" spans="1:7" x14ac:dyDescent="0.25">
      <c r="A588" t="str">
        <f t="shared" si="9"/>
        <v>C0587</v>
      </c>
      <c r="B588" t="s">
        <v>921</v>
      </c>
      <c r="C588" t="str">
        <f>VLOOKUP(LEFT(B588,FIND(" ",B588)-1),Customer_Helper!$A$2:$B$101,2,FALSE)</f>
        <v>Female</v>
      </c>
      <c r="D588">
        <v>53</v>
      </c>
      <c r="E588" t="s">
        <v>16</v>
      </c>
      <c r="F588" t="str">
        <f>VLOOKUP(E588,Customer_Helper!$F$2:$G$13,2,FALSE)</f>
        <v>South</v>
      </c>
      <c r="G588" t="s">
        <v>186</v>
      </c>
    </row>
    <row r="589" spans="1:7" x14ac:dyDescent="0.25">
      <c r="A589" t="str">
        <f t="shared" si="9"/>
        <v>C0588</v>
      </c>
      <c r="B589" t="s">
        <v>922</v>
      </c>
      <c r="C589" t="str">
        <f>VLOOKUP(LEFT(B589,FIND(" ",B589)-1),Customer_Helper!$A$2:$B$101,2,FALSE)</f>
        <v>Female</v>
      </c>
      <c r="D589">
        <v>52</v>
      </c>
      <c r="E589" t="s">
        <v>17</v>
      </c>
      <c r="F589" t="str">
        <f>VLOOKUP(E589,Customer_Helper!$F$2:$G$13,2,FALSE)</f>
        <v>South</v>
      </c>
      <c r="G589" t="s">
        <v>185</v>
      </c>
    </row>
    <row r="590" spans="1:7" x14ac:dyDescent="0.25">
      <c r="A590" t="str">
        <f t="shared" si="9"/>
        <v>C0589</v>
      </c>
      <c r="B590" t="s">
        <v>923</v>
      </c>
      <c r="C590" t="str">
        <f>VLOOKUP(LEFT(B590,FIND(" ",B590)-1),Customer_Helper!$A$2:$B$101,2,FALSE)</f>
        <v>Male</v>
      </c>
      <c r="D590">
        <v>39</v>
      </c>
      <c r="E590" t="s">
        <v>9</v>
      </c>
      <c r="F590" t="str">
        <f>VLOOKUP(E590,Customer_Helper!$F$2:$G$13,2,FALSE)</f>
        <v>North</v>
      </c>
      <c r="G590" t="s">
        <v>185</v>
      </c>
    </row>
    <row r="591" spans="1:7" x14ac:dyDescent="0.25">
      <c r="A591" t="str">
        <f t="shared" si="9"/>
        <v>C0590</v>
      </c>
      <c r="B591" t="s">
        <v>924</v>
      </c>
      <c r="C591" t="str">
        <f>VLOOKUP(LEFT(B591,FIND(" ",B591)-1),Customer_Helper!$A$2:$B$101,2,FALSE)</f>
        <v>Male</v>
      </c>
      <c r="D591">
        <v>41</v>
      </c>
      <c r="E591" t="s">
        <v>11</v>
      </c>
      <c r="F591" t="str">
        <f>VLOOKUP(E591,Customer_Helper!$F$2:$G$13,2,FALSE)</f>
        <v>East</v>
      </c>
      <c r="G591" t="s">
        <v>186</v>
      </c>
    </row>
    <row r="592" spans="1:7" x14ac:dyDescent="0.25">
      <c r="A592" t="str">
        <f t="shared" si="9"/>
        <v>C0591</v>
      </c>
      <c r="B592" t="s">
        <v>925</v>
      </c>
      <c r="C592" t="str">
        <f>VLOOKUP(LEFT(B592,FIND(" ",B592)-1),Customer_Helper!$A$2:$B$101,2,FALSE)</f>
        <v>Female</v>
      </c>
      <c r="D592">
        <v>65</v>
      </c>
      <c r="E592" t="s">
        <v>289</v>
      </c>
      <c r="F592" t="str">
        <f>VLOOKUP(E592,Customer_Helper!$F$2:$G$13,2,FALSE)</f>
        <v>West</v>
      </c>
      <c r="G592" t="s">
        <v>187</v>
      </c>
    </row>
    <row r="593" spans="1:7" x14ac:dyDescent="0.25">
      <c r="A593" t="str">
        <f t="shared" si="9"/>
        <v>C0592</v>
      </c>
      <c r="B593" t="s">
        <v>926</v>
      </c>
      <c r="C593" t="str">
        <f>VLOOKUP(LEFT(B593,FIND(" ",B593)-1),Customer_Helper!$A$2:$B$101,2,FALSE)</f>
        <v>Male</v>
      </c>
      <c r="D593">
        <v>50</v>
      </c>
      <c r="E593" t="s">
        <v>16</v>
      </c>
      <c r="F593" t="str">
        <f>VLOOKUP(E593,Customer_Helper!$F$2:$G$13,2,FALSE)</f>
        <v>South</v>
      </c>
      <c r="G593" t="s">
        <v>186</v>
      </c>
    </row>
    <row r="594" spans="1:7" x14ac:dyDescent="0.25">
      <c r="A594" t="str">
        <f t="shared" si="9"/>
        <v>C0593</v>
      </c>
      <c r="B594" t="s">
        <v>927</v>
      </c>
      <c r="C594" t="str">
        <f>VLOOKUP(LEFT(B594,FIND(" ",B594)-1),Customer_Helper!$A$2:$B$101,2,FALSE)</f>
        <v>Female</v>
      </c>
      <c r="D594">
        <v>47</v>
      </c>
      <c r="E594" t="s">
        <v>4</v>
      </c>
      <c r="F594" t="str">
        <f>VLOOKUP(E594,Customer_Helper!$F$2:$G$13,2,FALSE)</f>
        <v>West</v>
      </c>
      <c r="G594" t="s">
        <v>186</v>
      </c>
    </row>
    <row r="595" spans="1:7" x14ac:dyDescent="0.25">
      <c r="A595" t="str">
        <f t="shared" si="9"/>
        <v>C0594</v>
      </c>
      <c r="B595" t="s">
        <v>928</v>
      </c>
      <c r="C595" t="str">
        <f>VLOOKUP(LEFT(B595,FIND(" ",B595)-1),Customer_Helper!$A$2:$B$101,2,FALSE)</f>
        <v>Female</v>
      </c>
      <c r="D595">
        <v>49</v>
      </c>
      <c r="E595" t="s">
        <v>9</v>
      </c>
      <c r="F595" t="str">
        <f>VLOOKUP(E595,Customer_Helper!$F$2:$G$13,2,FALSE)</f>
        <v>North</v>
      </c>
      <c r="G595" t="s">
        <v>187</v>
      </c>
    </row>
    <row r="596" spans="1:7" x14ac:dyDescent="0.25">
      <c r="A596" t="str">
        <f t="shared" si="9"/>
        <v>C0595</v>
      </c>
      <c r="B596" t="s">
        <v>929</v>
      </c>
      <c r="C596" t="str">
        <f>VLOOKUP(LEFT(B596,FIND(" ",B596)-1),Customer_Helper!$A$2:$B$101,2,FALSE)</f>
        <v>Female</v>
      </c>
      <c r="D596">
        <v>44</v>
      </c>
      <c r="E596" t="s">
        <v>16</v>
      </c>
      <c r="F596" t="str">
        <f>VLOOKUP(E596,Customer_Helper!$F$2:$G$13,2,FALSE)</f>
        <v>South</v>
      </c>
      <c r="G596" t="s">
        <v>186</v>
      </c>
    </row>
    <row r="597" spans="1:7" x14ac:dyDescent="0.25">
      <c r="A597" t="str">
        <f t="shared" si="9"/>
        <v>C0596</v>
      </c>
      <c r="B597" t="s">
        <v>930</v>
      </c>
      <c r="C597" t="str">
        <f>VLOOKUP(LEFT(B597,FIND(" ",B597)-1),Customer_Helper!$A$2:$B$101,2,FALSE)</f>
        <v>Male</v>
      </c>
      <c r="D597">
        <v>54</v>
      </c>
      <c r="E597" t="s">
        <v>289</v>
      </c>
      <c r="F597" t="str">
        <f>VLOOKUP(E597,Customer_Helper!$F$2:$G$13,2,FALSE)</f>
        <v>West</v>
      </c>
      <c r="G597" t="s">
        <v>185</v>
      </c>
    </row>
    <row r="598" spans="1:7" x14ac:dyDescent="0.25">
      <c r="A598" t="str">
        <f t="shared" si="9"/>
        <v>C0597</v>
      </c>
      <c r="B598" t="s">
        <v>931</v>
      </c>
      <c r="C598" t="str">
        <f>VLOOKUP(LEFT(B598,FIND(" ",B598)-1),Customer_Helper!$A$2:$B$101,2,FALSE)</f>
        <v>Female</v>
      </c>
      <c r="D598">
        <v>53</v>
      </c>
      <c r="E598" t="s">
        <v>10</v>
      </c>
      <c r="F598" t="str">
        <f>VLOOKUP(E598,Customer_Helper!$F$2:$G$13,2,FALSE)</f>
        <v>North</v>
      </c>
      <c r="G598" t="s">
        <v>187</v>
      </c>
    </row>
    <row r="599" spans="1:7" x14ac:dyDescent="0.25">
      <c r="A599" t="str">
        <f t="shared" si="9"/>
        <v>C0598</v>
      </c>
      <c r="B599" t="s">
        <v>932</v>
      </c>
      <c r="C599" t="str">
        <f>VLOOKUP(LEFT(B599,FIND(" ",B599)-1),Customer_Helper!$A$2:$B$101,2,FALSE)</f>
        <v>Male</v>
      </c>
      <c r="D599">
        <v>42</v>
      </c>
      <c r="E599" t="s">
        <v>289</v>
      </c>
      <c r="F599" t="str">
        <f>VLOOKUP(E599,Customer_Helper!$F$2:$G$13,2,FALSE)</f>
        <v>West</v>
      </c>
      <c r="G599" t="s">
        <v>187</v>
      </c>
    </row>
    <row r="600" spans="1:7" x14ac:dyDescent="0.25">
      <c r="A600" t="str">
        <f t="shared" si="9"/>
        <v>C0599</v>
      </c>
      <c r="B600" t="s">
        <v>933</v>
      </c>
      <c r="C600" t="str">
        <f>VLOOKUP(LEFT(B600,FIND(" ",B600)-1),Customer_Helper!$A$2:$B$101,2,FALSE)</f>
        <v>Female</v>
      </c>
      <c r="D600">
        <v>26</v>
      </c>
      <c r="E600" t="s">
        <v>4</v>
      </c>
      <c r="F600" t="str">
        <f>VLOOKUP(E600,Customer_Helper!$F$2:$G$13,2,FALSE)</f>
        <v>West</v>
      </c>
      <c r="G600" t="s">
        <v>186</v>
      </c>
    </row>
    <row r="601" spans="1:7" x14ac:dyDescent="0.25">
      <c r="A601" t="str">
        <f t="shared" si="9"/>
        <v>C0600</v>
      </c>
      <c r="B601" t="s">
        <v>934</v>
      </c>
      <c r="C601" t="str">
        <f>VLOOKUP(LEFT(B601,FIND(" ",B601)-1),Customer_Helper!$A$2:$B$101,2,FALSE)</f>
        <v>Female</v>
      </c>
      <c r="D601">
        <v>33</v>
      </c>
      <c r="E601" t="s">
        <v>9</v>
      </c>
      <c r="F601" t="str">
        <f>VLOOKUP(E601,Customer_Helper!$F$2:$G$13,2,FALSE)</f>
        <v>North</v>
      </c>
      <c r="G601" t="s">
        <v>187</v>
      </c>
    </row>
    <row r="602" spans="1:7" x14ac:dyDescent="0.25">
      <c r="A602" t="str">
        <f t="shared" si="9"/>
        <v>C0601</v>
      </c>
      <c r="B602" t="s">
        <v>935</v>
      </c>
      <c r="C602" t="str">
        <f>VLOOKUP(LEFT(B602,FIND(" ",B602)-1),Customer_Helper!$A$2:$B$101,2,FALSE)</f>
        <v>Male</v>
      </c>
      <c r="D602">
        <v>57</v>
      </c>
      <c r="E602" t="s">
        <v>2</v>
      </c>
      <c r="F602" t="str">
        <f>VLOOKUP(E602,Customer_Helper!$F$2:$G$13,2,FALSE)</f>
        <v>West</v>
      </c>
      <c r="G602" t="s">
        <v>185</v>
      </c>
    </row>
    <row r="603" spans="1:7" x14ac:dyDescent="0.25">
      <c r="A603" t="str">
        <f t="shared" si="9"/>
        <v>C0602</v>
      </c>
      <c r="B603" t="s">
        <v>936</v>
      </c>
      <c r="C603" t="str">
        <f>VLOOKUP(LEFT(B603,FIND(" ",B603)-1),Customer_Helper!$A$2:$B$101,2,FALSE)</f>
        <v>Male</v>
      </c>
      <c r="D603">
        <v>61</v>
      </c>
      <c r="E603" t="s">
        <v>17</v>
      </c>
      <c r="F603" t="str">
        <f>VLOOKUP(E603,Customer_Helper!$F$2:$G$13,2,FALSE)</f>
        <v>South</v>
      </c>
      <c r="G603" t="s">
        <v>185</v>
      </c>
    </row>
    <row r="604" spans="1:7" x14ac:dyDescent="0.25">
      <c r="A604" t="str">
        <f t="shared" si="9"/>
        <v>C0603</v>
      </c>
      <c r="B604" t="s">
        <v>871</v>
      </c>
      <c r="C604" t="str">
        <f>VLOOKUP(LEFT(B604,FIND(" ",B604)-1),Customer_Helper!$A$2:$B$101,2,FALSE)</f>
        <v>Female</v>
      </c>
      <c r="D604">
        <v>35</v>
      </c>
      <c r="E604" t="s">
        <v>10</v>
      </c>
      <c r="F604" t="str">
        <f>VLOOKUP(E604,Customer_Helper!$F$2:$G$13,2,FALSE)</f>
        <v>North</v>
      </c>
      <c r="G604" t="s">
        <v>187</v>
      </c>
    </row>
    <row r="605" spans="1:7" x14ac:dyDescent="0.25">
      <c r="A605" t="str">
        <f t="shared" si="9"/>
        <v>C0604</v>
      </c>
      <c r="B605" t="s">
        <v>937</v>
      </c>
      <c r="C605" t="str">
        <f>VLOOKUP(LEFT(B605,FIND(" ",B605)-1),Customer_Helper!$A$2:$B$101,2,FALSE)</f>
        <v>Female</v>
      </c>
      <c r="D605">
        <v>31</v>
      </c>
      <c r="E605" t="s">
        <v>14</v>
      </c>
      <c r="F605" t="str">
        <f>VLOOKUP(E605,Customer_Helper!$F$2:$G$13,2,FALSE)</f>
        <v>South</v>
      </c>
      <c r="G605" t="s">
        <v>187</v>
      </c>
    </row>
    <row r="606" spans="1:7" x14ac:dyDescent="0.25">
      <c r="A606" t="str">
        <f t="shared" si="9"/>
        <v>C0605</v>
      </c>
      <c r="B606" t="s">
        <v>938</v>
      </c>
      <c r="C606" t="str">
        <f>VLOOKUP(LEFT(B606,FIND(" ",B606)-1),Customer_Helper!$A$2:$B$101,2,FALSE)</f>
        <v>Female</v>
      </c>
      <c r="D606">
        <v>34</v>
      </c>
      <c r="E606" t="s">
        <v>11</v>
      </c>
      <c r="F606" t="str">
        <f>VLOOKUP(E606,Customer_Helper!$F$2:$G$13,2,FALSE)</f>
        <v>East</v>
      </c>
      <c r="G606" t="s">
        <v>185</v>
      </c>
    </row>
    <row r="607" spans="1:7" x14ac:dyDescent="0.25">
      <c r="A607" t="str">
        <f t="shared" si="9"/>
        <v>C0606</v>
      </c>
      <c r="B607" t="s">
        <v>939</v>
      </c>
      <c r="C607" t="str">
        <f>VLOOKUP(LEFT(B607,FIND(" ",B607)-1),Customer_Helper!$A$2:$B$101,2,FALSE)</f>
        <v>Male</v>
      </c>
      <c r="D607">
        <v>51</v>
      </c>
      <c r="E607" t="s">
        <v>9</v>
      </c>
      <c r="F607" t="str">
        <f>VLOOKUP(E607,Customer_Helper!$F$2:$G$13,2,FALSE)</f>
        <v>North</v>
      </c>
      <c r="G607" t="s">
        <v>185</v>
      </c>
    </row>
    <row r="608" spans="1:7" x14ac:dyDescent="0.25">
      <c r="A608" t="str">
        <f t="shared" si="9"/>
        <v>C0607</v>
      </c>
      <c r="B608" t="s">
        <v>940</v>
      </c>
      <c r="C608" t="str">
        <f>VLOOKUP(LEFT(B608,FIND(" ",B608)-1),Customer_Helper!$A$2:$B$101,2,FALSE)</f>
        <v>Male</v>
      </c>
      <c r="D608">
        <v>55</v>
      </c>
      <c r="E608" t="s">
        <v>9</v>
      </c>
      <c r="F608" t="str">
        <f>VLOOKUP(E608,Customer_Helper!$F$2:$G$13,2,FALSE)</f>
        <v>North</v>
      </c>
      <c r="G608" t="s">
        <v>186</v>
      </c>
    </row>
    <row r="609" spans="1:7" x14ac:dyDescent="0.25">
      <c r="A609" t="str">
        <f t="shared" si="9"/>
        <v>C0608</v>
      </c>
      <c r="B609" t="s">
        <v>941</v>
      </c>
      <c r="C609" t="str">
        <f>VLOOKUP(LEFT(B609,FIND(" ",B609)-1),Customer_Helper!$A$2:$B$101,2,FALSE)</f>
        <v>Male</v>
      </c>
      <c r="D609">
        <v>61</v>
      </c>
      <c r="E609" t="s">
        <v>9</v>
      </c>
      <c r="F609" t="str">
        <f>VLOOKUP(E609,Customer_Helper!$F$2:$G$13,2,FALSE)</f>
        <v>North</v>
      </c>
      <c r="G609" t="s">
        <v>187</v>
      </c>
    </row>
    <row r="610" spans="1:7" x14ac:dyDescent="0.25">
      <c r="A610" t="str">
        <f t="shared" si="9"/>
        <v>C0609</v>
      </c>
      <c r="B610" t="s">
        <v>942</v>
      </c>
      <c r="C610" t="str">
        <f>VLOOKUP(LEFT(B610,FIND(" ",B610)-1),Customer_Helper!$A$2:$B$101,2,FALSE)</f>
        <v>Male</v>
      </c>
      <c r="D610">
        <v>49</v>
      </c>
      <c r="E610" t="s">
        <v>11</v>
      </c>
      <c r="F610" t="str">
        <f>VLOOKUP(E610,Customer_Helper!$F$2:$G$13,2,FALSE)</f>
        <v>East</v>
      </c>
      <c r="G610" t="s">
        <v>187</v>
      </c>
    </row>
    <row r="611" spans="1:7" x14ac:dyDescent="0.25">
      <c r="A611" t="str">
        <f t="shared" si="9"/>
        <v>C0610</v>
      </c>
      <c r="B611" t="s">
        <v>943</v>
      </c>
      <c r="C611" t="str">
        <f>VLOOKUP(LEFT(B611,FIND(" ",B611)-1),Customer_Helper!$A$2:$B$101,2,FALSE)</f>
        <v>Male</v>
      </c>
      <c r="D611">
        <v>23</v>
      </c>
      <c r="E611" t="s">
        <v>16</v>
      </c>
      <c r="F611" t="str">
        <f>VLOOKUP(E611,Customer_Helper!$F$2:$G$13,2,FALSE)</f>
        <v>South</v>
      </c>
      <c r="G611" t="s">
        <v>186</v>
      </c>
    </row>
    <row r="612" spans="1:7" x14ac:dyDescent="0.25">
      <c r="A612" t="str">
        <f t="shared" si="9"/>
        <v>C0611</v>
      </c>
      <c r="B612" t="s">
        <v>944</v>
      </c>
      <c r="C612" t="str">
        <f>VLOOKUP(LEFT(B612,FIND(" ",B612)-1),Customer_Helper!$A$2:$B$101,2,FALSE)</f>
        <v>Female</v>
      </c>
      <c r="D612">
        <v>50</v>
      </c>
      <c r="E612" t="s">
        <v>289</v>
      </c>
      <c r="F612" t="str">
        <f>VLOOKUP(E612,Customer_Helper!$F$2:$G$13,2,FALSE)</f>
        <v>West</v>
      </c>
      <c r="G612" t="s">
        <v>187</v>
      </c>
    </row>
    <row r="613" spans="1:7" x14ac:dyDescent="0.25">
      <c r="A613" t="str">
        <f t="shared" si="9"/>
        <v>C0612</v>
      </c>
      <c r="B613" t="s">
        <v>945</v>
      </c>
      <c r="C613" t="str">
        <f>VLOOKUP(LEFT(B613,FIND(" ",B613)-1),Customer_Helper!$A$2:$B$101,2,FALSE)</f>
        <v>Male</v>
      </c>
      <c r="D613">
        <v>60</v>
      </c>
      <c r="E613" t="s">
        <v>5</v>
      </c>
      <c r="F613" t="str">
        <f>VLOOKUP(E613,Customer_Helper!$F$2:$G$13,2,FALSE)</f>
        <v>West</v>
      </c>
      <c r="G613" t="s">
        <v>187</v>
      </c>
    </row>
    <row r="614" spans="1:7" x14ac:dyDescent="0.25">
      <c r="A614" t="str">
        <f t="shared" si="9"/>
        <v>C0613</v>
      </c>
      <c r="B614" t="s">
        <v>946</v>
      </c>
      <c r="C614" t="str">
        <f>VLOOKUP(LEFT(B614,FIND(" ",B614)-1),Customer_Helper!$A$2:$B$101,2,FALSE)</f>
        <v>Female</v>
      </c>
      <c r="D614">
        <v>38</v>
      </c>
      <c r="E614" t="s">
        <v>9</v>
      </c>
      <c r="F614" t="str">
        <f>VLOOKUP(E614,Customer_Helper!$F$2:$G$13,2,FALSE)</f>
        <v>North</v>
      </c>
      <c r="G614" t="s">
        <v>185</v>
      </c>
    </row>
    <row r="615" spans="1:7" x14ac:dyDescent="0.25">
      <c r="A615" t="str">
        <f t="shared" si="9"/>
        <v>C0614</v>
      </c>
      <c r="B615" t="s">
        <v>947</v>
      </c>
      <c r="C615" t="str">
        <f>VLOOKUP(LEFT(B615,FIND(" ",B615)-1),Customer_Helper!$A$2:$B$101,2,FALSE)</f>
        <v>Male</v>
      </c>
      <c r="D615">
        <v>39</v>
      </c>
      <c r="E615" t="s">
        <v>9</v>
      </c>
      <c r="F615" t="str">
        <f>VLOOKUP(E615,Customer_Helper!$F$2:$G$13,2,FALSE)</f>
        <v>North</v>
      </c>
      <c r="G615" t="s">
        <v>187</v>
      </c>
    </row>
    <row r="616" spans="1:7" x14ac:dyDescent="0.25">
      <c r="A616" t="str">
        <f t="shared" si="9"/>
        <v>C0615</v>
      </c>
      <c r="B616" t="s">
        <v>948</v>
      </c>
      <c r="C616" t="str">
        <f>VLOOKUP(LEFT(B616,FIND(" ",B616)-1),Customer_Helper!$A$2:$B$101,2,FALSE)</f>
        <v>Male</v>
      </c>
      <c r="D616">
        <v>42</v>
      </c>
      <c r="E616" t="s">
        <v>11</v>
      </c>
      <c r="F616" t="str">
        <f>VLOOKUP(E616,Customer_Helper!$F$2:$G$13,2,FALSE)</f>
        <v>East</v>
      </c>
      <c r="G616" t="s">
        <v>186</v>
      </c>
    </row>
    <row r="617" spans="1:7" x14ac:dyDescent="0.25">
      <c r="A617" t="str">
        <f t="shared" si="9"/>
        <v>C0616</v>
      </c>
      <c r="B617" t="s">
        <v>949</v>
      </c>
      <c r="C617" t="str">
        <f>VLOOKUP(LEFT(B617,FIND(" ",B617)-1),Customer_Helper!$A$2:$B$101,2,FALSE)</f>
        <v>Female</v>
      </c>
      <c r="D617">
        <v>23</v>
      </c>
      <c r="E617" t="s">
        <v>5</v>
      </c>
      <c r="F617" t="str">
        <f>VLOOKUP(E617,Customer_Helper!$F$2:$G$13,2,FALSE)</f>
        <v>West</v>
      </c>
      <c r="G617" t="s">
        <v>185</v>
      </c>
    </row>
    <row r="618" spans="1:7" x14ac:dyDescent="0.25">
      <c r="A618" t="str">
        <f t="shared" si="9"/>
        <v>C0617</v>
      </c>
      <c r="B618" t="s">
        <v>950</v>
      </c>
      <c r="C618" t="str">
        <f>VLOOKUP(LEFT(B618,FIND(" ",B618)-1),Customer_Helper!$A$2:$B$101,2,FALSE)</f>
        <v>Male</v>
      </c>
      <c r="D618">
        <v>52</v>
      </c>
      <c r="E618" t="s">
        <v>14</v>
      </c>
      <c r="F618" t="str">
        <f>VLOOKUP(E618,Customer_Helper!$F$2:$G$13,2,FALSE)</f>
        <v>South</v>
      </c>
      <c r="G618" t="s">
        <v>185</v>
      </c>
    </row>
    <row r="619" spans="1:7" x14ac:dyDescent="0.25">
      <c r="A619" t="str">
        <f t="shared" si="9"/>
        <v>C0618</v>
      </c>
      <c r="B619" t="s">
        <v>951</v>
      </c>
      <c r="C619" t="str">
        <f>VLOOKUP(LEFT(B619,FIND(" ",B619)-1),Customer_Helper!$A$2:$B$101,2,FALSE)</f>
        <v>Male</v>
      </c>
      <c r="D619">
        <v>21</v>
      </c>
      <c r="E619" t="s">
        <v>17</v>
      </c>
      <c r="F619" t="str">
        <f>VLOOKUP(E619,Customer_Helper!$F$2:$G$13,2,FALSE)</f>
        <v>South</v>
      </c>
      <c r="G619" t="s">
        <v>186</v>
      </c>
    </row>
    <row r="620" spans="1:7" x14ac:dyDescent="0.25">
      <c r="A620" t="str">
        <f t="shared" si="9"/>
        <v>C0619</v>
      </c>
      <c r="B620" t="s">
        <v>952</v>
      </c>
      <c r="C620" t="str">
        <f>VLOOKUP(LEFT(B620,FIND(" ",B620)-1),Customer_Helper!$A$2:$B$101,2,FALSE)</f>
        <v>Male</v>
      </c>
      <c r="D620">
        <v>48</v>
      </c>
      <c r="E620" t="s">
        <v>9</v>
      </c>
      <c r="F620" t="str">
        <f>VLOOKUP(E620,Customer_Helper!$F$2:$G$13,2,FALSE)</f>
        <v>North</v>
      </c>
      <c r="G620" t="s">
        <v>185</v>
      </c>
    </row>
    <row r="621" spans="1:7" x14ac:dyDescent="0.25">
      <c r="A621" t="str">
        <f t="shared" si="9"/>
        <v>C0620</v>
      </c>
      <c r="B621" t="s">
        <v>953</v>
      </c>
      <c r="C621" t="str">
        <f>VLOOKUP(LEFT(B621,FIND(" ",B621)-1),Customer_Helper!$A$2:$B$101,2,FALSE)</f>
        <v>Male</v>
      </c>
      <c r="D621">
        <v>51</v>
      </c>
      <c r="E621" t="s">
        <v>289</v>
      </c>
      <c r="F621" t="str">
        <f>VLOOKUP(E621,Customer_Helper!$F$2:$G$13,2,FALSE)</f>
        <v>West</v>
      </c>
      <c r="G621" t="s">
        <v>187</v>
      </c>
    </row>
    <row r="622" spans="1:7" x14ac:dyDescent="0.25">
      <c r="A622" t="str">
        <f t="shared" si="9"/>
        <v>C0621</v>
      </c>
      <c r="B622" t="s">
        <v>954</v>
      </c>
      <c r="C622" t="str">
        <f>VLOOKUP(LEFT(B622,FIND(" ",B622)-1),Customer_Helper!$A$2:$B$101,2,FALSE)</f>
        <v>Female</v>
      </c>
      <c r="D622">
        <v>26</v>
      </c>
      <c r="E622" t="s">
        <v>4</v>
      </c>
      <c r="F622" t="str">
        <f>VLOOKUP(E622,Customer_Helper!$F$2:$G$13,2,FALSE)</f>
        <v>West</v>
      </c>
      <c r="G622" t="s">
        <v>186</v>
      </c>
    </row>
    <row r="623" spans="1:7" x14ac:dyDescent="0.25">
      <c r="A623" t="str">
        <f t="shared" si="9"/>
        <v>C0622</v>
      </c>
      <c r="B623" t="s">
        <v>955</v>
      </c>
      <c r="C623" t="str">
        <f>VLOOKUP(LEFT(B623,FIND(" ",B623)-1),Customer_Helper!$A$2:$B$101,2,FALSE)</f>
        <v>Male</v>
      </c>
      <c r="D623">
        <v>64</v>
      </c>
      <c r="E623" t="s">
        <v>4</v>
      </c>
      <c r="F623" t="str">
        <f>VLOOKUP(E623,Customer_Helper!$F$2:$G$13,2,FALSE)</f>
        <v>West</v>
      </c>
      <c r="G623" t="s">
        <v>186</v>
      </c>
    </row>
    <row r="624" spans="1:7" x14ac:dyDescent="0.25">
      <c r="A624" t="str">
        <f t="shared" si="9"/>
        <v>C0623</v>
      </c>
      <c r="B624" t="s">
        <v>956</v>
      </c>
      <c r="C624" t="str">
        <f>VLOOKUP(LEFT(B624,FIND(" ",B624)-1),Customer_Helper!$A$2:$B$101,2,FALSE)</f>
        <v>Female</v>
      </c>
      <c r="D624">
        <v>21</v>
      </c>
      <c r="E624" t="s">
        <v>17</v>
      </c>
      <c r="F624" t="str">
        <f>VLOOKUP(E624,Customer_Helper!$F$2:$G$13,2,FALSE)</f>
        <v>South</v>
      </c>
      <c r="G624" t="s">
        <v>185</v>
      </c>
    </row>
    <row r="625" spans="1:7" x14ac:dyDescent="0.25">
      <c r="A625" t="str">
        <f t="shared" si="9"/>
        <v>C0624</v>
      </c>
      <c r="B625" t="s">
        <v>957</v>
      </c>
      <c r="C625" t="str">
        <f>VLOOKUP(LEFT(B625,FIND(" ",B625)-1),Customer_Helper!$A$2:$B$101,2,FALSE)</f>
        <v>Female</v>
      </c>
      <c r="D625">
        <v>30</v>
      </c>
      <c r="E625" t="s">
        <v>14</v>
      </c>
      <c r="F625" t="str">
        <f>VLOOKUP(E625,Customer_Helper!$F$2:$G$13,2,FALSE)</f>
        <v>South</v>
      </c>
      <c r="G625" t="s">
        <v>187</v>
      </c>
    </row>
    <row r="626" spans="1:7" x14ac:dyDescent="0.25">
      <c r="A626" t="str">
        <f t="shared" si="9"/>
        <v>C0625</v>
      </c>
      <c r="B626" t="s">
        <v>958</v>
      </c>
      <c r="C626" t="str">
        <f>VLOOKUP(LEFT(B626,FIND(" ",B626)-1),Customer_Helper!$A$2:$B$101,2,FALSE)</f>
        <v>Female</v>
      </c>
      <c r="D626">
        <v>34</v>
      </c>
      <c r="E626" t="s">
        <v>4</v>
      </c>
      <c r="F626" t="str">
        <f>VLOOKUP(E626,Customer_Helper!$F$2:$G$13,2,FALSE)</f>
        <v>West</v>
      </c>
      <c r="G626" t="s">
        <v>186</v>
      </c>
    </row>
    <row r="627" spans="1:7" x14ac:dyDescent="0.25">
      <c r="A627" t="str">
        <f t="shared" si="9"/>
        <v>C0626</v>
      </c>
      <c r="B627" t="s">
        <v>959</v>
      </c>
      <c r="C627" t="str">
        <f>VLOOKUP(LEFT(B627,FIND(" ",B627)-1),Customer_Helper!$A$2:$B$101,2,FALSE)</f>
        <v>Female</v>
      </c>
      <c r="D627">
        <v>47</v>
      </c>
      <c r="E627" t="s">
        <v>289</v>
      </c>
      <c r="F627" t="str">
        <f>VLOOKUP(E627,Customer_Helper!$F$2:$G$13,2,FALSE)</f>
        <v>West</v>
      </c>
      <c r="G627" t="s">
        <v>186</v>
      </c>
    </row>
    <row r="628" spans="1:7" x14ac:dyDescent="0.25">
      <c r="A628" t="str">
        <f t="shared" si="9"/>
        <v>C0627</v>
      </c>
      <c r="B628" t="s">
        <v>960</v>
      </c>
      <c r="C628" t="str">
        <f>VLOOKUP(LEFT(B628,FIND(" ",B628)-1),Customer_Helper!$A$2:$B$101,2,FALSE)</f>
        <v>Female</v>
      </c>
      <c r="D628">
        <v>63</v>
      </c>
      <c r="E628" t="s">
        <v>11</v>
      </c>
      <c r="F628" t="str">
        <f>VLOOKUP(E628,Customer_Helper!$F$2:$G$13,2,FALSE)</f>
        <v>East</v>
      </c>
      <c r="G628" t="s">
        <v>186</v>
      </c>
    </row>
    <row r="629" spans="1:7" x14ac:dyDescent="0.25">
      <c r="A629" t="str">
        <f t="shared" si="9"/>
        <v>C0628</v>
      </c>
      <c r="B629" t="s">
        <v>961</v>
      </c>
      <c r="C629" t="str">
        <f>VLOOKUP(LEFT(B629,FIND(" ",B629)-1),Customer_Helper!$A$2:$B$101,2,FALSE)</f>
        <v>Male</v>
      </c>
      <c r="D629">
        <v>60</v>
      </c>
      <c r="E629" t="s">
        <v>2</v>
      </c>
      <c r="F629" t="str">
        <f>VLOOKUP(E629,Customer_Helper!$F$2:$G$13,2,FALSE)</f>
        <v>West</v>
      </c>
      <c r="G629" t="s">
        <v>187</v>
      </c>
    </row>
    <row r="630" spans="1:7" x14ac:dyDescent="0.25">
      <c r="A630" t="str">
        <f t="shared" si="9"/>
        <v>C0629</v>
      </c>
      <c r="B630" t="s">
        <v>962</v>
      </c>
      <c r="C630" t="str">
        <f>VLOOKUP(LEFT(B630,FIND(" ",B630)-1),Customer_Helper!$A$2:$B$101,2,FALSE)</f>
        <v>Female</v>
      </c>
      <c r="D630">
        <v>51</v>
      </c>
      <c r="E630" t="s">
        <v>17</v>
      </c>
      <c r="F630" t="str">
        <f>VLOOKUP(E630,Customer_Helper!$F$2:$G$13,2,FALSE)</f>
        <v>South</v>
      </c>
      <c r="G630" t="s">
        <v>187</v>
      </c>
    </row>
    <row r="631" spans="1:7" x14ac:dyDescent="0.25">
      <c r="A631" t="str">
        <f t="shared" si="9"/>
        <v>C0630</v>
      </c>
      <c r="B631" t="s">
        <v>963</v>
      </c>
      <c r="C631" t="str">
        <f>VLOOKUP(LEFT(B631,FIND(" ",B631)-1),Customer_Helper!$A$2:$B$101,2,FALSE)</f>
        <v>Male</v>
      </c>
      <c r="D631">
        <v>46</v>
      </c>
      <c r="E631" t="s">
        <v>9</v>
      </c>
      <c r="F631" t="str">
        <f>VLOOKUP(E631,Customer_Helper!$F$2:$G$13,2,FALSE)</f>
        <v>North</v>
      </c>
      <c r="G631" t="s">
        <v>186</v>
      </c>
    </row>
    <row r="632" spans="1:7" x14ac:dyDescent="0.25">
      <c r="A632" t="str">
        <f t="shared" si="9"/>
        <v>C0631</v>
      </c>
      <c r="B632" t="s">
        <v>916</v>
      </c>
      <c r="C632" t="str">
        <f>VLOOKUP(LEFT(B632,FIND(" ",B632)-1),Customer_Helper!$A$2:$B$101,2,FALSE)</f>
        <v>Female</v>
      </c>
      <c r="D632">
        <v>47</v>
      </c>
      <c r="E632" t="s">
        <v>17</v>
      </c>
      <c r="F632" t="str">
        <f>VLOOKUP(E632,Customer_Helper!$F$2:$G$13,2,FALSE)</f>
        <v>South</v>
      </c>
      <c r="G632" t="s">
        <v>187</v>
      </c>
    </row>
    <row r="633" spans="1:7" x14ac:dyDescent="0.25">
      <c r="A633" t="str">
        <f t="shared" si="9"/>
        <v>C0632</v>
      </c>
      <c r="B633" t="s">
        <v>964</v>
      </c>
      <c r="C633" t="str">
        <f>VLOOKUP(LEFT(B633,FIND(" ",B633)-1),Customer_Helper!$A$2:$B$101,2,FALSE)</f>
        <v>Male</v>
      </c>
      <c r="D633">
        <v>40</v>
      </c>
      <c r="E633" t="s">
        <v>11</v>
      </c>
      <c r="F633" t="str">
        <f>VLOOKUP(E633,Customer_Helper!$F$2:$G$13,2,FALSE)</f>
        <v>East</v>
      </c>
      <c r="G633" t="s">
        <v>187</v>
      </c>
    </row>
    <row r="634" spans="1:7" x14ac:dyDescent="0.25">
      <c r="A634" t="str">
        <f t="shared" si="9"/>
        <v>C0633</v>
      </c>
      <c r="B634" t="s">
        <v>965</v>
      </c>
      <c r="C634" t="str">
        <f>VLOOKUP(LEFT(B634,FIND(" ",B634)-1),Customer_Helper!$A$2:$B$101,2,FALSE)</f>
        <v>Male</v>
      </c>
      <c r="D634">
        <v>54</v>
      </c>
      <c r="E634" t="s">
        <v>2</v>
      </c>
      <c r="F634" t="str">
        <f>VLOOKUP(E634,Customer_Helper!$F$2:$G$13,2,FALSE)</f>
        <v>West</v>
      </c>
      <c r="G634" t="s">
        <v>186</v>
      </c>
    </row>
    <row r="635" spans="1:7" x14ac:dyDescent="0.25">
      <c r="A635" t="str">
        <f t="shared" si="9"/>
        <v>C0634</v>
      </c>
      <c r="B635" t="s">
        <v>966</v>
      </c>
      <c r="C635" t="str">
        <f>VLOOKUP(LEFT(B635,FIND(" ",B635)-1),Customer_Helper!$A$2:$B$101,2,FALSE)</f>
        <v>Male</v>
      </c>
      <c r="D635">
        <v>18</v>
      </c>
      <c r="E635" t="s">
        <v>14</v>
      </c>
      <c r="F635" t="str">
        <f>VLOOKUP(E635,Customer_Helper!$F$2:$G$13,2,FALSE)</f>
        <v>South</v>
      </c>
      <c r="G635" t="s">
        <v>186</v>
      </c>
    </row>
    <row r="636" spans="1:7" x14ac:dyDescent="0.25">
      <c r="A636" t="str">
        <f t="shared" si="9"/>
        <v>C0635</v>
      </c>
      <c r="B636" t="s">
        <v>967</v>
      </c>
      <c r="C636" t="str">
        <f>VLOOKUP(LEFT(B636,FIND(" ",B636)-1),Customer_Helper!$A$2:$B$101,2,FALSE)</f>
        <v>Male</v>
      </c>
      <c r="D636">
        <v>53</v>
      </c>
      <c r="E636" t="s">
        <v>289</v>
      </c>
      <c r="F636" t="str">
        <f>VLOOKUP(E636,Customer_Helper!$F$2:$G$13,2,FALSE)</f>
        <v>West</v>
      </c>
      <c r="G636" t="s">
        <v>185</v>
      </c>
    </row>
    <row r="637" spans="1:7" x14ac:dyDescent="0.25">
      <c r="A637" t="str">
        <f t="shared" si="9"/>
        <v>C0636</v>
      </c>
      <c r="B637" t="s">
        <v>968</v>
      </c>
      <c r="C637" t="str">
        <f>VLOOKUP(LEFT(B637,FIND(" ",B637)-1),Customer_Helper!$A$2:$B$101,2,FALSE)</f>
        <v>Female</v>
      </c>
      <c r="D637">
        <v>63</v>
      </c>
      <c r="E637" t="s">
        <v>16</v>
      </c>
      <c r="F637" t="str">
        <f>VLOOKUP(E637,Customer_Helper!$F$2:$G$13,2,FALSE)</f>
        <v>South</v>
      </c>
      <c r="G637" t="s">
        <v>186</v>
      </c>
    </row>
    <row r="638" spans="1:7" x14ac:dyDescent="0.25">
      <c r="A638" t="str">
        <f t="shared" si="9"/>
        <v>C0637</v>
      </c>
      <c r="B638" t="s">
        <v>969</v>
      </c>
      <c r="C638" t="str">
        <f>VLOOKUP(LEFT(B638,FIND(" ",B638)-1),Customer_Helper!$A$2:$B$101,2,FALSE)</f>
        <v>Female</v>
      </c>
      <c r="D638">
        <v>39</v>
      </c>
      <c r="E638" t="s">
        <v>5</v>
      </c>
      <c r="F638" t="str">
        <f>VLOOKUP(E638,Customer_Helper!$F$2:$G$13,2,FALSE)</f>
        <v>West</v>
      </c>
      <c r="G638" t="s">
        <v>186</v>
      </c>
    </row>
    <row r="639" spans="1:7" x14ac:dyDescent="0.25">
      <c r="A639" t="str">
        <f t="shared" si="9"/>
        <v>C0638</v>
      </c>
      <c r="B639" t="s">
        <v>970</v>
      </c>
      <c r="C639" t="str">
        <f>VLOOKUP(LEFT(B639,FIND(" ",B639)-1),Customer_Helper!$A$2:$B$101,2,FALSE)</f>
        <v>Male</v>
      </c>
      <c r="D639">
        <v>58</v>
      </c>
      <c r="E639" t="s">
        <v>16</v>
      </c>
      <c r="F639" t="str">
        <f>VLOOKUP(E639,Customer_Helper!$F$2:$G$13,2,FALSE)</f>
        <v>South</v>
      </c>
      <c r="G639" t="s">
        <v>186</v>
      </c>
    </row>
    <row r="640" spans="1:7" x14ac:dyDescent="0.25">
      <c r="A640" t="str">
        <f t="shared" si="9"/>
        <v>C0639</v>
      </c>
      <c r="B640" t="s">
        <v>971</v>
      </c>
      <c r="C640" t="str">
        <f>VLOOKUP(LEFT(B640,FIND(" ",B640)-1),Customer_Helper!$A$2:$B$101,2,FALSE)</f>
        <v>Female</v>
      </c>
      <c r="D640">
        <v>58</v>
      </c>
      <c r="E640" t="s">
        <v>10</v>
      </c>
      <c r="F640" t="str">
        <f>VLOOKUP(E640,Customer_Helper!$F$2:$G$13,2,FALSE)</f>
        <v>North</v>
      </c>
      <c r="G640" t="s">
        <v>187</v>
      </c>
    </row>
    <row r="641" spans="1:7" x14ac:dyDescent="0.25">
      <c r="A641" t="str">
        <f t="shared" si="9"/>
        <v>C0640</v>
      </c>
      <c r="B641" t="s">
        <v>972</v>
      </c>
      <c r="C641" t="str">
        <f>VLOOKUP(LEFT(B641,FIND(" ",B641)-1),Customer_Helper!$A$2:$B$101,2,FALSE)</f>
        <v>Male</v>
      </c>
      <c r="D641">
        <v>61</v>
      </c>
      <c r="E641" t="s">
        <v>17</v>
      </c>
      <c r="F641" t="str">
        <f>VLOOKUP(E641,Customer_Helper!$F$2:$G$13,2,FALSE)</f>
        <v>South</v>
      </c>
      <c r="G641" t="s">
        <v>185</v>
      </c>
    </row>
    <row r="642" spans="1:7" x14ac:dyDescent="0.25">
      <c r="A642" t="str">
        <f t="shared" si="9"/>
        <v>C0641</v>
      </c>
      <c r="B642" t="s">
        <v>973</v>
      </c>
      <c r="C642" t="str">
        <f>VLOOKUP(LEFT(B642,FIND(" ",B642)-1),Customer_Helper!$A$2:$B$101,2,FALSE)</f>
        <v>Female</v>
      </c>
      <c r="D642">
        <v>33</v>
      </c>
      <c r="E642" t="s">
        <v>290</v>
      </c>
      <c r="F642" t="str">
        <f>VLOOKUP(E642,Customer_Helper!$F$2:$G$13,2,FALSE)</f>
        <v>West</v>
      </c>
      <c r="G642" t="s">
        <v>187</v>
      </c>
    </row>
    <row r="643" spans="1:7" x14ac:dyDescent="0.25">
      <c r="A643" t="str">
        <f t="shared" ref="A643:A706" si="10">"C"&amp;TEXT(ROW()-1,"0000")</f>
        <v>C0642</v>
      </c>
      <c r="B643" t="s">
        <v>974</v>
      </c>
      <c r="C643" t="str">
        <f>VLOOKUP(LEFT(B643,FIND(" ",B643)-1),Customer_Helper!$A$2:$B$101,2,FALSE)</f>
        <v>Male</v>
      </c>
      <c r="D643">
        <v>42</v>
      </c>
      <c r="E643" t="s">
        <v>9</v>
      </c>
      <c r="F643" t="str">
        <f>VLOOKUP(E643,Customer_Helper!$F$2:$G$13,2,FALSE)</f>
        <v>North</v>
      </c>
      <c r="G643" t="s">
        <v>187</v>
      </c>
    </row>
    <row r="644" spans="1:7" x14ac:dyDescent="0.25">
      <c r="A644" t="str">
        <f t="shared" si="10"/>
        <v>C0643</v>
      </c>
      <c r="B644" t="s">
        <v>975</v>
      </c>
      <c r="C644" t="str">
        <f>VLOOKUP(LEFT(B644,FIND(" ",B644)-1),Customer_Helper!$A$2:$B$101,2,FALSE)</f>
        <v>Male</v>
      </c>
      <c r="D644">
        <v>25</v>
      </c>
      <c r="E644" t="s">
        <v>7</v>
      </c>
      <c r="F644" t="str">
        <f>VLOOKUP(E644,Customer_Helper!$F$2:$G$13,2,FALSE)</f>
        <v>North</v>
      </c>
      <c r="G644" t="s">
        <v>186</v>
      </c>
    </row>
    <row r="645" spans="1:7" x14ac:dyDescent="0.25">
      <c r="A645" t="str">
        <f t="shared" si="10"/>
        <v>C0644</v>
      </c>
      <c r="B645" t="s">
        <v>976</v>
      </c>
      <c r="C645" t="str">
        <f>VLOOKUP(LEFT(B645,FIND(" ",B645)-1),Customer_Helper!$A$2:$B$101,2,FALSE)</f>
        <v>Male</v>
      </c>
      <c r="D645">
        <v>43</v>
      </c>
      <c r="E645" t="s">
        <v>17</v>
      </c>
      <c r="F645" t="str">
        <f>VLOOKUP(E645,Customer_Helper!$F$2:$G$13,2,FALSE)</f>
        <v>South</v>
      </c>
      <c r="G645" t="s">
        <v>185</v>
      </c>
    </row>
    <row r="646" spans="1:7" x14ac:dyDescent="0.25">
      <c r="A646" t="str">
        <f t="shared" si="10"/>
        <v>C0645</v>
      </c>
      <c r="B646" t="s">
        <v>977</v>
      </c>
      <c r="C646" t="str">
        <f>VLOOKUP(LEFT(B646,FIND(" ",B646)-1),Customer_Helper!$A$2:$B$101,2,FALSE)</f>
        <v>Male</v>
      </c>
      <c r="D646">
        <v>61</v>
      </c>
      <c r="E646" t="s">
        <v>7</v>
      </c>
      <c r="F646" t="str">
        <f>VLOOKUP(E646,Customer_Helper!$F$2:$G$13,2,FALSE)</f>
        <v>North</v>
      </c>
      <c r="G646" t="s">
        <v>187</v>
      </c>
    </row>
    <row r="647" spans="1:7" x14ac:dyDescent="0.25">
      <c r="A647" t="str">
        <f t="shared" si="10"/>
        <v>C0646</v>
      </c>
      <c r="B647" t="s">
        <v>978</v>
      </c>
      <c r="C647" t="str">
        <f>VLOOKUP(LEFT(B647,FIND(" ",B647)-1),Customer_Helper!$A$2:$B$101,2,FALSE)</f>
        <v>Male</v>
      </c>
      <c r="D647">
        <v>55</v>
      </c>
      <c r="E647" t="s">
        <v>9</v>
      </c>
      <c r="F647" t="str">
        <f>VLOOKUP(E647,Customer_Helper!$F$2:$G$13,2,FALSE)</f>
        <v>North</v>
      </c>
      <c r="G647" t="s">
        <v>185</v>
      </c>
    </row>
    <row r="648" spans="1:7" x14ac:dyDescent="0.25">
      <c r="A648" t="str">
        <f t="shared" si="10"/>
        <v>C0647</v>
      </c>
      <c r="B648" t="s">
        <v>979</v>
      </c>
      <c r="C648" t="str">
        <f>VLOOKUP(LEFT(B648,FIND(" ",B648)-1),Customer_Helper!$A$2:$B$101,2,FALSE)</f>
        <v>Female</v>
      </c>
      <c r="D648">
        <v>23</v>
      </c>
      <c r="E648" t="s">
        <v>289</v>
      </c>
      <c r="F648" t="str">
        <f>VLOOKUP(E648,Customer_Helper!$F$2:$G$13,2,FALSE)</f>
        <v>West</v>
      </c>
      <c r="G648" t="s">
        <v>187</v>
      </c>
    </row>
    <row r="649" spans="1:7" x14ac:dyDescent="0.25">
      <c r="A649" t="str">
        <f t="shared" si="10"/>
        <v>C0648</v>
      </c>
      <c r="B649" t="s">
        <v>980</v>
      </c>
      <c r="C649" t="str">
        <f>VLOOKUP(LEFT(B649,FIND(" ",B649)-1),Customer_Helper!$A$2:$B$101,2,FALSE)</f>
        <v>Female</v>
      </c>
      <c r="D649">
        <v>34</v>
      </c>
      <c r="E649" t="s">
        <v>9</v>
      </c>
      <c r="F649" t="str">
        <f>VLOOKUP(E649,Customer_Helper!$F$2:$G$13,2,FALSE)</f>
        <v>North</v>
      </c>
      <c r="G649" t="s">
        <v>187</v>
      </c>
    </row>
    <row r="650" spans="1:7" x14ac:dyDescent="0.25">
      <c r="A650" t="str">
        <f t="shared" si="10"/>
        <v>C0649</v>
      </c>
      <c r="B650" t="s">
        <v>981</v>
      </c>
      <c r="C650" t="str">
        <f>VLOOKUP(LEFT(B650,FIND(" ",B650)-1),Customer_Helper!$A$2:$B$101,2,FALSE)</f>
        <v>Male</v>
      </c>
      <c r="D650">
        <v>19</v>
      </c>
      <c r="E650" t="s">
        <v>7</v>
      </c>
      <c r="F650" t="str">
        <f>VLOOKUP(E650,Customer_Helper!$F$2:$G$13,2,FALSE)</f>
        <v>North</v>
      </c>
      <c r="G650" t="s">
        <v>185</v>
      </c>
    </row>
    <row r="651" spans="1:7" x14ac:dyDescent="0.25">
      <c r="A651" t="str">
        <f t="shared" si="10"/>
        <v>C0650</v>
      </c>
      <c r="B651" t="s">
        <v>982</v>
      </c>
      <c r="C651" t="str">
        <f>VLOOKUP(LEFT(B651,FIND(" ",B651)-1),Customer_Helper!$A$2:$B$101,2,FALSE)</f>
        <v>Female</v>
      </c>
      <c r="D651">
        <v>29</v>
      </c>
      <c r="E651" t="s">
        <v>14</v>
      </c>
      <c r="F651" t="str">
        <f>VLOOKUP(E651,Customer_Helper!$F$2:$G$13,2,FALSE)</f>
        <v>South</v>
      </c>
      <c r="G651" t="s">
        <v>185</v>
      </c>
    </row>
    <row r="652" spans="1:7" x14ac:dyDescent="0.25">
      <c r="A652" t="str">
        <f t="shared" si="10"/>
        <v>C0651</v>
      </c>
      <c r="B652" t="s">
        <v>983</v>
      </c>
      <c r="C652" t="str">
        <f>VLOOKUP(LEFT(B652,FIND(" ",B652)-1),Customer_Helper!$A$2:$B$101,2,FALSE)</f>
        <v>Male</v>
      </c>
      <c r="D652">
        <v>33</v>
      </c>
      <c r="E652" t="s">
        <v>10</v>
      </c>
      <c r="F652" t="str">
        <f>VLOOKUP(E652,Customer_Helper!$F$2:$G$13,2,FALSE)</f>
        <v>North</v>
      </c>
      <c r="G652" t="s">
        <v>185</v>
      </c>
    </row>
    <row r="653" spans="1:7" x14ac:dyDescent="0.25">
      <c r="A653" t="str">
        <f t="shared" si="10"/>
        <v>C0652</v>
      </c>
      <c r="B653" t="s">
        <v>984</v>
      </c>
      <c r="C653" t="str">
        <f>VLOOKUP(LEFT(B653,FIND(" ",B653)-1),Customer_Helper!$A$2:$B$101,2,FALSE)</f>
        <v>Male</v>
      </c>
      <c r="D653">
        <v>64</v>
      </c>
      <c r="E653" t="s">
        <v>5</v>
      </c>
      <c r="F653" t="str">
        <f>VLOOKUP(E653,Customer_Helper!$F$2:$G$13,2,FALSE)</f>
        <v>West</v>
      </c>
      <c r="G653" t="s">
        <v>185</v>
      </c>
    </row>
    <row r="654" spans="1:7" x14ac:dyDescent="0.25">
      <c r="A654" t="str">
        <f t="shared" si="10"/>
        <v>C0653</v>
      </c>
      <c r="B654" t="s">
        <v>985</v>
      </c>
      <c r="C654" t="str">
        <f>VLOOKUP(LEFT(B654,FIND(" ",B654)-1),Customer_Helper!$A$2:$B$101,2,FALSE)</f>
        <v>Female</v>
      </c>
      <c r="D654">
        <v>21</v>
      </c>
      <c r="E654" t="s">
        <v>7</v>
      </c>
      <c r="F654" t="str">
        <f>VLOOKUP(E654,Customer_Helper!$F$2:$G$13,2,FALSE)</f>
        <v>North</v>
      </c>
      <c r="G654" t="s">
        <v>186</v>
      </c>
    </row>
    <row r="655" spans="1:7" x14ac:dyDescent="0.25">
      <c r="A655" t="str">
        <f t="shared" si="10"/>
        <v>C0654</v>
      </c>
      <c r="B655" t="s">
        <v>986</v>
      </c>
      <c r="C655" t="str">
        <f>VLOOKUP(LEFT(B655,FIND(" ",B655)-1),Customer_Helper!$A$2:$B$101,2,FALSE)</f>
        <v>Female</v>
      </c>
      <c r="D655">
        <v>33</v>
      </c>
      <c r="E655" t="s">
        <v>7</v>
      </c>
      <c r="F655" t="str">
        <f>VLOOKUP(E655,Customer_Helper!$F$2:$G$13,2,FALSE)</f>
        <v>North</v>
      </c>
      <c r="G655" t="s">
        <v>185</v>
      </c>
    </row>
    <row r="656" spans="1:7" x14ac:dyDescent="0.25">
      <c r="A656" t="str">
        <f t="shared" si="10"/>
        <v>C0655</v>
      </c>
      <c r="B656" t="s">
        <v>987</v>
      </c>
      <c r="C656" t="str">
        <f>VLOOKUP(LEFT(B656,FIND(" ",B656)-1),Customer_Helper!$A$2:$B$101,2,FALSE)</f>
        <v>Male</v>
      </c>
      <c r="D656">
        <v>48</v>
      </c>
      <c r="E656" t="s">
        <v>10</v>
      </c>
      <c r="F656" t="str">
        <f>VLOOKUP(E656,Customer_Helper!$F$2:$G$13,2,FALSE)</f>
        <v>North</v>
      </c>
      <c r="G656" t="s">
        <v>186</v>
      </c>
    </row>
    <row r="657" spans="1:7" x14ac:dyDescent="0.25">
      <c r="A657" t="str">
        <f t="shared" si="10"/>
        <v>C0656</v>
      </c>
      <c r="B657" t="s">
        <v>988</v>
      </c>
      <c r="C657" t="str">
        <f>VLOOKUP(LEFT(B657,FIND(" ",B657)-1),Customer_Helper!$A$2:$B$101,2,FALSE)</f>
        <v>Female</v>
      </c>
      <c r="D657">
        <v>49</v>
      </c>
      <c r="E657" t="s">
        <v>7</v>
      </c>
      <c r="F657" t="str">
        <f>VLOOKUP(E657,Customer_Helper!$F$2:$G$13,2,FALSE)</f>
        <v>North</v>
      </c>
      <c r="G657" t="s">
        <v>187</v>
      </c>
    </row>
    <row r="658" spans="1:7" x14ac:dyDescent="0.25">
      <c r="A658" t="str">
        <f t="shared" si="10"/>
        <v>C0657</v>
      </c>
      <c r="B658" t="s">
        <v>989</v>
      </c>
      <c r="C658" t="str">
        <f>VLOOKUP(LEFT(B658,FIND(" ",B658)-1),Customer_Helper!$A$2:$B$101,2,FALSE)</f>
        <v>Male</v>
      </c>
      <c r="D658">
        <v>57</v>
      </c>
      <c r="E658" t="s">
        <v>10</v>
      </c>
      <c r="F658" t="str">
        <f>VLOOKUP(E658,Customer_Helper!$F$2:$G$13,2,FALSE)</f>
        <v>North</v>
      </c>
      <c r="G658" t="s">
        <v>185</v>
      </c>
    </row>
    <row r="659" spans="1:7" x14ac:dyDescent="0.25">
      <c r="A659" t="str">
        <f t="shared" si="10"/>
        <v>C0658</v>
      </c>
      <c r="B659" t="s">
        <v>990</v>
      </c>
      <c r="C659" t="str">
        <f>VLOOKUP(LEFT(B659,FIND(" ",B659)-1),Customer_Helper!$A$2:$B$101,2,FALSE)</f>
        <v>Male</v>
      </c>
      <c r="D659">
        <v>63</v>
      </c>
      <c r="E659" t="s">
        <v>290</v>
      </c>
      <c r="F659" t="str">
        <f>VLOOKUP(E659,Customer_Helper!$F$2:$G$13,2,FALSE)</f>
        <v>West</v>
      </c>
      <c r="G659" t="s">
        <v>186</v>
      </c>
    </row>
    <row r="660" spans="1:7" x14ac:dyDescent="0.25">
      <c r="A660" t="str">
        <f t="shared" si="10"/>
        <v>C0659</v>
      </c>
      <c r="B660" t="s">
        <v>991</v>
      </c>
      <c r="C660" t="str">
        <f>VLOOKUP(LEFT(B660,FIND(" ",B660)-1),Customer_Helper!$A$2:$B$101,2,FALSE)</f>
        <v>Male</v>
      </c>
      <c r="D660">
        <v>45</v>
      </c>
      <c r="E660" t="s">
        <v>16</v>
      </c>
      <c r="F660" t="str">
        <f>VLOOKUP(E660,Customer_Helper!$F$2:$G$13,2,FALSE)</f>
        <v>South</v>
      </c>
      <c r="G660" t="s">
        <v>185</v>
      </c>
    </row>
    <row r="661" spans="1:7" x14ac:dyDescent="0.25">
      <c r="A661" t="str">
        <f t="shared" si="10"/>
        <v>C0660</v>
      </c>
      <c r="B661" t="s">
        <v>992</v>
      </c>
      <c r="C661" t="str">
        <f>VLOOKUP(LEFT(B661,FIND(" ",B661)-1),Customer_Helper!$A$2:$B$101,2,FALSE)</f>
        <v>Male</v>
      </c>
      <c r="D661">
        <v>61</v>
      </c>
      <c r="E661" t="s">
        <v>9</v>
      </c>
      <c r="F661" t="str">
        <f>VLOOKUP(E661,Customer_Helper!$F$2:$G$13,2,FALSE)</f>
        <v>North</v>
      </c>
      <c r="G661" t="s">
        <v>187</v>
      </c>
    </row>
    <row r="662" spans="1:7" x14ac:dyDescent="0.25">
      <c r="A662" t="str">
        <f t="shared" si="10"/>
        <v>C0661</v>
      </c>
      <c r="B662" t="s">
        <v>993</v>
      </c>
      <c r="C662" t="str">
        <f>VLOOKUP(LEFT(B662,FIND(" ",B662)-1),Customer_Helper!$A$2:$B$101,2,FALSE)</f>
        <v>Female</v>
      </c>
      <c r="D662">
        <v>23</v>
      </c>
      <c r="E662" t="s">
        <v>4</v>
      </c>
      <c r="F662" t="str">
        <f>VLOOKUP(E662,Customer_Helper!$F$2:$G$13,2,FALSE)</f>
        <v>West</v>
      </c>
      <c r="G662" t="s">
        <v>187</v>
      </c>
    </row>
    <row r="663" spans="1:7" x14ac:dyDescent="0.25">
      <c r="A663" t="str">
        <f t="shared" si="10"/>
        <v>C0662</v>
      </c>
      <c r="B663" t="s">
        <v>988</v>
      </c>
      <c r="C663" t="str">
        <f>VLOOKUP(LEFT(B663,FIND(" ",B663)-1),Customer_Helper!$A$2:$B$101,2,FALSE)</f>
        <v>Female</v>
      </c>
      <c r="D663">
        <v>49</v>
      </c>
      <c r="E663" t="s">
        <v>289</v>
      </c>
      <c r="F663" t="str">
        <f>VLOOKUP(E663,Customer_Helper!$F$2:$G$13,2,FALSE)</f>
        <v>West</v>
      </c>
      <c r="G663" t="s">
        <v>187</v>
      </c>
    </row>
    <row r="664" spans="1:7" x14ac:dyDescent="0.25">
      <c r="A664" t="str">
        <f t="shared" si="10"/>
        <v>C0663</v>
      </c>
      <c r="B664" t="s">
        <v>994</v>
      </c>
      <c r="C664" t="str">
        <f>VLOOKUP(LEFT(B664,FIND(" ",B664)-1),Customer_Helper!$A$2:$B$101,2,FALSE)</f>
        <v>Female</v>
      </c>
      <c r="D664">
        <v>26</v>
      </c>
      <c r="E664" t="s">
        <v>2</v>
      </c>
      <c r="F664" t="str">
        <f>VLOOKUP(E664,Customer_Helper!$F$2:$G$13,2,FALSE)</f>
        <v>West</v>
      </c>
      <c r="G664" t="s">
        <v>186</v>
      </c>
    </row>
    <row r="665" spans="1:7" x14ac:dyDescent="0.25">
      <c r="A665" t="str">
        <f t="shared" si="10"/>
        <v>C0664</v>
      </c>
      <c r="B665" t="s">
        <v>995</v>
      </c>
      <c r="C665" t="str">
        <f>VLOOKUP(LEFT(B665,FIND(" ",B665)-1),Customer_Helper!$A$2:$B$101,2,FALSE)</f>
        <v>Female</v>
      </c>
      <c r="D665">
        <v>30</v>
      </c>
      <c r="E665" t="s">
        <v>7</v>
      </c>
      <c r="F665" t="str">
        <f>VLOOKUP(E665,Customer_Helper!$F$2:$G$13,2,FALSE)</f>
        <v>North</v>
      </c>
      <c r="G665" t="s">
        <v>187</v>
      </c>
    </row>
    <row r="666" spans="1:7" x14ac:dyDescent="0.25">
      <c r="A666" t="str">
        <f t="shared" si="10"/>
        <v>C0665</v>
      </c>
      <c r="B666" t="s">
        <v>996</v>
      </c>
      <c r="C666" t="str">
        <f>VLOOKUP(LEFT(B666,FIND(" ",B666)-1),Customer_Helper!$A$2:$B$101,2,FALSE)</f>
        <v>Male</v>
      </c>
      <c r="D666">
        <v>51</v>
      </c>
      <c r="E666" t="s">
        <v>290</v>
      </c>
      <c r="F666" t="str">
        <f>VLOOKUP(E666,Customer_Helper!$F$2:$G$13,2,FALSE)</f>
        <v>West</v>
      </c>
      <c r="G666" t="s">
        <v>187</v>
      </c>
    </row>
    <row r="667" spans="1:7" x14ac:dyDescent="0.25">
      <c r="A667" t="str">
        <f t="shared" si="10"/>
        <v>C0666</v>
      </c>
      <c r="B667" t="s">
        <v>997</v>
      </c>
      <c r="C667" t="str">
        <f>VLOOKUP(LEFT(B667,FIND(" ",B667)-1),Customer_Helper!$A$2:$B$101,2,FALSE)</f>
        <v>Male</v>
      </c>
      <c r="D667">
        <v>33</v>
      </c>
      <c r="E667" t="s">
        <v>17</v>
      </c>
      <c r="F667" t="str">
        <f>VLOOKUP(E667,Customer_Helper!$F$2:$G$13,2,FALSE)</f>
        <v>South</v>
      </c>
      <c r="G667" t="s">
        <v>185</v>
      </c>
    </row>
    <row r="668" spans="1:7" x14ac:dyDescent="0.25">
      <c r="A668" t="str">
        <f t="shared" si="10"/>
        <v>C0667</v>
      </c>
      <c r="B668" t="s">
        <v>998</v>
      </c>
      <c r="C668" t="str">
        <f>VLOOKUP(LEFT(B668,FIND(" ",B668)-1),Customer_Helper!$A$2:$B$101,2,FALSE)</f>
        <v>Male</v>
      </c>
      <c r="D668">
        <v>60</v>
      </c>
      <c r="E668" t="s">
        <v>9</v>
      </c>
      <c r="F668" t="str">
        <f>VLOOKUP(E668,Customer_Helper!$F$2:$G$13,2,FALSE)</f>
        <v>North</v>
      </c>
      <c r="G668" t="s">
        <v>185</v>
      </c>
    </row>
    <row r="669" spans="1:7" x14ac:dyDescent="0.25">
      <c r="A669" t="str">
        <f t="shared" si="10"/>
        <v>C0668</v>
      </c>
      <c r="B669" t="s">
        <v>999</v>
      </c>
      <c r="C669" t="str">
        <f>VLOOKUP(LEFT(B669,FIND(" ",B669)-1),Customer_Helper!$A$2:$B$101,2,FALSE)</f>
        <v>Male</v>
      </c>
      <c r="D669">
        <v>58</v>
      </c>
      <c r="E669" t="s">
        <v>9</v>
      </c>
      <c r="F669" t="str">
        <f>VLOOKUP(E669,Customer_Helper!$F$2:$G$13,2,FALSE)</f>
        <v>North</v>
      </c>
      <c r="G669" t="s">
        <v>186</v>
      </c>
    </row>
    <row r="670" spans="1:7" x14ac:dyDescent="0.25">
      <c r="A670" t="str">
        <f t="shared" si="10"/>
        <v>C0669</v>
      </c>
      <c r="B670" t="s">
        <v>1000</v>
      </c>
      <c r="C670" t="str">
        <f>VLOOKUP(LEFT(B670,FIND(" ",B670)-1),Customer_Helper!$A$2:$B$101,2,FALSE)</f>
        <v>Male</v>
      </c>
      <c r="D670">
        <v>48</v>
      </c>
      <c r="E670" t="s">
        <v>290</v>
      </c>
      <c r="F670" t="str">
        <f>VLOOKUP(E670,Customer_Helper!$F$2:$G$13,2,FALSE)</f>
        <v>West</v>
      </c>
      <c r="G670" t="s">
        <v>187</v>
      </c>
    </row>
    <row r="671" spans="1:7" x14ac:dyDescent="0.25">
      <c r="A671" t="str">
        <f t="shared" si="10"/>
        <v>C0670</v>
      </c>
      <c r="B671" t="s">
        <v>1001</v>
      </c>
      <c r="C671" t="str">
        <f>VLOOKUP(LEFT(B671,FIND(" ",B671)-1),Customer_Helper!$A$2:$B$101,2,FALSE)</f>
        <v>Male</v>
      </c>
      <c r="D671">
        <v>35</v>
      </c>
      <c r="E671" t="s">
        <v>11</v>
      </c>
      <c r="F671" t="str">
        <f>VLOOKUP(E671,Customer_Helper!$F$2:$G$13,2,FALSE)</f>
        <v>East</v>
      </c>
      <c r="G671" t="s">
        <v>185</v>
      </c>
    </row>
    <row r="672" spans="1:7" x14ac:dyDescent="0.25">
      <c r="A672" t="str">
        <f t="shared" si="10"/>
        <v>C0671</v>
      </c>
      <c r="B672" t="s">
        <v>1002</v>
      </c>
      <c r="C672" t="str">
        <f>VLOOKUP(LEFT(B672,FIND(" ",B672)-1),Customer_Helper!$A$2:$B$101,2,FALSE)</f>
        <v>Male</v>
      </c>
      <c r="D672">
        <v>35</v>
      </c>
      <c r="E672" t="s">
        <v>11</v>
      </c>
      <c r="F672" t="str">
        <f>VLOOKUP(E672,Customer_Helper!$F$2:$G$13,2,FALSE)</f>
        <v>East</v>
      </c>
      <c r="G672" t="s">
        <v>186</v>
      </c>
    </row>
    <row r="673" spans="1:7" x14ac:dyDescent="0.25">
      <c r="A673" t="str">
        <f t="shared" si="10"/>
        <v>C0672</v>
      </c>
      <c r="B673" t="s">
        <v>1003</v>
      </c>
      <c r="C673" t="str">
        <f>VLOOKUP(LEFT(B673,FIND(" ",B673)-1),Customer_Helper!$A$2:$B$101,2,FALSE)</f>
        <v>Female</v>
      </c>
      <c r="D673">
        <v>25</v>
      </c>
      <c r="E673" t="s">
        <v>5</v>
      </c>
      <c r="F673" t="str">
        <f>VLOOKUP(E673,Customer_Helper!$F$2:$G$13,2,FALSE)</f>
        <v>West</v>
      </c>
      <c r="G673" t="s">
        <v>187</v>
      </c>
    </row>
    <row r="674" spans="1:7" x14ac:dyDescent="0.25">
      <c r="A674" t="str">
        <f t="shared" si="10"/>
        <v>C0673</v>
      </c>
      <c r="B674" t="s">
        <v>609</v>
      </c>
      <c r="C674" t="str">
        <f>VLOOKUP(LEFT(B674,FIND(" ",B674)-1),Customer_Helper!$A$2:$B$101,2,FALSE)</f>
        <v>Male</v>
      </c>
      <c r="D674">
        <v>52</v>
      </c>
      <c r="E674" t="s">
        <v>5</v>
      </c>
      <c r="F674" t="str">
        <f>VLOOKUP(E674,Customer_Helper!$F$2:$G$13,2,FALSE)</f>
        <v>West</v>
      </c>
      <c r="G674" t="s">
        <v>187</v>
      </c>
    </row>
    <row r="675" spans="1:7" x14ac:dyDescent="0.25">
      <c r="A675" t="str">
        <f t="shared" si="10"/>
        <v>C0674</v>
      </c>
      <c r="B675" t="s">
        <v>1004</v>
      </c>
      <c r="C675" t="str">
        <f>VLOOKUP(LEFT(B675,FIND(" ",B675)-1),Customer_Helper!$A$2:$B$101,2,FALSE)</f>
        <v>Male</v>
      </c>
      <c r="D675">
        <v>46</v>
      </c>
      <c r="E675" t="s">
        <v>5</v>
      </c>
      <c r="F675" t="str">
        <f>VLOOKUP(E675,Customer_Helper!$F$2:$G$13,2,FALSE)</f>
        <v>West</v>
      </c>
      <c r="G675" t="s">
        <v>185</v>
      </c>
    </row>
    <row r="676" spans="1:7" x14ac:dyDescent="0.25">
      <c r="A676" t="str">
        <f t="shared" si="10"/>
        <v>C0675</v>
      </c>
      <c r="B676" t="s">
        <v>1005</v>
      </c>
      <c r="C676" t="str">
        <f>VLOOKUP(LEFT(B676,FIND(" ",B676)-1),Customer_Helper!$A$2:$B$101,2,FALSE)</f>
        <v>Female</v>
      </c>
      <c r="D676">
        <v>50</v>
      </c>
      <c r="E676" t="s">
        <v>2</v>
      </c>
      <c r="F676" t="str">
        <f>VLOOKUP(E676,Customer_Helper!$F$2:$G$13,2,FALSE)</f>
        <v>West</v>
      </c>
      <c r="G676" t="s">
        <v>187</v>
      </c>
    </row>
    <row r="677" spans="1:7" x14ac:dyDescent="0.25">
      <c r="A677" t="str">
        <f t="shared" si="10"/>
        <v>C0676</v>
      </c>
      <c r="B677" t="s">
        <v>1006</v>
      </c>
      <c r="C677" t="str">
        <f>VLOOKUP(LEFT(B677,FIND(" ",B677)-1),Customer_Helper!$A$2:$B$101,2,FALSE)</f>
        <v>Female</v>
      </c>
      <c r="D677">
        <v>44</v>
      </c>
      <c r="E677" t="s">
        <v>7</v>
      </c>
      <c r="F677" t="str">
        <f>VLOOKUP(E677,Customer_Helper!$F$2:$G$13,2,FALSE)</f>
        <v>North</v>
      </c>
      <c r="G677" t="s">
        <v>185</v>
      </c>
    </row>
    <row r="678" spans="1:7" x14ac:dyDescent="0.25">
      <c r="A678" t="str">
        <f t="shared" si="10"/>
        <v>C0677</v>
      </c>
      <c r="B678" t="s">
        <v>1007</v>
      </c>
      <c r="C678" t="str">
        <f>VLOOKUP(LEFT(B678,FIND(" ",B678)-1),Customer_Helper!$A$2:$B$101,2,FALSE)</f>
        <v>Male</v>
      </c>
      <c r="D678">
        <v>20</v>
      </c>
      <c r="E678" t="s">
        <v>10</v>
      </c>
      <c r="F678" t="str">
        <f>VLOOKUP(E678,Customer_Helper!$F$2:$G$13,2,FALSE)</f>
        <v>North</v>
      </c>
      <c r="G678" t="s">
        <v>186</v>
      </c>
    </row>
    <row r="679" spans="1:7" x14ac:dyDescent="0.25">
      <c r="A679" t="str">
        <f t="shared" si="10"/>
        <v>C0678</v>
      </c>
      <c r="B679" t="s">
        <v>1008</v>
      </c>
      <c r="C679" t="str">
        <f>VLOOKUP(LEFT(B679,FIND(" ",B679)-1),Customer_Helper!$A$2:$B$101,2,FALSE)</f>
        <v>Male</v>
      </c>
      <c r="D679">
        <v>56</v>
      </c>
      <c r="E679" t="s">
        <v>290</v>
      </c>
      <c r="F679" t="str">
        <f>VLOOKUP(E679,Customer_Helper!$F$2:$G$13,2,FALSE)</f>
        <v>West</v>
      </c>
      <c r="G679" t="s">
        <v>185</v>
      </c>
    </row>
    <row r="680" spans="1:7" x14ac:dyDescent="0.25">
      <c r="A680" t="str">
        <f t="shared" si="10"/>
        <v>C0679</v>
      </c>
      <c r="B680" t="s">
        <v>1009</v>
      </c>
      <c r="C680" t="str">
        <f>VLOOKUP(LEFT(B680,FIND(" ",B680)-1),Customer_Helper!$A$2:$B$101,2,FALSE)</f>
        <v>Male</v>
      </c>
      <c r="D680">
        <v>44</v>
      </c>
      <c r="E680" t="s">
        <v>14</v>
      </c>
      <c r="F680" t="str">
        <f>VLOOKUP(E680,Customer_Helper!$F$2:$G$13,2,FALSE)</f>
        <v>South</v>
      </c>
      <c r="G680" t="s">
        <v>185</v>
      </c>
    </row>
    <row r="681" spans="1:7" x14ac:dyDescent="0.25">
      <c r="A681" t="str">
        <f t="shared" si="10"/>
        <v>C0680</v>
      </c>
      <c r="B681" t="s">
        <v>1010</v>
      </c>
      <c r="C681" t="str">
        <f>VLOOKUP(LEFT(B681,FIND(" ",B681)-1),Customer_Helper!$A$2:$B$101,2,FALSE)</f>
        <v>Female</v>
      </c>
      <c r="D681">
        <v>26</v>
      </c>
      <c r="E681" t="s">
        <v>17</v>
      </c>
      <c r="F681" t="str">
        <f>VLOOKUP(E681,Customer_Helper!$F$2:$G$13,2,FALSE)</f>
        <v>South</v>
      </c>
      <c r="G681" t="s">
        <v>186</v>
      </c>
    </row>
    <row r="682" spans="1:7" x14ac:dyDescent="0.25">
      <c r="A682" t="str">
        <f t="shared" si="10"/>
        <v>C0681</v>
      </c>
      <c r="B682" t="s">
        <v>1011</v>
      </c>
      <c r="C682" t="str">
        <f>VLOOKUP(LEFT(B682,FIND(" ",B682)-1),Customer_Helper!$A$2:$B$101,2,FALSE)</f>
        <v>Female</v>
      </c>
      <c r="D682">
        <v>51</v>
      </c>
      <c r="E682" t="s">
        <v>7</v>
      </c>
      <c r="F682" t="str">
        <f>VLOOKUP(E682,Customer_Helper!$F$2:$G$13,2,FALSE)</f>
        <v>North</v>
      </c>
      <c r="G682" t="s">
        <v>186</v>
      </c>
    </row>
    <row r="683" spans="1:7" x14ac:dyDescent="0.25">
      <c r="A683" t="str">
        <f t="shared" si="10"/>
        <v>C0682</v>
      </c>
      <c r="B683" t="s">
        <v>1012</v>
      </c>
      <c r="C683" t="str">
        <f>VLOOKUP(LEFT(B683,FIND(" ",B683)-1),Customer_Helper!$A$2:$B$101,2,FALSE)</f>
        <v>Female</v>
      </c>
      <c r="D683">
        <v>23</v>
      </c>
      <c r="E683" t="s">
        <v>290</v>
      </c>
      <c r="F683" t="str">
        <f>VLOOKUP(E683,Customer_Helper!$F$2:$G$13,2,FALSE)</f>
        <v>West</v>
      </c>
      <c r="G683" t="s">
        <v>187</v>
      </c>
    </row>
    <row r="684" spans="1:7" x14ac:dyDescent="0.25">
      <c r="A684" t="str">
        <f t="shared" si="10"/>
        <v>C0683</v>
      </c>
      <c r="B684" t="s">
        <v>725</v>
      </c>
      <c r="C684" t="str">
        <f>VLOOKUP(LEFT(B684,FIND(" ",B684)-1),Customer_Helper!$A$2:$B$101,2,FALSE)</f>
        <v>Male</v>
      </c>
      <c r="D684">
        <v>51</v>
      </c>
      <c r="E684" t="s">
        <v>11</v>
      </c>
      <c r="F684" t="str">
        <f>VLOOKUP(E684,Customer_Helper!$F$2:$G$13,2,FALSE)</f>
        <v>East</v>
      </c>
      <c r="G684" t="s">
        <v>185</v>
      </c>
    </row>
    <row r="685" spans="1:7" x14ac:dyDescent="0.25">
      <c r="A685" t="str">
        <f t="shared" si="10"/>
        <v>C0684</v>
      </c>
      <c r="B685" t="s">
        <v>1013</v>
      </c>
      <c r="C685" t="str">
        <f>VLOOKUP(LEFT(B685,FIND(" ",B685)-1),Customer_Helper!$A$2:$B$101,2,FALSE)</f>
        <v>Female</v>
      </c>
      <c r="D685">
        <v>22</v>
      </c>
      <c r="E685" t="s">
        <v>4</v>
      </c>
      <c r="F685" t="str">
        <f>VLOOKUP(E685,Customer_Helper!$F$2:$G$13,2,FALSE)</f>
        <v>West</v>
      </c>
      <c r="G685" t="s">
        <v>185</v>
      </c>
    </row>
    <row r="686" spans="1:7" x14ac:dyDescent="0.25">
      <c r="A686" t="str">
        <f t="shared" si="10"/>
        <v>C0685</v>
      </c>
      <c r="B686" t="s">
        <v>1014</v>
      </c>
      <c r="C686" t="str">
        <f>VLOOKUP(LEFT(B686,FIND(" ",B686)-1),Customer_Helper!$A$2:$B$101,2,FALSE)</f>
        <v>Female</v>
      </c>
      <c r="D686">
        <v>63</v>
      </c>
      <c r="E686" t="s">
        <v>290</v>
      </c>
      <c r="F686" t="str">
        <f>VLOOKUP(E686,Customer_Helper!$F$2:$G$13,2,FALSE)</f>
        <v>West</v>
      </c>
      <c r="G686" t="s">
        <v>187</v>
      </c>
    </row>
    <row r="687" spans="1:7" x14ac:dyDescent="0.25">
      <c r="A687" t="str">
        <f t="shared" si="10"/>
        <v>C0686</v>
      </c>
      <c r="B687" t="s">
        <v>1015</v>
      </c>
      <c r="C687" t="str">
        <f>VLOOKUP(LEFT(B687,FIND(" ",B687)-1),Customer_Helper!$A$2:$B$101,2,FALSE)</f>
        <v>Male</v>
      </c>
      <c r="D687">
        <v>36</v>
      </c>
      <c r="E687" t="s">
        <v>7</v>
      </c>
      <c r="F687" t="str">
        <f>VLOOKUP(E687,Customer_Helper!$F$2:$G$13,2,FALSE)</f>
        <v>North</v>
      </c>
      <c r="G687" t="s">
        <v>185</v>
      </c>
    </row>
    <row r="688" spans="1:7" x14ac:dyDescent="0.25">
      <c r="A688" t="str">
        <f t="shared" si="10"/>
        <v>C0687</v>
      </c>
      <c r="B688" t="s">
        <v>1016</v>
      </c>
      <c r="C688" t="str">
        <f>VLOOKUP(LEFT(B688,FIND(" ",B688)-1),Customer_Helper!$A$2:$B$101,2,FALSE)</f>
        <v>Female</v>
      </c>
      <c r="D688">
        <v>26</v>
      </c>
      <c r="E688" t="s">
        <v>4</v>
      </c>
      <c r="F688" t="str">
        <f>VLOOKUP(E688,Customer_Helper!$F$2:$G$13,2,FALSE)</f>
        <v>West</v>
      </c>
      <c r="G688" t="s">
        <v>185</v>
      </c>
    </row>
    <row r="689" spans="1:7" x14ac:dyDescent="0.25">
      <c r="A689" t="str">
        <f t="shared" si="10"/>
        <v>C0688</v>
      </c>
      <c r="B689" t="s">
        <v>710</v>
      </c>
      <c r="C689" t="str">
        <f>VLOOKUP(LEFT(B689,FIND(" ",B689)-1),Customer_Helper!$A$2:$B$101,2,FALSE)</f>
        <v>Female</v>
      </c>
      <c r="D689">
        <v>41</v>
      </c>
      <c r="E689" t="s">
        <v>17</v>
      </c>
      <c r="F689" t="str">
        <f>VLOOKUP(E689,Customer_Helper!$F$2:$G$13,2,FALSE)</f>
        <v>South</v>
      </c>
      <c r="G689" t="s">
        <v>185</v>
      </c>
    </row>
    <row r="690" spans="1:7" x14ac:dyDescent="0.25">
      <c r="A690" t="str">
        <f t="shared" si="10"/>
        <v>C0689</v>
      </c>
      <c r="B690" t="s">
        <v>1017</v>
      </c>
      <c r="C690" t="str">
        <f>VLOOKUP(LEFT(B690,FIND(" ",B690)-1),Customer_Helper!$A$2:$B$101,2,FALSE)</f>
        <v>Male</v>
      </c>
      <c r="D690">
        <v>65</v>
      </c>
      <c r="E690" t="s">
        <v>289</v>
      </c>
      <c r="F690" t="str">
        <f>VLOOKUP(E690,Customer_Helper!$F$2:$G$13,2,FALSE)</f>
        <v>West</v>
      </c>
      <c r="G690" t="s">
        <v>185</v>
      </c>
    </row>
    <row r="691" spans="1:7" x14ac:dyDescent="0.25">
      <c r="A691" t="str">
        <f t="shared" si="10"/>
        <v>C0690</v>
      </c>
      <c r="B691" t="s">
        <v>1018</v>
      </c>
      <c r="C691" t="str">
        <f>VLOOKUP(LEFT(B691,FIND(" ",B691)-1),Customer_Helper!$A$2:$B$101,2,FALSE)</f>
        <v>Female</v>
      </c>
      <c r="D691">
        <v>37</v>
      </c>
      <c r="E691" t="s">
        <v>290</v>
      </c>
      <c r="F691" t="str">
        <f>VLOOKUP(E691,Customer_Helper!$F$2:$G$13,2,FALSE)</f>
        <v>West</v>
      </c>
      <c r="G691" t="s">
        <v>187</v>
      </c>
    </row>
    <row r="692" spans="1:7" x14ac:dyDescent="0.25">
      <c r="A692" t="str">
        <f t="shared" si="10"/>
        <v>C0691</v>
      </c>
      <c r="B692" t="s">
        <v>1019</v>
      </c>
      <c r="C692" t="str">
        <f>VLOOKUP(LEFT(B692,FIND(" ",B692)-1),Customer_Helper!$A$2:$B$101,2,FALSE)</f>
        <v>Male</v>
      </c>
      <c r="D692">
        <v>55</v>
      </c>
      <c r="E692" t="s">
        <v>2</v>
      </c>
      <c r="F692" t="str">
        <f>VLOOKUP(E692,Customer_Helper!$F$2:$G$13,2,FALSE)</f>
        <v>West</v>
      </c>
      <c r="G692" t="s">
        <v>187</v>
      </c>
    </row>
    <row r="693" spans="1:7" x14ac:dyDescent="0.25">
      <c r="A693" t="str">
        <f t="shared" si="10"/>
        <v>C0692</v>
      </c>
      <c r="B693" t="s">
        <v>1020</v>
      </c>
      <c r="C693" t="str">
        <f>VLOOKUP(LEFT(B693,FIND(" ",B693)-1),Customer_Helper!$A$2:$B$101,2,FALSE)</f>
        <v>Female</v>
      </c>
      <c r="D693">
        <v>39</v>
      </c>
      <c r="E693" t="s">
        <v>4</v>
      </c>
      <c r="F693" t="str">
        <f>VLOOKUP(E693,Customer_Helper!$F$2:$G$13,2,FALSE)</f>
        <v>West</v>
      </c>
      <c r="G693" t="s">
        <v>185</v>
      </c>
    </row>
    <row r="694" spans="1:7" x14ac:dyDescent="0.25">
      <c r="A694" t="str">
        <f t="shared" si="10"/>
        <v>C0693</v>
      </c>
      <c r="B694" t="s">
        <v>1021</v>
      </c>
      <c r="C694" t="str">
        <f>VLOOKUP(LEFT(B694,FIND(" ",B694)-1),Customer_Helper!$A$2:$B$101,2,FALSE)</f>
        <v>Female</v>
      </c>
      <c r="D694">
        <v>51</v>
      </c>
      <c r="E694" t="s">
        <v>10</v>
      </c>
      <c r="F694" t="str">
        <f>VLOOKUP(E694,Customer_Helper!$F$2:$G$13,2,FALSE)</f>
        <v>North</v>
      </c>
      <c r="G694" t="s">
        <v>186</v>
      </c>
    </row>
    <row r="695" spans="1:7" x14ac:dyDescent="0.25">
      <c r="A695" t="str">
        <f t="shared" si="10"/>
        <v>C0694</v>
      </c>
      <c r="B695" t="s">
        <v>585</v>
      </c>
      <c r="C695" t="str">
        <f>VLOOKUP(LEFT(B695,FIND(" ",B695)-1),Customer_Helper!$A$2:$B$101,2,FALSE)</f>
        <v>Female</v>
      </c>
      <c r="D695">
        <v>20</v>
      </c>
      <c r="E695" t="s">
        <v>2</v>
      </c>
      <c r="F695" t="str">
        <f>VLOOKUP(E695,Customer_Helper!$F$2:$G$13,2,FALSE)</f>
        <v>West</v>
      </c>
      <c r="G695" t="s">
        <v>186</v>
      </c>
    </row>
    <row r="696" spans="1:7" x14ac:dyDescent="0.25">
      <c r="A696" t="str">
        <f t="shared" si="10"/>
        <v>C0695</v>
      </c>
      <c r="B696" t="s">
        <v>970</v>
      </c>
      <c r="C696" t="str">
        <f>VLOOKUP(LEFT(B696,FIND(" ",B696)-1),Customer_Helper!$A$2:$B$101,2,FALSE)</f>
        <v>Male</v>
      </c>
      <c r="D696">
        <v>43</v>
      </c>
      <c r="E696" t="s">
        <v>290</v>
      </c>
      <c r="F696" t="str">
        <f>VLOOKUP(E696,Customer_Helper!$F$2:$G$13,2,FALSE)</f>
        <v>West</v>
      </c>
      <c r="G696" t="s">
        <v>186</v>
      </c>
    </row>
    <row r="697" spans="1:7" x14ac:dyDescent="0.25">
      <c r="A697" t="str">
        <f t="shared" si="10"/>
        <v>C0696</v>
      </c>
      <c r="B697" t="s">
        <v>1022</v>
      </c>
      <c r="C697" t="str">
        <f>VLOOKUP(LEFT(B697,FIND(" ",B697)-1),Customer_Helper!$A$2:$B$101,2,FALSE)</f>
        <v>Female</v>
      </c>
      <c r="D697">
        <v>33</v>
      </c>
      <c r="E697" t="s">
        <v>7</v>
      </c>
      <c r="F697" t="str">
        <f>VLOOKUP(E697,Customer_Helper!$F$2:$G$13,2,FALSE)</f>
        <v>North</v>
      </c>
      <c r="G697" t="s">
        <v>187</v>
      </c>
    </row>
    <row r="698" spans="1:7" x14ac:dyDescent="0.25">
      <c r="A698" t="str">
        <f t="shared" si="10"/>
        <v>C0697</v>
      </c>
      <c r="B698" t="s">
        <v>1023</v>
      </c>
      <c r="C698" t="str">
        <f>VLOOKUP(LEFT(B698,FIND(" ",B698)-1),Customer_Helper!$A$2:$B$101,2,FALSE)</f>
        <v>Male</v>
      </c>
      <c r="D698">
        <v>51</v>
      </c>
      <c r="E698" t="s">
        <v>7</v>
      </c>
      <c r="F698" t="str">
        <f>VLOOKUP(E698,Customer_Helper!$F$2:$G$13,2,FALSE)</f>
        <v>North</v>
      </c>
      <c r="G698" t="s">
        <v>185</v>
      </c>
    </row>
    <row r="699" spans="1:7" x14ac:dyDescent="0.25">
      <c r="A699" t="str">
        <f t="shared" si="10"/>
        <v>C0698</v>
      </c>
      <c r="B699" t="s">
        <v>1024</v>
      </c>
      <c r="C699" t="str">
        <f>VLOOKUP(LEFT(B699,FIND(" ",B699)-1),Customer_Helper!$A$2:$B$101,2,FALSE)</f>
        <v>Male</v>
      </c>
      <c r="D699">
        <v>31</v>
      </c>
      <c r="E699" t="s">
        <v>10</v>
      </c>
      <c r="F699" t="str">
        <f>VLOOKUP(E699,Customer_Helper!$F$2:$G$13,2,FALSE)</f>
        <v>North</v>
      </c>
      <c r="G699" t="s">
        <v>187</v>
      </c>
    </row>
    <row r="700" spans="1:7" x14ac:dyDescent="0.25">
      <c r="A700" t="str">
        <f t="shared" si="10"/>
        <v>C0699</v>
      </c>
      <c r="B700" t="s">
        <v>1025</v>
      </c>
      <c r="C700" t="str">
        <f>VLOOKUP(LEFT(B700,FIND(" ",B700)-1),Customer_Helper!$A$2:$B$101,2,FALSE)</f>
        <v>Female</v>
      </c>
      <c r="D700">
        <v>27</v>
      </c>
      <c r="E700" t="s">
        <v>4</v>
      </c>
      <c r="F700" t="str">
        <f>VLOOKUP(E700,Customer_Helper!$F$2:$G$13,2,FALSE)</f>
        <v>West</v>
      </c>
      <c r="G700" t="s">
        <v>186</v>
      </c>
    </row>
    <row r="701" spans="1:7" x14ac:dyDescent="0.25">
      <c r="A701" t="str">
        <f t="shared" si="10"/>
        <v>C0700</v>
      </c>
      <c r="B701" t="s">
        <v>1026</v>
      </c>
      <c r="C701" t="str">
        <f>VLOOKUP(LEFT(B701,FIND(" ",B701)-1),Customer_Helper!$A$2:$B$101,2,FALSE)</f>
        <v>Male</v>
      </c>
      <c r="D701">
        <v>48</v>
      </c>
      <c r="E701" t="s">
        <v>4</v>
      </c>
      <c r="F701" t="str">
        <f>VLOOKUP(E701,Customer_Helper!$F$2:$G$13,2,FALSE)</f>
        <v>West</v>
      </c>
      <c r="G701" t="s">
        <v>186</v>
      </c>
    </row>
    <row r="702" spans="1:7" x14ac:dyDescent="0.25">
      <c r="A702" t="str">
        <f t="shared" si="10"/>
        <v>C0701</v>
      </c>
      <c r="B702" t="s">
        <v>1027</v>
      </c>
      <c r="C702" t="str">
        <f>VLOOKUP(LEFT(B702,FIND(" ",B702)-1),Customer_Helper!$A$2:$B$101,2,FALSE)</f>
        <v>Male</v>
      </c>
      <c r="D702">
        <v>60</v>
      </c>
      <c r="E702" t="s">
        <v>16</v>
      </c>
      <c r="F702" t="str">
        <f>VLOOKUP(E702,Customer_Helper!$F$2:$G$13,2,FALSE)</f>
        <v>South</v>
      </c>
      <c r="G702" t="s">
        <v>187</v>
      </c>
    </row>
    <row r="703" spans="1:7" x14ac:dyDescent="0.25">
      <c r="A703" t="str">
        <f t="shared" si="10"/>
        <v>C0702</v>
      </c>
      <c r="B703" t="s">
        <v>992</v>
      </c>
      <c r="C703" t="str">
        <f>VLOOKUP(LEFT(B703,FIND(" ",B703)-1),Customer_Helper!$A$2:$B$101,2,FALSE)</f>
        <v>Male</v>
      </c>
      <c r="D703">
        <v>52</v>
      </c>
      <c r="E703" t="s">
        <v>290</v>
      </c>
      <c r="F703" t="str">
        <f>VLOOKUP(E703,Customer_Helper!$F$2:$G$13,2,FALSE)</f>
        <v>West</v>
      </c>
      <c r="G703" t="s">
        <v>187</v>
      </c>
    </row>
    <row r="704" spans="1:7" x14ac:dyDescent="0.25">
      <c r="A704" t="str">
        <f t="shared" si="10"/>
        <v>C0703</v>
      </c>
      <c r="B704" t="s">
        <v>1028</v>
      </c>
      <c r="C704" t="str">
        <f>VLOOKUP(LEFT(B704,FIND(" ",B704)-1),Customer_Helper!$A$2:$B$101,2,FALSE)</f>
        <v>Male</v>
      </c>
      <c r="D704">
        <v>42</v>
      </c>
      <c r="E704" t="s">
        <v>17</v>
      </c>
      <c r="F704" t="str">
        <f>VLOOKUP(E704,Customer_Helper!$F$2:$G$13,2,FALSE)</f>
        <v>South</v>
      </c>
      <c r="G704" t="s">
        <v>185</v>
      </c>
    </row>
    <row r="705" spans="1:7" x14ac:dyDescent="0.25">
      <c r="A705" t="str">
        <f t="shared" si="10"/>
        <v>C0704</v>
      </c>
      <c r="B705" t="s">
        <v>1029</v>
      </c>
      <c r="C705" t="str">
        <f>VLOOKUP(LEFT(B705,FIND(" ",B705)-1),Customer_Helper!$A$2:$B$101,2,FALSE)</f>
        <v>Male</v>
      </c>
      <c r="D705">
        <v>48</v>
      </c>
      <c r="E705" t="s">
        <v>10</v>
      </c>
      <c r="F705" t="str">
        <f>VLOOKUP(E705,Customer_Helper!$F$2:$G$13,2,FALSE)</f>
        <v>North</v>
      </c>
      <c r="G705" t="s">
        <v>187</v>
      </c>
    </row>
    <row r="706" spans="1:7" x14ac:dyDescent="0.25">
      <c r="A706" t="str">
        <f t="shared" si="10"/>
        <v>C0705</v>
      </c>
      <c r="B706" t="s">
        <v>1030</v>
      </c>
      <c r="C706" t="str">
        <f>VLOOKUP(LEFT(B706,FIND(" ",B706)-1),Customer_Helper!$A$2:$B$101,2,FALSE)</f>
        <v>Male</v>
      </c>
      <c r="D706">
        <v>31</v>
      </c>
      <c r="E706" t="s">
        <v>5</v>
      </c>
      <c r="F706" t="str">
        <f>VLOOKUP(E706,Customer_Helper!$F$2:$G$13,2,FALSE)</f>
        <v>West</v>
      </c>
      <c r="G706" t="s">
        <v>185</v>
      </c>
    </row>
    <row r="707" spans="1:7" x14ac:dyDescent="0.25">
      <c r="A707" t="str">
        <f t="shared" ref="A707:A770" si="11">"C"&amp;TEXT(ROW()-1,"0000")</f>
        <v>C0706</v>
      </c>
      <c r="B707" t="s">
        <v>1031</v>
      </c>
      <c r="C707" t="str">
        <f>VLOOKUP(LEFT(B707,FIND(" ",B707)-1),Customer_Helper!$A$2:$B$101,2,FALSE)</f>
        <v>Male</v>
      </c>
      <c r="D707">
        <v>43</v>
      </c>
      <c r="E707" t="s">
        <v>289</v>
      </c>
      <c r="F707" t="str">
        <f>VLOOKUP(E707,Customer_Helper!$F$2:$G$13,2,FALSE)</f>
        <v>West</v>
      </c>
      <c r="G707" t="s">
        <v>186</v>
      </c>
    </row>
    <row r="708" spans="1:7" x14ac:dyDescent="0.25">
      <c r="A708" t="str">
        <f t="shared" si="11"/>
        <v>C0707</v>
      </c>
      <c r="B708" t="s">
        <v>1032</v>
      </c>
      <c r="C708" t="str">
        <f>VLOOKUP(LEFT(B708,FIND(" ",B708)-1),Customer_Helper!$A$2:$B$101,2,FALSE)</f>
        <v>Male</v>
      </c>
      <c r="D708">
        <v>51</v>
      </c>
      <c r="E708" t="s">
        <v>10</v>
      </c>
      <c r="F708" t="str">
        <f>VLOOKUP(E708,Customer_Helper!$F$2:$G$13,2,FALSE)</f>
        <v>North</v>
      </c>
      <c r="G708" t="s">
        <v>186</v>
      </c>
    </row>
    <row r="709" spans="1:7" x14ac:dyDescent="0.25">
      <c r="A709" t="str">
        <f t="shared" si="11"/>
        <v>C0708</v>
      </c>
      <c r="B709" t="s">
        <v>1033</v>
      </c>
      <c r="C709" t="str">
        <f>VLOOKUP(LEFT(B709,FIND(" ",B709)-1),Customer_Helper!$A$2:$B$101,2,FALSE)</f>
        <v>Female</v>
      </c>
      <c r="D709">
        <v>57</v>
      </c>
      <c r="E709" t="s">
        <v>2</v>
      </c>
      <c r="F709" t="str">
        <f>VLOOKUP(E709,Customer_Helper!$F$2:$G$13,2,FALSE)</f>
        <v>West</v>
      </c>
      <c r="G709" t="s">
        <v>185</v>
      </c>
    </row>
    <row r="710" spans="1:7" x14ac:dyDescent="0.25">
      <c r="A710" t="str">
        <f t="shared" si="11"/>
        <v>C0709</v>
      </c>
      <c r="B710" t="s">
        <v>1034</v>
      </c>
      <c r="C710" t="str">
        <f>VLOOKUP(LEFT(B710,FIND(" ",B710)-1),Customer_Helper!$A$2:$B$101,2,FALSE)</f>
        <v>Female</v>
      </c>
      <c r="D710">
        <v>21</v>
      </c>
      <c r="E710" t="s">
        <v>14</v>
      </c>
      <c r="F710" t="str">
        <f>VLOOKUP(E710,Customer_Helper!$F$2:$G$13,2,FALSE)</f>
        <v>South</v>
      </c>
      <c r="G710" t="s">
        <v>185</v>
      </c>
    </row>
    <row r="711" spans="1:7" x14ac:dyDescent="0.25">
      <c r="A711" t="str">
        <f t="shared" si="11"/>
        <v>C0710</v>
      </c>
      <c r="B711" t="s">
        <v>997</v>
      </c>
      <c r="C711" t="str">
        <f>VLOOKUP(LEFT(B711,FIND(" ",B711)-1),Customer_Helper!$A$2:$B$101,2,FALSE)</f>
        <v>Male</v>
      </c>
      <c r="D711">
        <v>42</v>
      </c>
      <c r="E711" t="s">
        <v>11</v>
      </c>
      <c r="F711" t="str">
        <f>VLOOKUP(E711,Customer_Helper!$F$2:$G$13,2,FALSE)</f>
        <v>East</v>
      </c>
      <c r="G711" t="s">
        <v>187</v>
      </c>
    </row>
    <row r="712" spans="1:7" x14ac:dyDescent="0.25">
      <c r="A712" t="str">
        <f t="shared" si="11"/>
        <v>C0711</v>
      </c>
      <c r="B712" t="s">
        <v>1035</v>
      </c>
      <c r="C712" t="str">
        <f>VLOOKUP(LEFT(B712,FIND(" ",B712)-1),Customer_Helper!$A$2:$B$101,2,FALSE)</f>
        <v>Male</v>
      </c>
      <c r="D712">
        <v>32</v>
      </c>
      <c r="E712" t="s">
        <v>289</v>
      </c>
      <c r="F712" t="str">
        <f>VLOOKUP(E712,Customer_Helper!$F$2:$G$13,2,FALSE)</f>
        <v>West</v>
      </c>
      <c r="G712" t="s">
        <v>185</v>
      </c>
    </row>
    <row r="713" spans="1:7" x14ac:dyDescent="0.25">
      <c r="A713" t="str">
        <f t="shared" si="11"/>
        <v>C0712</v>
      </c>
      <c r="B713" t="s">
        <v>1036</v>
      </c>
      <c r="C713" t="str">
        <f>VLOOKUP(LEFT(B713,FIND(" ",B713)-1),Customer_Helper!$A$2:$B$101,2,FALSE)</f>
        <v>Female</v>
      </c>
      <c r="D713">
        <v>60</v>
      </c>
      <c r="E713" t="s">
        <v>2</v>
      </c>
      <c r="F713" t="str">
        <f>VLOOKUP(E713,Customer_Helper!$F$2:$G$13,2,FALSE)</f>
        <v>West</v>
      </c>
      <c r="G713" t="s">
        <v>187</v>
      </c>
    </row>
    <row r="714" spans="1:7" x14ac:dyDescent="0.25">
      <c r="A714" t="str">
        <f t="shared" si="11"/>
        <v>C0713</v>
      </c>
      <c r="B714" t="s">
        <v>1037</v>
      </c>
      <c r="C714" t="str">
        <f>VLOOKUP(LEFT(B714,FIND(" ",B714)-1),Customer_Helper!$A$2:$B$101,2,FALSE)</f>
        <v>Female</v>
      </c>
      <c r="D714">
        <v>62</v>
      </c>
      <c r="E714" t="s">
        <v>10</v>
      </c>
      <c r="F714" t="str">
        <f>VLOOKUP(E714,Customer_Helper!$F$2:$G$13,2,FALSE)</f>
        <v>North</v>
      </c>
      <c r="G714" t="s">
        <v>187</v>
      </c>
    </row>
    <row r="715" spans="1:7" x14ac:dyDescent="0.25">
      <c r="A715" t="str">
        <f t="shared" si="11"/>
        <v>C0714</v>
      </c>
      <c r="B715" t="s">
        <v>1038</v>
      </c>
      <c r="C715" t="str">
        <f>VLOOKUP(LEFT(B715,FIND(" ",B715)-1),Customer_Helper!$A$2:$B$101,2,FALSE)</f>
        <v>Male</v>
      </c>
      <c r="D715">
        <v>61</v>
      </c>
      <c r="E715" t="s">
        <v>17</v>
      </c>
      <c r="F715" t="str">
        <f>VLOOKUP(E715,Customer_Helper!$F$2:$G$13,2,FALSE)</f>
        <v>South</v>
      </c>
      <c r="G715" t="s">
        <v>187</v>
      </c>
    </row>
    <row r="716" spans="1:7" x14ac:dyDescent="0.25">
      <c r="A716" t="str">
        <f t="shared" si="11"/>
        <v>C0715</v>
      </c>
      <c r="B716" t="s">
        <v>1039</v>
      </c>
      <c r="C716" t="str">
        <f>VLOOKUP(LEFT(B716,FIND(" ",B716)-1),Customer_Helper!$A$2:$B$101,2,FALSE)</f>
        <v>Female</v>
      </c>
      <c r="D716">
        <v>48</v>
      </c>
      <c r="E716" t="s">
        <v>5</v>
      </c>
      <c r="F716" t="str">
        <f>VLOOKUP(E716,Customer_Helper!$F$2:$G$13,2,FALSE)</f>
        <v>West</v>
      </c>
      <c r="G716" t="s">
        <v>186</v>
      </c>
    </row>
    <row r="717" spans="1:7" x14ac:dyDescent="0.25">
      <c r="A717" t="str">
        <f t="shared" si="11"/>
        <v>C0716</v>
      </c>
      <c r="B717" t="s">
        <v>1040</v>
      </c>
      <c r="C717" t="str">
        <f>VLOOKUP(LEFT(B717,FIND(" ",B717)-1),Customer_Helper!$A$2:$B$101,2,FALSE)</f>
        <v>Female</v>
      </c>
      <c r="D717">
        <v>39</v>
      </c>
      <c r="E717" t="s">
        <v>10</v>
      </c>
      <c r="F717" t="str">
        <f>VLOOKUP(E717,Customer_Helper!$F$2:$G$13,2,FALSE)</f>
        <v>North</v>
      </c>
      <c r="G717" t="s">
        <v>186</v>
      </c>
    </row>
    <row r="718" spans="1:7" x14ac:dyDescent="0.25">
      <c r="A718" t="str">
        <f t="shared" si="11"/>
        <v>C0717</v>
      </c>
      <c r="B718" t="s">
        <v>1041</v>
      </c>
      <c r="C718" t="str">
        <f>VLOOKUP(LEFT(B718,FIND(" ",B718)-1),Customer_Helper!$A$2:$B$101,2,FALSE)</f>
        <v>Male</v>
      </c>
      <c r="D718">
        <v>26</v>
      </c>
      <c r="E718" t="s">
        <v>7</v>
      </c>
      <c r="F718" t="str">
        <f>VLOOKUP(E718,Customer_Helper!$F$2:$G$13,2,FALSE)</f>
        <v>North</v>
      </c>
      <c r="G718" t="s">
        <v>185</v>
      </c>
    </row>
    <row r="719" spans="1:7" x14ac:dyDescent="0.25">
      <c r="A719" t="str">
        <f t="shared" si="11"/>
        <v>C0718</v>
      </c>
      <c r="B719" t="s">
        <v>1042</v>
      </c>
      <c r="C719" t="str">
        <f>VLOOKUP(LEFT(B719,FIND(" ",B719)-1),Customer_Helper!$A$2:$B$101,2,FALSE)</f>
        <v>Female</v>
      </c>
      <c r="D719">
        <v>64</v>
      </c>
      <c r="E719" t="s">
        <v>5</v>
      </c>
      <c r="F719" t="str">
        <f>VLOOKUP(E719,Customer_Helper!$F$2:$G$13,2,FALSE)</f>
        <v>West</v>
      </c>
      <c r="G719" t="s">
        <v>186</v>
      </c>
    </row>
    <row r="720" spans="1:7" x14ac:dyDescent="0.25">
      <c r="A720" t="str">
        <f t="shared" si="11"/>
        <v>C0719</v>
      </c>
      <c r="B720" t="s">
        <v>1043</v>
      </c>
      <c r="C720" t="str">
        <f>VLOOKUP(LEFT(B720,FIND(" ",B720)-1),Customer_Helper!$A$2:$B$101,2,FALSE)</f>
        <v>Female</v>
      </c>
      <c r="D720">
        <v>57</v>
      </c>
      <c r="E720" t="s">
        <v>10</v>
      </c>
      <c r="F720" t="str">
        <f>VLOOKUP(E720,Customer_Helper!$F$2:$G$13,2,FALSE)</f>
        <v>North</v>
      </c>
      <c r="G720" t="s">
        <v>186</v>
      </c>
    </row>
    <row r="721" spans="1:7" x14ac:dyDescent="0.25">
      <c r="A721" t="str">
        <f t="shared" si="11"/>
        <v>C0720</v>
      </c>
      <c r="B721" t="s">
        <v>816</v>
      </c>
      <c r="C721" t="str">
        <f>VLOOKUP(LEFT(B721,FIND(" ",B721)-1),Customer_Helper!$A$2:$B$101,2,FALSE)</f>
        <v>Female</v>
      </c>
      <c r="D721">
        <v>30</v>
      </c>
      <c r="E721" t="s">
        <v>2</v>
      </c>
      <c r="F721" t="str">
        <f>VLOOKUP(E721,Customer_Helper!$F$2:$G$13,2,FALSE)</f>
        <v>West</v>
      </c>
      <c r="G721" t="s">
        <v>185</v>
      </c>
    </row>
    <row r="722" spans="1:7" x14ac:dyDescent="0.25">
      <c r="A722" t="str">
        <f t="shared" si="11"/>
        <v>C0721</v>
      </c>
      <c r="B722" t="s">
        <v>1044</v>
      </c>
      <c r="C722" t="str">
        <f>VLOOKUP(LEFT(B722,FIND(" ",B722)-1),Customer_Helper!$A$2:$B$101,2,FALSE)</f>
        <v>Male</v>
      </c>
      <c r="D722">
        <v>20</v>
      </c>
      <c r="E722" t="s">
        <v>5</v>
      </c>
      <c r="F722" t="str">
        <f>VLOOKUP(E722,Customer_Helper!$F$2:$G$13,2,FALSE)</f>
        <v>West</v>
      </c>
      <c r="G722" t="s">
        <v>185</v>
      </c>
    </row>
    <row r="723" spans="1:7" x14ac:dyDescent="0.25">
      <c r="A723" t="str">
        <f t="shared" si="11"/>
        <v>C0722</v>
      </c>
      <c r="B723" t="s">
        <v>1045</v>
      </c>
      <c r="C723" t="str">
        <f>VLOOKUP(LEFT(B723,FIND(" ",B723)-1),Customer_Helper!$A$2:$B$101,2,FALSE)</f>
        <v>Male</v>
      </c>
      <c r="D723">
        <v>23</v>
      </c>
      <c r="E723" t="s">
        <v>10</v>
      </c>
      <c r="F723" t="str">
        <f>VLOOKUP(E723,Customer_Helper!$F$2:$G$13,2,FALSE)</f>
        <v>North</v>
      </c>
      <c r="G723" t="s">
        <v>187</v>
      </c>
    </row>
    <row r="724" spans="1:7" x14ac:dyDescent="0.25">
      <c r="A724" t="str">
        <f t="shared" si="11"/>
        <v>C0723</v>
      </c>
      <c r="B724" t="s">
        <v>859</v>
      </c>
      <c r="C724" t="str">
        <f>VLOOKUP(LEFT(B724,FIND(" ",B724)-1),Customer_Helper!$A$2:$B$101,2,FALSE)</f>
        <v>Female</v>
      </c>
      <c r="D724">
        <v>61</v>
      </c>
      <c r="E724" t="s">
        <v>11</v>
      </c>
      <c r="F724" t="str">
        <f>VLOOKUP(E724,Customer_Helper!$F$2:$G$13,2,FALSE)</f>
        <v>East</v>
      </c>
      <c r="G724" t="s">
        <v>187</v>
      </c>
    </row>
    <row r="725" spans="1:7" x14ac:dyDescent="0.25">
      <c r="A725" t="str">
        <f t="shared" si="11"/>
        <v>C0724</v>
      </c>
      <c r="B725" t="s">
        <v>1046</v>
      </c>
      <c r="C725" t="str">
        <f>VLOOKUP(LEFT(B725,FIND(" ",B725)-1),Customer_Helper!$A$2:$B$101,2,FALSE)</f>
        <v>Male</v>
      </c>
      <c r="D725">
        <v>53</v>
      </c>
      <c r="E725" t="s">
        <v>9</v>
      </c>
      <c r="F725" t="str">
        <f>VLOOKUP(E725,Customer_Helper!$F$2:$G$13,2,FALSE)</f>
        <v>North</v>
      </c>
      <c r="G725" t="s">
        <v>185</v>
      </c>
    </row>
    <row r="726" spans="1:7" x14ac:dyDescent="0.25">
      <c r="A726" t="str">
        <f t="shared" si="11"/>
        <v>C0725</v>
      </c>
      <c r="B726" t="s">
        <v>1047</v>
      </c>
      <c r="C726" t="str">
        <f>VLOOKUP(LEFT(B726,FIND(" ",B726)-1),Customer_Helper!$A$2:$B$101,2,FALSE)</f>
        <v>Male</v>
      </c>
      <c r="D726">
        <v>62</v>
      </c>
      <c r="E726" t="s">
        <v>290</v>
      </c>
      <c r="F726" t="str">
        <f>VLOOKUP(E726,Customer_Helper!$F$2:$G$13,2,FALSE)</f>
        <v>West</v>
      </c>
      <c r="G726" t="s">
        <v>185</v>
      </c>
    </row>
    <row r="727" spans="1:7" x14ac:dyDescent="0.25">
      <c r="A727" t="str">
        <f t="shared" si="11"/>
        <v>C0726</v>
      </c>
      <c r="B727" t="s">
        <v>1048</v>
      </c>
      <c r="C727" t="str">
        <f>VLOOKUP(LEFT(B727,FIND(" ",B727)-1),Customer_Helper!$A$2:$B$101,2,FALSE)</f>
        <v>Female</v>
      </c>
      <c r="D727">
        <v>57</v>
      </c>
      <c r="E727" t="s">
        <v>17</v>
      </c>
      <c r="F727" t="str">
        <f>VLOOKUP(E727,Customer_Helper!$F$2:$G$13,2,FALSE)</f>
        <v>South</v>
      </c>
      <c r="G727" t="s">
        <v>187</v>
      </c>
    </row>
    <row r="728" spans="1:7" x14ac:dyDescent="0.25">
      <c r="A728" t="str">
        <f t="shared" si="11"/>
        <v>C0727</v>
      </c>
      <c r="B728" t="s">
        <v>1049</v>
      </c>
      <c r="C728" t="str">
        <f>VLOOKUP(LEFT(B728,FIND(" ",B728)-1),Customer_Helper!$A$2:$B$101,2,FALSE)</f>
        <v>Male</v>
      </c>
      <c r="D728">
        <v>62</v>
      </c>
      <c r="E728" t="s">
        <v>14</v>
      </c>
      <c r="F728" t="str">
        <f>VLOOKUP(E728,Customer_Helper!$F$2:$G$13,2,FALSE)</f>
        <v>South</v>
      </c>
      <c r="G728" t="s">
        <v>187</v>
      </c>
    </row>
    <row r="729" spans="1:7" x14ac:dyDescent="0.25">
      <c r="A729" t="str">
        <f t="shared" si="11"/>
        <v>C0728</v>
      </c>
      <c r="B729" t="s">
        <v>1050</v>
      </c>
      <c r="C729" t="str">
        <f>VLOOKUP(LEFT(B729,FIND(" ",B729)-1),Customer_Helper!$A$2:$B$101,2,FALSE)</f>
        <v>Male</v>
      </c>
      <c r="D729">
        <v>19</v>
      </c>
      <c r="E729" t="s">
        <v>17</v>
      </c>
      <c r="F729" t="str">
        <f>VLOOKUP(E729,Customer_Helper!$F$2:$G$13,2,FALSE)</f>
        <v>South</v>
      </c>
      <c r="G729" t="s">
        <v>185</v>
      </c>
    </row>
    <row r="730" spans="1:7" x14ac:dyDescent="0.25">
      <c r="A730" t="str">
        <f t="shared" si="11"/>
        <v>C0729</v>
      </c>
      <c r="B730" t="s">
        <v>1051</v>
      </c>
      <c r="C730" t="str">
        <f>VLOOKUP(LEFT(B730,FIND(" ",B730)-1),Customer_Helper!$A$2:$B$101,2,FALSE)</f>
        <v>Female</v>
      </c>
      <c r="D730">
        <v>50</v>
      </c>
      <c r="E730" t="s">
        <v>11</v>
      </c>
      <c r="F730" t="str">
        <f>VLOOKUP(E730,Customer_Helper!$F$2:$G$13,2,FALSE)</f>
        <v>East</v>
      </c>
      <c r="G730" t="s">
        <v>185</v>
      </c>
    </row>
    <row r="731" spans="1:7" x14ac:dyDescent="0.25">
      <c r="A731" t="str">
        <f t="shared" si="11"/>
        <v>C0730</v>
      </c>
      <c r="B731" t="s">
        <v>1052</v>
      </c>
      <c r="C731" t="str">
        <f>VLOOKUP(LEFT(B731,FIND(" ",B731)-1),Customer_Helper!$A$2:$B$101,2,FALSE)</f>
        <v>Male</v>
      </c>
      <c r="D731">
        <v>64</v>
      </c>
      <c r="E731" t="s">
        <v>7</v>
      </c>
      <c r="F731" t="str">
        <f>VLOOKUP(E731,Customer_Helper!$F$2:$G$13,2,FALSE)</f>
        <v>North</v>
      </c>
      <c r="G731" t="s">
        <v>187</v>
      </c>
    </row>
    <row r="732" spans="1:7" x14ac:dyDescent="0.25">
      <c r="A732" t="str">
        <f t="shared" si="11"/>
        <v>C0731</v>
      </c>
      <c r="B732" t="s">
        <v>1053</v>
      </c>
      <c r="C732" t="str">
        <f>VLOOKUP(LEFT(B732,FIND(" ",B732)-1),Customer_Helper!$A$2:$B$101,2,FALSE)</f>
        <v>Male</v>
      </c>
      <c r="D732">
        <v>29</v>
      </c>
      <c r="E732" t="s">
        <v>2</v>
      </c>
      <c r="F732" t="str">
        <f>VLOOKUP(E732,Customer_Helper!$F$2:$G$13,2,FALSE)</f>
        <v>West</v>
      </c>
      <c r="G732" t="s">
        <v>185</v>
      </c>
    </row>
    <row r="733" spans="1:7" x14ac:dyDescent="0.25">
      <c r="A733" t="str">
        <f t="shared" si="11"/>
        <v>C0732</v>
      </c>
      <c r="B733" t="s">
        <v>1054</v>
      </c>
      <c r="C733" t="str">
        <f>VLOOKUP(LEFT(B733,FIND(" ",B733)-1),Customer_Helper!$A$2:$B$101,2,FALSE)</f>
        <v>Male</v>
      </c>
      <c r="D733">
        <v>34</v>
      </c>
      <c r="E733" t="s">
        <v>7</v>
      </c>
      <c r="F733" t="str">
        <f>VLOOKUP(E733,Customer_Helper!$F$2:$G$13,2,FALSE)</f>
        <v>North</v>
      </c>
      <c r="G733" t="s">
        <v>187</v>
      </c>
    </row>
    <row r="734" spans="1:7" x14ac:dyDescent="0.25">
      <c r="A734" t="str">
        <f t="shared" si="11"/>
        <v>C0733</v>
      </c>
      <c r="B734" t="s">
        <v>1055</v>
      </c>
      <c r="C734" t="str">
        <f>VLOOKUP(LEFT(B734,FIND(" ",B734)-1),Customer_Helper!$A$2:$B$101,2,FALSE)</f>
        <v>Female</v>
      </c>
      <c r="D734">
        <v>63</v>
      </c>
      <c r="E734" t="s">
        <v>7</v>
      </c>
      <c r="F734" t="str">
        <f>VLOOKUP(E734,Customer_Helper!$F$2:$G$13,2,FALSE)</f>
        <v>North</v>
      </c>
      <c r="G734" t="s">
        <v>185</v>
      </c>
    </row>
    <row r="735" spans="1:7" x14ac:dyDescent="0.25">
      <c r="A735" t="str">
        <f t="shared" si="11"/>
        <v>C0734</v>
      </c>
      <c r="B735" t="s">
        <v>1056</v>
      </c>
      <c r="C735" t="str">
        <f>VLOOKUP(LEFT(B735,FIND(" ",B735)-1),Customer_Helper!$A$2:$B$101,2,FALSE)</f>
        <v>Female</v>
      </c>
      <c r="D735">
        <v>31</v>
      </c>
      <c r="E735" t="s">
        <v>10</v>
      </c>
      <c r="F735" t="str">
        <f>VLOOKUP(E735,Customer_Helper!$F$2:$G$13,2,FALSE)</f>
        <v>North</v>
      </c>
      <c r="G735" t="s">
        <v>187</v>
      </c>
    </row>
    <row r="736" spans="1:7" x14ac:dyDescent="0.25">
      <c r="A736" t="str">
        <f t="shared" si="11"/>
        <v>C0735</v>
      </c>
      <c r="B736" t="s">
        <v>571</v>
      </c>
      <c r="C736" t="str">
        <f>VLOOKUP(LEFT(B736,FIND(" ",B736)-1),Customer_Helper!$A$2:$B$101,2,FALSE)</f>
        <v>Female</v>
      </c>
      <c r="D736">
        <v>57</v>
      </c>
      <c r="E736" t="s">
        <v>4</v>
      </c>
      <c r="F736" t="str">
        <f>VLOOKUP(E736,Customer_Helper!$F$2:$G$13,2,FALSE)</f>
        <v>West</v>
      </c>
      <c r="G736" t="s">
        <v>185</v>
      </c>
    </row>
    <row r="737" spans="1:7" x14ac:dyDescent="0.25">
      <c r="A737" t="str">
        <f t="shared" si="11"/>
        <v>C0736</v>
      </c>
      <c r="B737" t="s">
        <v>1057</v>
      </c>
      <c r="C737" t="str">
        <f>VLOOKUP(LEFT(B737,FIND(" ",B737)-1),Customer_Helper!$A$2:$B$101,2,FALSE)</f>
        <v>Female</v>
      </c>
      <c r="D737">
        <v>19</v>
      </c>
      <c r="E737" t="s">
        <v>11</v>
      </c>
      <c r="F737" t="str">
        <f>VLOOKUP(E737,Customer_Helper!$F$2:$G$13,2,FALSE)</f>
        <v>East</v>
      </c>
      <c r="G737" t="s">
        <v>187</v>
      </c>
    </row>
    <row r="738" spans="1:7" x14ac:dyDescent="0.25">
      <c r="A738" t="str">
        <f t="shared" si="11"/>
        <v>C0737</v>
      </c>
      <c r="B738" t="s">
        <v>1058</v>
      </c>
      <c r="C738" t="str">
        <f>VLOOKUP(LEFT(B738,FIND(" ",B738)-1),Customer_Helper!$A$2:$B$101,2,FALSE)</f>
        <v>Female</v>
      </c>
      <c r="D738">
        <v>56</v>
      </c>
      <c r="E738" t="s">
        <v>16</v>
      </c>
      <c r="F738" t="str">
        <f>VLOOKUP(E738,Customer_Helper!$F$2:$G$13,2,FALSE)</f>
        <v>South</v>
      </c>
      <c r="G738" t="s">
        <v>187</v>
      </c>
    </row>
    <row r="739" spans="1:7" x14ac:dyDescent="0.25">
      <c r="A739" t="str">
        <f t="shared" si="11"/>
        <v>C0738</v>
      </c>
      <c r="B739" t="s">
        <v>844</v>
      </c>
      <c r="C739" t="str">
        <f>VLOOKUP(LEFT(B739,FIND(" ",B739)-1),Customer_Helper!$A$2:$B$101,2,FALSE)</f>
        <v>Male</v>
      </c>
      <c r="D739">
        <v>25</v>
      </c>
      <c r="E739" t="s">
        <v>290</v>
      </c>
      <c r="F739" t="str">
        <f>VLOOKUP(E739,Customer_Helper!$F$2:$G$13,2,FALSE)</f>
        <v>West</v>
      </c>
      <c r="G739" t="s">
        <v>185</v>
      </c>
    </row>
    <row r="740" spans="1:7" x14ac:dyDescent="0.25">
      <c r="A740" t="str">
        <f t="shared" si="11"/>
        <v>C0739</v>
      </c>
      <c r="B740" t="s">
        <v>576</v>
      </c>
      <c r="C740" t="str">
        <f>VLOOKUP(LEFT(B740,FIND(" ",B740)-1),Customer_Helper!$A$2:$B$101,2,FALSE)</f>
        <v>Female</v>
      </c>
      <c r="D740">
        <v>38</v>
      </c>
      <c r="E740" t="s">
        <v>290</v>
      </c>
      <c r="F740" t="str">
        <f>VLOOKUP(E740,Customer_Helper!$F$2:$G$13,2,FALSE)</f>
        <v>West</v>
      </c>
      <c r="G740" t="s">
        <v>186</v>
      </c>
    </row>
    <row r="741" spans="1:7" x14ac:dyDescent="0.25">
      <c r="A741" t="str">
        <f t="shared" si="11"/>
        <v>C0740</v>
      </c>
      <c r="B741" t="s">
        <v>1059</v>
      </c>
      <c r="C741" t="str">
        <f>VLOOKUP(LEFT(B741,FIND(" ",B741)-1),Customer_Helper!$A$2:$B$101,2,FALSE)</f>
        <v>Male</v>
      </c>
      <c r="D741">
        <v>32</v>
      </c>
      <c r="E741" t="s">
        <v>5</v>
      </c>
      <c r="F741" t="str">
        <f>VLOOKUP(E741,Customer_Helper!$F$2:$G$13,2,FALSE)</f>
        <v>West</v>
      </c>
      <c r="G741" t="s">
        <v>187</v>
      </c>
    </row>
    <row r="742" spans="1:7" x14ac:dyDescent="0.25">
      <c r="A742" t="str">
        <f t="shared" si="11"/>
        <v>C0741</v>
      </c>
      <c r="B742" t="s">
        <v>1060</v>
      </c>
      <c r="C742" t="str">
        <f>VLOOKUP(LEFT(B742,FIND(" ",B742)-1),Customer_Helper!$A$2:$B$101,2,FALSE)</f>
        <v>Male</v>
      </c>
      <c r="D742">
        <v>55</v>
      </c>
      <c r="E742" t="s">
        <v>10</v>
      </c>
      <c r="F742" t="str">
        <f>VLOOKUP(E742,Customer_Helper!$F$2:$G$13,2,FALSE)</f>
        <v>North</v>
      </c>
      <c r="G742" t="s">
        <v>187</v>
      </c>
    </row>
    <row r="743" spans="1:7" x14ac:dyDescent="0.25">
      <c r="A743" t="str">
        <f t="shared" si="11"/>
        <v>C0742</v>
      </c>
      <c r="B743" t="s">
        <v>1061</v>
      </c>
      <c r="C743" t="str">
        <f>VLOOKUP(LEFT(B743,FIND(" ",B743)-1),Customer_Helper!$A$2:$B$101,2,FALSE)</f>
        <v>Female</v>
      </c>
      <c r="D743">
        <v>65</v>
      </c>
      <c r="E743" t="s">
        <v>14</v>
      </c>
      <c r="F743" t="str">
        <f>VLOOKUP(E743,Customer_Helper!$F$2:$G$13,2,FALSE)</f>
        <v>South</v>
      </c>
      <c r="G743" t="s">
        <v>185</v>
      </c>
    </row>
    <row r="744" spans="1:7" x14ac:dyDescent="0.25">
      <c r="A744" t="str">
        <f t="shared" si="11"/>
        <v>C0743</v>
      </c>
      <c r="B744" t="s">
        <v>994</v>
      </c>
      <c r="C744" t="str">
        <f>VLOOKUP(LEFT(B744,FIND(" ",B744)-1),Customer_Helper!$A$2:$B$101,2,FALSE)</f>
        <v>Female</v>
      </c>
      <c r="D744">
        <v>23</v>
      </c>
      <c r="E744" t="s">
        <v>7</v>
      </c>
      <c r="F744" t="str">
        <f>VLOOKUP(E744,Customer_Helper!$F$2:$G$13,2,FALSE)</f>
        <v>North</v>
      </c>
      <c r="G744" t="s">
        <v>185</v>
      </c>
    </row>
    <row r="745" spans="1:7" x14ac:dyDescent="0.25">
      <c r="A745" t="str">
        <f t="shared" si="11"/>
        <v>C0744</v>
      </c>
      <c r="B745" t="s">
        <v>1062</v>
      </c>
      <c r="C745" t="str">
        <f>VLOOKUP(LEFT(B745,FIND(" ",B745)-1),Customer_Helper!$A$2:$B$101,2,FALSE)</f>
        <v>Female</v>
      </c>
      <c r="D745">
        <v>44</v>
      </c>
      <c r="E745" t="s">
        <v>11</v>
      </c>
      <c r="F745" t="str">
        <f>VLOOKUP(E745,Customer_Helper!$F$2:$G$13,2,FALSE)</f>
        <v>East</v>
      </c>
      <c r="G745" t="s">
        <v>187</v>
      </c>
    </row>
    <row r="746" spans="1:7" x14ac:dyDescent="0.25">
      <c r="A746" t="str">
        <f t="shared" si="11"/>
        <v>C0745</v>
      </c>
      <c r="B746" t="s">
        <v>1063</v>
      </c>
      <c r="C746" t="str">
        <f>VLOOKUP(LEFT(B746,FIND(" ",B746)-1),Customer_Helper!$A$2:$B$101,2,FALSE)</f>
        <v>Female</v>
      </c>
      <c r="D746">
        <v>57</v>
      </c>
      <c r="E746" t="s">
        <v>14</v>
      </c>
      <c r="F746" t="str">
        <f>VLOOKUP(E746,Customer_Helper!$F$2:$G$13,2,FALSE)</f>
        <v>South</v>
      </c>
      <c r="G746" t="s">
        <v>185</v>
      </c>
    </row>
    <row r="747" spans="1:7" x14ac:dyDescent="0.25">
      <c r="A747" t="str">
        <f t="shared" si="11"/>
        <v>C0746</v>
      </c>
      <c r="B747" t="s">
        <v>1064</v>
      </c>
      <c r="C747" t="str">
        <f>VLOOKUP(LEFT(B747,FIND(" ",B747)-1),Customer_Helper!$A$2:$B$101,2,FALSE)</f>
        <v>Male</v>
      </c>
      <c r="D747">
        <v>51</v>
      </c>
      <c r="E747" t="s">
        <v>17</v>
      </c>
      <c r="F747" t="str">
        <f>VLOOKUP(E747,Customer_Helper!$F$2:$G$13,2,FALSE)</f>
        <v>South</v>
      </c>
      <c r="G747" t="s">
        <v>186</v>
      </c>
    </row>
    <row r="748" spans="1:7" x14ac:dyDescent="0.25">
      <c r="A748" t="str">
        <f t="shared" si="11"/>
        <v>C0747</v>
      </c>
      <c r="B748" t="s">
        <v>1065</v>
      </c>
      <c r="C748" t="str">
        <f>VLOOKUP(LEFT(B748,FIND(" ",B748)-1),Customer_Helper!$A$2:$B$101,2,FALSE)</f>
        <v>Male</v>
      </c>
      <c r="D748">
        <v>50</v>
      </c>
      <c r="E748" t="s">
        <v>7</v>
      </c>
      <c r="F748" t="str">
        <f>VLOOKUP(E748,Customer_Helper!$F$2:$G$13,2,FALSE)</f>
        <v>North</v>
      </c>
      <c r="G748" t="s">
        <v>186</v>
      </c>
    </row>
    <row r="749" spans="1:7" x14ac:dyDescent="0.25">
      <c r="A749" t="str">
        <f t="shared" si="11"/>
        <v>C0748</v>
      </c>
      <c r="B749" t="s">
        <v>1066</v>
      </c>
      <c r="C749" t="str">
        <f>VLOOKUP(LEFT(B749,FIND(" ",B749)-1),Customer_Helper!$A$2:$B$101,2,FALSE)</f>
        <v>Male</v>
      </c>
      <c r="D749">
        <v>43</v>
      </c>
      <c r="E749" t="s">
        <v>4</v>
      </c>
      <c r="F749" t="str">
        <f>VLOOKUP(E749,Customer_Helper!$F$2:$G$13,2,FALSE)</f>
        <v>West</v>
      </c>
      <c r="G749" t="s">
        <v>185</v>
      </c>
    </row>
    <row r="750" spans="1:7" x14ac:dyDescent="0.25">
      <c r="A750" t="str">
        <f t="shared" si="11"/>
        <v>C0749</v>
      </c>
      <c r="B750" t="s">
        <v>983</v>
      </c>
      <c r="C750" t="str">
        <f>VLOOKUP(LEFT(B750,FIND(" ",B750)-1),Customer_Helper!$A$2:$B$101,2,FALSE)</f>
        <v>Male</v>
      </c>
      <c r="D750">
        <v>25</v>
      </c>
      <c r="E750" t="s">
        <v>289</v>
      </c>
      <c r="F750" t="str">
        <f>VLOOKUP(E750,Customer_Helper!$F$2:$G$13,2,FALSE)</f>
        <v>West</v>
      </c>
      <c r="G750" t="s">
        <v>185</v>
      </c>
    </row>
    <row r="751" spans="1:7" x14ac:dyDescent="0.25">
      <c r="A751" t="str">
        <f t="shared" si="11"/>
        <v>C0750</v>
      </c>
      <c r="B751" t="s">
        <v>1067</v>
      </c>
      <c r="C751" t="str">
        <f>VLOOKUP(LEFT(B751,FIND(" ",B751)-1),Customer_Helper!$A$2:$B$101,2,FALSE)</f>
        <v>Female</v>
      </c>
      <c r="D751">
        <v>24</v>
      </c>
      <c r="E751" t="s">
        <v>4</v>
      </c>
      <c r="F751" t="str">
        <f>VLOOKUP(E751,Customer_Helper!$F$2:$G$13,2,FALSE)</f>
        <v>West</v>
      </c>
      <c r="G751" t="s">
        <v>187</v>
      </c>
    </row>
    <row r="752" spans="1:7" x14ac:dyDescent="0.25">
      <c r="A752" t="str">
        <f t="shared" si="11"/>
        <v>C0751</v>
      </c>
      <c r="B752" t="s">
        <v>1068</v>
      </c>
      <c r="C752" t="str">
        <f>VLOOKUP(LEFT(B752,FIND(" ",B752)-1),Customer_Helper!$A$2:$B$101,2,FALSE)</f>
        <v>Female</v>
      </c>
      <c r="D752">
        <v>33</v>
      </c>
      <c r="E752" t="s">
        <v>5</v>
      </c>
      <c r="F752" t="str">
        <f>VLOOKUP(E752,Customer_Helper!$F$2:$G$13,2,FALSE)</f>
        <v>West</v>
      </c>
      <c r="G752" t="s">
        <v>185</v>
      </c>
    </row>
    <row r="753" spans="1:7" x14ac:dyDescent="0.25">
      <c r="A753" t="str">
        <f t="shared" si="11"/>
        <v>C0752</v>
      </c>
      <c r="B753" t="s">
        <v>1069</v>
      </c>
      <c r="C753" t="str">
        <f>VLOOKUP(LEFT(B753,FIND(" ",B753)-1),Customer_Helper!$A$2:$B$101,2,FALSE)</f>
        <v>Female</v>
      </c>
      <c r="D753">
        <v>40</v>
      </c>
      <c r="E753" t="s">
        <v>5</v>
      </c>
      <c r="F753" t="str">
        <f>VLOOKUP(E753,Customer_Helper!$F$2:$G$13,2,FALSE)</f>
        <v>West</v>
      </c>
      <c r="G753" t="s">
        <v>186</v>
      </c>
    </row>
    <row r="754" spans="1:7" x14ac:dyDescent="0.25">
      <c r="A754" t="str">
        <f t="shared" si="11"/>
        <v>C0753</v>
      </c>
      <c r="B754" t="s">
        <v>1070</v>
      </c>
      <c r="C754" t="str">
        <f>VLOOKUP(LEFT(B754,FIND(" ",B754)-1),Customer_Helper!$A$2:$B$101,2,FALSE)</f>
        <v>Male</v>
      </c>
      <c r="D754">
        <v>34</v>
      </c>
      <c r="E754" t="s">
        <v>5</v>
      </c>
      <c r="F754" t="str">
        <f>VLOOKUP(E754,Customer_Helper!$F$2:$G$13,2,FALSE)</f>
        <v>West</v>
      </c>
      <c r="G754" t="s">
        <v>185</v>
      </c>
    </row>
    <row r="755" spans="1:7" x14ac:dyDescent="0.25">
      <c r="A755" t="str">
        <f t="shared" si="11"/>
        <v>C0754</v>
      </c>
      <c r="B755" t="s">
        <v>1071</v>
      </c>
      <c r="C755" t="str">
        <f>VLOOKUP(LEFT(B755,FIND(" ",B755)-1),Customer_Helper!$A$2:$B$101,2,FALSE)</f>
        <v>Male</v>
      </c>
      <c r="D755">
        <v>32</v>
      </c>
      <c r="E755" t="s">
        <v>14</v>
      </c>
      <c r="F755" t="str">
        <f>VLOOKUP(E755,Customer_Helper!$F$2:$G$13,2,FALSE)</f>
        <v>South</v>
      </c>
      <c r="G755" t="s">
        <v>185</v>
      </c>
    </row>
    <row r="756" spans="1:7" x14ac:dyDescent="0.25">
      <c r="A756" t="str">
        <f t="shared" si="11"/>
        <v>C0755</v>
      </c>
      <c r="B756" t="s">
        <v>375</v>
      </c>
      <c r="C756" t="str">
        <f>VLOOKUP(LEFT(B756,FIND(" ",B756)-1),Customer_Helper!$A$2:$B$101,2,FALSE)</f>
        <v>Male</v>
      </c>
      <c r="D756">
        <v>55</v>
      </c>
      <c r="E756" t="s">
        <v>5</v>
      </c>
      <c r="F756" t="str">
        <f>VLOOKUP(E756,Customer_Helper!$F$2:$G$13,2,FALSE)</f>
        <v>West</v>
      </c>
      <c r="G756" t="s">
        <v>186</v>
      </c>
    </row>
    <row r="757" spans="1:7" x14ac:dyDescent="0.25">
      <c r="A757" t="str">
        <f t="shared" si="11"/>
        <v>C0756</v>
      </c>
      <c r="B757" t="s">
        <v>1072</v>
      </c>
      <c r="C757" t="str">
        <f>VLOOKUP(LEFT(B757,FIND(" ",B757)-1),Customer_Helper!$A$2:$B$101,2,FALSE)</f>
        <v>Male</v>
      </c>
      <c r="D757">
        <v>48</v>
      </c>
      <c r="E757" t="s">
        <v>5</v>
      </c>
      <c r="F757" t="str">
        <f>VLOOKUP(E757,Customer_Helper!$F$2:$G$13,2,FALSE)</f>
        <v>West</v>
      </c>
      <c r="G757" t="s">
        <v>186</v>
      </c>
    </row>
    <row r="758" spans="1:7" x14ac:dyDescent="0.25">
      <c r="A758" t="str">
        <f t="shared" si="11"/>
        <v>C0757</v>
      </c>
      <c r="B758" t="s">
        <v>1073</v>
      </c>
      <c r="C758" t="str">
        <f>VLOOKUP(LEFT(B758,FIND(" ",B758)-1),Customer_Helper!$A$2:$B$101,2,FALSE)</f>
        <v>Male</v>
      </c>
      <c r="D758">
        <v>37</v>
      </c>
      <c r="E758" t="s">
        <v>10</v>
      </c>
      <c r="F758" t="str">
        <f>VLOOKUP(E758,Customer_Helper!$F$2:$G$13,2,FALSE)</f>
        <v>North</v>
      </c>
      <c r="G758" t="s">
        <v>186</v>
      </c>
    </row>
    <row r="759" spans="1:7" x14ac:dyDescent="0.25">
      <c r="A759" t="str">
        <f t="shared" si="11"/>
        <v>C0758</v>
      </c>
      <c r="B759" t="s">
        <v>1074</v>
      </c>
      <c r="C759" t="str">
        <f>VLOOKUP(LEFT(B759,FIND(" ",B759)-1),Customer_Helper!$A$2:$B$101,2,FALSE)</f>
        <v>Female</v>
      </c>
      <c r="D759">
        <v>58</v>
      </c>
      <c r="E759" t="s">
        <v>9</v>
      </c>
      <c r="F759" t="str">
        <f>VLOOKUP(E759,Customer_Helper!$F$2:$G$13,2,FALSE)</f>
        <v>North</v>
      </c>
      <c r="G759" t="s">
        <v>187</v>
      </c>
    </row>
    <row r="760" spans="1:7" x14ac:dyDescent="0.25">
      <c r="A760" t="str">
        <f t="shared" si="11"/>
        <v>C0759</v>
      </c>
      <c r="B760" t="s">
        <v>1075</v>
      </c>
      <c r="C760" t="str">
        <f>VLOOKUP(LEFT(B760,FIND(" ",B760)-1),Customer_Helper!$A$2:$B$101,2,FALSE)</f>
        <v>Female</v>
      </c>
      <c r="D760">
        <v>56</v>
      </c>
      <c r="E760" t="s">
        <v>289</v>
      </c>
      <c r="F760" t="str">
        <f>VLOOKUP(E760,Customer_Helper!$F$2:$G$13,2,FALSE)</f>
        <v>West</v>
      </c>
      <c r="G760" t="s">
        <v>187</v>
      </c>
    </row>
    <row r="761" spans="1:7" x14ac:dyDescent="0.25">
      <c r="A761" t="str">
        <f t="shared" si="11"/>
        <v>C0760</v>
      </c>
      <c r="B761" t="s">
        <v>435</v>
      </c>
      <c r="C761" t="str">
        <f>VLOOKUP(LEFT(B761,FIND(" ",B761)-1),Customer_Helper!$A$2:$B$101,2,FALSE)</f>
        <v>Male</v>
      </c>
      <c r="D761">
        <v>33</v>
      </c>
      <c r="E761" t="s">
        <v>290</v>
      </c>
      <c r="F761" t="str">
        <f>VLOOKUP(E761,Customer_Helper!$F$2:$G$13,2,FALSE)</f>
        <v>West</v>
      </c>
      <c r="G761" t="s">
        <v>186</v>
      </c>
    </row>
    <row r="762" spans="1:7" x14ac:dyDescent="0.25">
      <c r="A762" t="str">
        <f t="shared" si="11"/>
        <v>C0761</v>
      </c>
      <c r="B762" t="s">
        <v>1076</v>
      </c>
      <c r="C762" t="str">
        <f>VLOOKUP(LEFT(B762,FIND(" ",B762)-1),Customer_Helper!$A$2:$B$101,2,FALSE)</f>
        <v>Male</v>
      </c>
      <c r="D762">
        <v>30</v>
      </c>
      <c r="E762" t="s">
        <v>2</v>
      </c>
      <c r="F762" t="str">
        <f>VLOOKUP(E762,Customer_Helper!$F$2:$G$13,2,FALSE)</f>
        <v>West</v>
      </c>
      <c r="G762" t="s">
        <v>186</v>
      </c>
    </row>
    <row r="763" spans="1:7" x14ac:dyDescent="0.25">
      <c r="A763" t="str">
        <f t="shared" si="11"/>
        <v>C0762</v>
      </c>
      <c r="B763" t="s">
        <v>1077</v>
      </c>
      <c r="C763" t="str">
        <f>VLOOKUP(LEFT(B763,FIND(" ",B763)-1),Customer_Helper!$A$2:$B$101,2,FALSE)</f>
        <v>Female</v>
      </c>
      <c r="D763">
        <v>32</v>
      </c>
      <c r="E763" t="s">
        <v>16</v>
      </c>
      <c r="F763" t="str">
        <f>VLOOKUP(E763,Customer_Helper!$F$2:$G$13,2,FALSE)</f>
        <v>South</v>
      </c>
      <c r="G763" t="s">
        <v>186</v>
      </c>
    </row>
    <row r="764" spans="1:7" x14ac:dyDescent="0.25">
      <c r="A764" t="str">
        <f t="shared" si="11"/>
        <v>C0763</v>
      </c>
      <c r="B764" t="s">
        <v>1078</v>
      </c>
      <c r="C764" t="str">
        <f>VLOOKUP(LEFT(B764,FIND(" ",B764)-1),Customer_Helper!$A$2:$B$101,2,FALSE)</f>
        <v>Female</v>
      </c>
      <c r="D764">
        <v>58</v>
      </c>
      <c r="E764" t="s">
        <v>11</v>
      </c>
      <c r="F764" t="str">
        <f>VLOOKUP(E764,Customer_Helper!$F$2:$G$13,2,FALSE)</f>
        <v>East</v>
      </c>
      <c r="G764" t="s">
        <v>187</v>
      </c>
    </row>
    <row r="765" spans="1:7" x14ac:dyDescent="0.25">
      <c r="A765" t="str">
        <f t="shared" si="11"/>
        <v>C0764</v>
      </c>
      <c r="B765" t="s">
        <v>1079</v>
      </c>
      <c r="C765" t="str">
        <f>VLOOKUP(LEFT(B765,FIND(" ",B765)-1),Customer_Helper!$A$2:$B$101,2,FALSE)</f>
        <v>Female</v>
      </c>
      <c r="D765">
        <v>65</v>
      </c>
      <c r="E765" t="s">
        <v>4</v>
      </c>
      <c r="F765" t="str">
        <f>VLOOKUP(E765,Customer_Helper!$F$2:$G$13,2,FALSE)</f>
        <v>West</v>
      </c>
      <c r="G765" t="s">
        <v>185</v>
      </c>
    </row>
    <row r="766" spans="1:7" x14ac:dyDescent="0.25">
      <c r="A766" t="str">
        <f t="shared" si="11"/>
        <v>C0765</v>
      </c>
      <c r="B766" t="s">
        <v>1038</v>
      </c>
      <c r="C766" t="str">
        <f>VLOOKUP(LEFT(B766,FIND(" ",B766)-1),Customer_Helper!$A$2:$B$101,2,FALSE)</f>
        <v>Male</v>
      </c>
      <c r="D766">
        <v>59</v>
      </c>
      <c r="E766" t="s">
        <v>16</v>
      </c>
      <c r="F766" t="str">
        <f>VLOOKUP(E766,Customer_Helper!$F$2:$G$13,2,FALSE)</f>
        <v>South</v>
      </c>
      <c r="G766" t="s">
        <v>186</v>
      </c>
    </row>
    <row r="767" spans="1:7" x14ac:dyDescent="0.25">
      <c r="A767" t="str">
        <f t="shared" si="11"/>
        <v>C0766</v>
      </c>
      <c r="B767" t="s">
        <v>1080</v>
      </c>
      <c r="C767" t="str">
        <f>VLOOKUP(LEFT(B767,FIND(" ",B767)-1),Customer_Helper!$A$2:$B$101,2,FALSE)</f>
        <v>Female</v>
      </c>
      <c r="D767">
        <v>21</v>
      </c>
      <c r="E767" t="s">
        <v>289</v>
      </c>
      <c r="F767" t="str">
        <f>VLOOKUP(E767,Customer_Helper!$F$2:$G$13,2,FALSE)</f>
        <v>West</v>
      </c>
      <c r="G767" t="s">
        <v>185</v>
      </c>
    </row>
    <row r="768" spans="1:7" x14ac:dyDescent="0.25">
      <c r="A768" t="str">
        <f t="shared" si="11"/>
        <v>C0767</v>
      </c>
      <c r="B768" t="s">
        <v>1081</v>
      </c>
      <c r="C768" t="str">
        <f>VLOOKUP(LEFT(B768,FIND(" ",B768)-1),Customer_Helper!$A$2:$B$101,2,FALSE)</f>
        <v>Female</v>
      </c>
      <c r="D768">
        <v>47</v>
      </c>
      <c r="E768" t="s">
        <v>289</v>
      </c>
      <c r="F768" t="str">
        <f>VLOOKUP(E768,Customer_Helper!$F$2:$G$13,2,FALSE)</f>
        <v>West</v>
      </c>
      <c r="G768" t="s">
        <v>186</v>
      </c>
    </row>
    <row r="769" spans="1:7" x14ac:dyDescent="0.25">
      <c r="A769" t="str">
        <f t="shared" si="11"/>
        <v>C0768</v>
      </c>
      <c r="B769" t="s">
        <v>1082</v>
      </c>
      <c r="C769" t="str">
        <f>VLOOKUP(LEFT(B769,FIND(" ",B769)-1),Customer_Helper!$A$2:$B$101,2,FALSE)</f>
        <v>Female</v>
      </c>
      <c r="D769">
        <v>22</v>
      </c>
      <c r="E769" t="s">
        <v>11</v>
      </c>
      <c r="F769" t="str">
        <f>VLOOKUP(E769,Customer_Helper!$F$2:$G$13,2,FALSE)</f>
        <v>East</v>
      </c>
      <c r="G769" t="s">
        <v>186</v>
      </c>
    </row>
    <row r="770" spans="1:7" x14ac:dyDescent="0.25">
      <c r="A770" t="str">
        <f t="shared" si="11"/>
        <v>C0769</v>
      </c>
      <c r="B770" t="s">
        <v>1083</v>
      </c>
      <c r="C770" t="str">
        <f>VLOOKUP(LEFT(B770,FIND(" ",B770)-1),Customer_Helper!$A$2:$B$101,2,FALSE)</f>
        <v>Female</v>
      </c>
      <c r="D770">
        <v>62</v>
      </c>
      <c r="E770" t="s">
        <v>14</v>
      </c>
      <c r="F770" t="str">
        <f>VLOOKUP(E770,Customer_Helper!$F$2:$G$13,2,FALSE)</f>
        <v>South</v>
      </c>
      <c r="G770" t="s">
        <v>187</v>
      </c>
    </row>
    <row r="771" spans="1:7" x14ac:dyDescent="0.25">
      <c r="A771" t="str">
        <f t="shared" ref="A771:A834" si="12">"C"&amp;TEXT(ROW()-1,"0000")</f>
        <v>C0770</v>
      </c>
      <c r="B771" t="s">
        <v>998</v>
      </c>
      <c r="C771" t="str">
        <f>VLOOKUP(LEFT(B771,FIND(" ",B771)-1),Customer_Helper!$A$2:$B$101,2,FALSE)</f>
        <v>Male</v>
      </c>
      <c r="D771">
        <v>50</v>
      </c>
      <c r="E771" t="s">
        <v>17</v>
      </c>
      <c r="F771" t="str">
        <f>VLOOKUP(E771,Customer_Helper!$F$2:$G$13,2,FALSE)</f>
        <v>South</v>
      </c>
      <c r="G771" t="s">
        <v>187</v>
      </c>
    </row>
    <row r="772" spans="1:7" x14ac:dyDescent="0.25">
      <c r="A772" t="str">
        <f t="shared" si="12"/>
        <v>C0771</v>
      </c>
      <c r="B772" t="s">
        <v>1084</v>
      </c>
      <c r="C772" t="str">
        <f>VLOOKUP(LEFT(B772,FIND(" ",B772)-1),Customer_Helper!$A$2:$B$101,2,FALSE)</f>
        <v>Female</v>
      </c>
      <c r="D772">
        <v>28</v>
      </c>
      <c r="E772" t="s">
        <v>10</v>
      </c>
      <c r="F772" t="str">
        <f>VLOOKUP(E772,Customer_Helper!$F$2:$G$13,2,FALSE)</f>
        <v>North</v>
      </c>
      <c r="G772" t="s">
        <v>186</v>
      </c>
    </row>
    <row r="773" spans="1:7" x14ac:dyDescent="0.25">
      <c r="A773" t="str">
        <f t="shared" si="12"/>
        <v>C0772</v>
      </c>
      <c r="B773" t="s">
        <v>591</v>
      </c>
      <c r="C773" t="str">
        <f>VLOOKUP(LEFT(B773,FIND(" ",B773)-1),Customer_Helper!$A$2:$B$101,2,FALSE)</f>
        <v>Female</v>
      </c>
      <c r="D773">
        <v>39</v>
      </c>
      <c r="E773" t="s">
        <v>10</v>
      </c>
      <c r="F773" t="str">
        <f>VLOOKUP(E773,Customer_Helper!$F$2:$G$13,2,FALSE)</f>
        <v>North</v>
      </c>
      <c r="G773" t="s">
        <v>186</v>
      </c>
    </row>
    <row r="774" spans="1:7" x14ac:dyDescent="0.25">
      <c r="A774" t="str">
        <f t="shared" si="12"/>
        <v>C0773</v>
      </c>
      <c r="B774" t="s">
        <v>1085</v>
      </c>
      <c r="C774" t="str">
        <f>VLOOKUP(LEFT(B774,FIND(" ",B774)-1),Customer_Helper!$A$2:$B$101,2,FALSE)</f>
        <v>Female</v>
      </c>
      <c r="D774">
        <v>49</v>
      </c>
      <c r="E774" t="s">
        <v>14</v>
      </c>
      <c r="F774" t="str">
        <f>VLOOKUP(E774,Customer_Helper!$F$2:$G$13,2,FALSE)</f>
        <v>South</v>
      </c>
      <c r="G774" t="s">
        <v>186</v>
      </c>
    </row>
    <row r="775" spans="1:7" x14ac:dyDescent="0.25">
      <c r="A775" t="str">
        <f t="shared" si="12"/>
        <v>C0774</v>
      </c>
      <c r="B775" t="s">
        <v>1086</v>
      </c>
      <c r="C775" t="str">
        <f>VLOOKUP(LEFT(B775,FIND(" ",B775)-1),Customer_Helper!$A$2:$B$101,2,FALSE)</f>
        <v>Female</v>
      </c>
      <c r="D775">
        <v>24</v>
      </c>
      <c r="E775" t="s">
        <v>2</v>
      </c>
      <c r="F775" t="str">
        <f>VLOOKUP(E775,Customer_Helper!$F$2:$G$13,2,FALSE)</f>
        <v>West</v>
      </c>
      <c r="G775" t="s">
        <v>185</v>
      </c>
    </row>
    <row r="776" spans="1:7" x14ac:dyDescent="0.25">
      <c r="A776" t="str">
        <f t="shared" si="12"/>
        <v>C0775</v>
      </c>
      <c r="B776" t="s">
        <v>636</v>
      </c>
      <c r="C776" t="str">
        <f>VLOOKUP(LEFT(B776,FIND(" ",B776)-1),Customer_Helper!$A$2:$B$101,2,FALSE)</f>
        <v>Male</v>
      </c>
      <c r="D776">
        <v>43</v>
      </c>
      <c r="E776" t="s">
        <v>2</v>
      </c>
      <c r="F776" t="str">
        <f>VLOOKUP(E776,Customer_Helper!$F$2:$G$13,2,FALSE)</f>
        <v>West</v>
      </c>
      <c r="G776" t="s">
        <v>185</v>
      </c>
    </row>
    <row r="777" spans="1:7" x14ac:dyDescent="0.25">
      <c r="A777" t="str">
        <f t="shared" si="12"/>
        <v>C0776</v>
      </c>
      <c r="B777" t="s">
        <v>1087</v>
      </c>
      <c r="C777" t="str">
        <f>VLOOKUP(LEFT(B777,FIND(" ",B777)-1),Customer_Helper!$A$2:$B$101,2,FALSE)</f>
        <v>Male</v>
      </c>
      <c r="D777">
        <v>56</v>
      </c>
      <c r="E777" t="s">
        <v>16</v>
      </c>
      <c r="F777" t="str">
        <f>VLOOKUP(E777,Customer_Helper!$F$2:$G$13,2,FALSE)</f>
        <v>South</v>
      </c>
      <c r="G777" t="s">
        <v>187</v>
      </c>
    </row>
    <row r="778" spans="1:7" x14ac:dyDescent="0.25">
      <c r="A778" t="str">
        <f t="shared" si="12"/>
        <v>C0777</v>
      </c>
      <c r="B778" t="s">
        <v>1088</v>
      </c>
      <c r="C778" t="str">
        <f>VLOOKUP(LEFT(B778,FIND(" ",B778)-1),Customer_Helper!$A$2:$B$101,2,FALSE)</f>
        <v>Female</v>
      </c>
      <c r="D778">
        <v>30</v>
      </c>
      <c r="E778" t="s">
        <v>11</v>
      </c>
      <c r="F778" t="str">
        <f>VLOOKUP(E778,Customer_Helper!$F$2:$G$13,2,FALSE)</f>
        <v>East</v>
      </c>
      <c r="G778" t="s">
        <v>186</v>
      </c>
    </row>
    <row r="779" spans="1:7" x14ac:dyDescent="0.25">
      <c r="A779" t="str">
        <f t="shared" si="12"/>
        <v>C0778</v>
      </c>
      <c r="B779" t="s">
        <v>1089</v>
      </c>
      <c r="C779" t="str">
        <f>VLOOKUP(LEFT(B779,FIND(" ",B779)-1),Customer_Helper!$A$2:$B$101,2,FALSE)</f>
        <v>Male</v>
      </c>
      <c r="D779">
        <v>49</v>
      </c>
      <c r="E779" t="s">
        <v>4</v>
      </c>
      <c r="F779" t="str">
        <f>VLOOKUP(E779,Customer_Helper!$F$2:$G$13,2,FALSE)</f>
        <v>West</v>
      </c>
      <c r="G779" t="s">
        <v>185</v>
      </c>
    </row>
    <row r="780" spans="1:7" x14ac:dyDescent="0.25">
      <c r="A780" t="str">
        <f t="shared" si="12"/>
        <v>C0779</v>
      </c>
      <c r="B780" t="s">
        <v>1090</v>
      </c>
      <c r="C780" t="str">
        <f>VLOOKUP(LEFT(B780,FIND(" ",B780)-1),Customer_Helper!$A$2:$B$101,2,FALSE)</f>
        <v>Female</v>
      </c>
      <c r="D780">
        <v>44</v>
      </c>
      <c r="E780" t="s">
        <v>11</v>
      </c>
      <c r="F780" t="str">
        <f>VLOOKUP(E780,Customer_Helper!$F$2:$G$13,2,FALSE)</f>
        <v>East</v>
      </c>
      <c r="G780" t="s">
        <v>186</v>
      </c>
    </row>
    <row r="781" spans="1:7" x14ac:dyDescent="0.25">
      <c r="A781" t="str">
        <f t="shared" si="12"/>
        <v>C0780</v>
      </c>
      <c r="B781" t="s">
        <v>1091</v>
      </c>
      <c r="C781" t="str">
        <f>VLOOKUP(LEFT(B781,FIND(" ",B781)-1),Customer_Helper!$A$2:$B$101,2,FALSE)</f>
        <v>Female</v>
      </c>
      <c r="D781">
        <v>58</v>
      </c>
      <c r="E781" t="s">
        <v>11</v>
      </c>
      <c r="F781" t="str">
        <f>VLOOKUP(E781,Customer_Helper!$F$2:$G$13,2,FALSE)</f>
        <v>East</v>
      </c>
      <c r="G781" t="s">
        <v>187</v>
      </c>
    </row>
    <row r="782" spans="1:7" x14ac:dyDescent="0.25">
      <c r="A782" t="str">
        <f t="shared" si="12"/>
        <v>C0781</v>
      </c>
      <c r="B782" t="s">
        <v>1092</v>
      </c>
      <c r="C782" t="str">
        <f>VLOOKUP(LEFT(B782,FIND(" ",B782)-1),Customer_Helper!$A$2:$B$101,2,FALSE)</f>
        <v>Female</v>
      </c>
      <c r="D782">
        <v>62</v>
      </c>
      <c r="E782" t="s">
        <v>9</v>
      </c>
      <c r="F782" t="str">
        <f>VLOOKUP(E782,Customer_Helper!$F$2:$G$13,2,FALSE)</f>
        <v>North</v>
      </c>
      <c r="G782" t="s">
        <v>187</v>
      </c>
    </row>
    <row r="783" spans="1:7" x14ac:dyDescent="0.25">
      <c r="A783" t="str">
        <f t="shared" si="12"/>
        <v>C0782</v>
      </c>
      <c r="B783" t="s">
        <v>1093</v>
      </c>
      <c r="C783" t="str">
        <f>VLOOKUP(LEFT(B783,FIND(" ",B783)-1),Customer_Helper!$A$2:$B$101,2,FALSE)</f>
        <v>Female</v>
      </c>
      <c r="D783">
        <v>32</v>
      </c>
      <c r="E783" t="s">
        <v>290</v>
      </c>
      <c r="F783" t="str">
        <f>VLOOKUP(E783,Customer_Helper!$F$2:$G$13,2,FALSE)</f>
        <v>West</v>
      </c>
      <c r="G783" t="s">
        <v>186</v>
      </c>
    </row>
    <row r="784" spans="1:7" x14ac:dyDescent="0.25">
      <c r="A784" t="str">
        <f t="shared" si="12"/>
        <v>C0783</v>
      </c>
      <c r="B784" t="s">
        <v>1094</v>
      </c>
      <c r="C784" t="str">
        <f>VLOOKUP(LEFT(B784,FIND(" ",B784)-1),Customer_Helper!$A$2:$B$101,2,FALSE)</f>
        <v>Male</v>
      </c>
      <c r="D784">
        <v>58</v>
      </c>
      <c r="E784" t="s">
        <v>2</v>
      </c>
      <c r="F784" t="str">
        <f>VLOOKUP(E784,Customer_Helper!$F$2:$G$13,2,FALSE)</f>
        <v>West</v>
      </c>
      <c r="G784" t="s">
        <v>187</v>
      </c>
    </row>
    <row r="785" spans="1:7" x14ac:dyDescent="0.25">
      <c r="A785" t="str">
        <f t="shared" si="12"/>
        <v>C0784</v>
      </c>
      <c r="B785" t="s">
        <v>1095</v>
      </c>
      <c r="C785" t="str">
        <f>VLOOKUP(LEFT(B785,FIND(" ",B785)-1),Customer_Helper!$A$2:$B$101,2,FALSE)</f>
        <v>Male</v>
      </c>
      <c r="D785">
        <v>52</v>
      </c>
      <c r="E785" t="s">
        <v>7</v>
      </c>
      <c r="F785" t="str">
        <f>VLOOKUP(E785,Customer_Helper!$F$2:$G$13,2,FALSE)</f>
        <v>North</v>
      </c>
      <c r="G785" t="s">
        <v>185</v>
      </c>
    </row>
    <row r="786" spans="1:7" x14ac:dyDescent="0.25">
      <c r="A786" t="str">
        <f t="shared" si="12"/>
        <v>C0785</v>
      </c>
      <c r="B786" t="s">
        <v>1096</v>
      </c>
      <c r="C786" t="str">
        <f>VLOOKUP(LEFT(B786,FIND(" ",B786)-1),Customer_Helper!$A$2:$B$101,2,FALSE)</f>
        <v>Female</v>
      </c>
      <c r="D786">
        <v>19</v>
      </c>
      <c r="E786" t="s">
        <v>289</v>
      </c>
      <c r="F786" t="str">
        <f>VLOOKUP(E786,Customer_Helper!$F$2:$G$13,2,FALSE)</f>
        <v>West</v>
      </c>
      <c r="G786" t="s">
        <v>187</v>
      </c>
    </row>
    <row r="787" spans="1:7" x14ac:dyDescent="0.25">
      <c r="A787" t="str">
        <f t="shared" si="12"/>
        <v>C0786</v>
      </c>
      <c r="B787" t="s">
        <v>1097</v>
      </c>
      <c r="C787" t="str">
        <f>VLOOKUP(LEFT(B787,FIND(" ",B787)-1),Customer_Helper!$A$2:$B$101,2,FALSE)</f>
        <v>Female</v>
      </c>
      <c r="D787">
        <v>41</v>
      </c>
      <c r="E787" t="s">
        <v>2</v>
      </c>
      <c r="F787" t="str">
        <f>VLOOKUP(E787,Customer_Helper!$F$2:$G$13,2,FALSE)</f>
        <v>West</v>
      </c>
      <c r="G787" t="s">
        <v>185</v>
      </c>
    </row>
    <row r="788" spans="1:7" x14ac:dyDescent="0.25">
      <c r="A788" t="str">
        <f t="shared" si="12"/>
        <v>C0787</v>
      </c>
      <c r="B788" t="s">
        <v>1098</v>
      </c>
      <c r="C788" t="str">
        <f>VLOOKUP(LEFT(B788,FIND(" ",B788)-1),Customer_Helper!$A$2:$B$101,2,FALSE)</f>
        <v>Male</v>
      </c>
      <c r="D788">
        <v>31</v>
      </c>
      <c r="E788" t="s">
        <v>10</v>
      </c>
      <c r="F788" t="str">
        <f>VLOOKUP(E788,Customer_Helper!$F$2:$G$13,2,FALSE)</f>
        <v>North</v>
      </c>
      <c r="G788" t="s">
        <v>187</v>
      </c>
    </row>
    <row r="789" spans="1:7" x14ac:dyDescent="0.25">
      <c r="A789" t="str">
        <f t="shared" si="12"/>
        <v>C0788</v>
      </c>
      <c r="B789" t="s">
        <v>1099</v>
      </c>
      <c r="C789" t="str">
        <f>VLOOKUP(LEFT(B789,FIND(" ",B789)-1),Customer_Helper!$A$2:$B$101,2,FALSE)</f>
        <v>Female</v>
      </c>
      <c r="D789">
        <v>20</v>
      </c>
      <c r="E789" t="s">
        <v>11</v>
      </c>
      <c r="F789" t="str">
        <f>VLOOKUP(E789,Customer_Helper!$F$2:$G$13,2,FALSE)</f>
        <v>East</v>
      </c>
      <c r="G789" t="s">
        <v>186</v>
      </c>
    </row>
    <row r="790" spans="1:7" x14ac:dyDescent="0.25">
      <c r="A790" t="str">
        <f t="shared" si="12"/>
        <v>C0789</v>
      </c>
      <c r="B790" t="s">
        <v>1100</v>
      </c>
      <c r="C790" t="str">
        <f>VLOOKUP(LEFT(B790,FIND(" ",B790)-1),Customer_Helper!$A$2:$B$101,2,FALSE)</f>
        <v>Female</v>
      </c>
      <c r="D790">
        <v>33</v>
      </c>
      <c r="E790" t="s">
        <v>11</v>
      </c>
      <c r="F790" t="str">
        <f>VLOOKUP(E790,Customer_Helper!$F$2:$G$13,2,FALSE)</f>
        <v>East</v>
      </c>
      <c r="G790" t="s">
        <v>185</v>
      </c>
    </row>
    <row r="791" spans="1:7" x14ac:dyDescent="0.25">
      <c r="A791" t="str">
        <f t="shared" si="12"/>
        <v>C0790</v>
      </c>
      <c r="B791" t="s">
        <v>1101</v>
      </c>
      <c r="C791" t="str">
        <f>VLOOKUP(LEFT(B791,FIND(" ",B791)-1),Customer_Helper!$A$2:$B$101,2,FALSE)</f>
        <v>Male</v>
      </c>
      <c r="D791">
        <v>37</v>
      </c>
      <c r="E791" t="s">
        <v>17</v>
      </c>
      <c r="F791" t="str">
        <f>VLOOKUP(E791,Customer_Helper!$F$2:$G$13,2,FALSE)</f>
        <v>South</v>
      </c>
      <c r="G791" t="s">
        <v>187</v>
      </c>
    </row>
    <row r="792" spans="1:7" x14ac:dyDescent="0.25">
      <c r="A792" t="str">
        <f t="shared" si="12"/>
        <v>C0791</v>
      </c>
      <c r="B792" t="s">
        <v>1102</v>
      </c>
      <c r="C792" t="str">
        <f>VLOOKUP(LEFT(B792,FIND(" ",B792)-1),Customer_Helper!$A$2:$B$101,2,FALSE)</f>
        <v>Female</v>
      </c>
      <c r="D792">
        <v>62</v>
      </c>
      <c r="E792" t="s">
        <v>16</v>
      </c>
      <c r="F792" t="str">
        <f>VLOOKUP(E792,Customer_Helper!$F$2:$G$13,2,FALSE)</f>
        <v>South</v>
      </c>
      <c r="G792" t="s">
        <v>185</v>
      </c>
    </row>
    <row r="793" spans="1:7" x14ac:dyDescent="0.25">
      <c r="A793" t="str">
        <f t="shared" si="12"/>
        <v>C0792</v>
      </c>
      <c r="B793" t="s">
        <v>1103</v>
      </c>
      <c r="C793" t="str">
        <f>VLOOKUP(LEFT(B793,FIND(" ",B793)-1),Customer_Helper!$A$2:$B$101,2,FALSE)</f>
        <v>Male</v>
      </c>
      <c r="D793">
        <v>36</v>
      </c>
      <c r="E793" t="s">
        <v>16</v>
      </c>
      <c r="F793" t="str">
        <f>VLOOKUP(E793,Customer_Helper!$F$2:$G$13,2,FALSE)</f>
        <v>South</v>
      </c>
      <c r="G793" t="s">
        <v>186</v>
      </c>
    </row>
    <row r="794" spans="1:7" x14ac:dyDescent="0.25">
      <c r="A794" t="str">
        <f t="shared" si="12"/>
        <v>C0793</v>
      </c>
      <c r="B794" t="s">
        <v>1104</v>
      </c>
      <c r="C794" t="str">
        <f>VLOOKUP(LEFT(B794,FIND(" ",B794)-1),Customer_Helper!$A$2:$B$101,2,FALSE)</f>
        <v>Female</v>
      </c>
      <c r="D794">
        <v>35</v>
      </c>
      <c r="E794" t="s">
        <v>17</v>
      </c>
      <c r="F794" t="str">
        <f>VLOOKUP(E794,Customer_Helper!$F$2:$G$13,2,FALSE)</f>
        <v>South</v>
      </c>
      <c r="G794" t="s">
        <v>187</v>
      </c>
    </row>
    <row r="795" spans="1:7" x14ac:dyDescent="0.25">
      <c r="A795" t="str">
        <f t="shared" si="12"/>
        <v>C0794</v>
      </c>
      <c r="B795" t="s">
        <v>1105</v>
      </c>
      <c r="C795" t="str">
        <f>VLOOKUP(LEFT(B795,FIND(" ",B795)-1),Customer_Helper!$A$2:$B$101,2,FALSE)</f>
        <v>Female</v>
      </c>
      <c r="D795">
        <v>50</v>
      </c>
      <c r="E795" t="s">
        <v>14</v>
      </c>
      <c r="F795" t="str">
        <f>VLOOKUP(E795,Customer_Helper!$F$2:$G$13,2,FALSE)</f>
        <v>South</v>
      </c>
      <c r="G795" t="s">
        <v>186</v>
      </c>
    </row>
    <row r="796" spans="1:7" x14ac:dyDescent="0.25">
      <c r="A796" t="str">
        <f t="shared" si="12"/>
        <v>C0795</v>
      </c>
      <c r="B796" t="s">
        <v>1106</v>
      </c>
      <c r="C796" t="str">
        <f>VLOOKUP(LEFT(B796,FIND(" ",B796)-1),Customer_Helper!$A$2:$B$101,2,FALSE)</f>
        <v>Male</v>
      </c>
      <c r="D796">
        <v>41</v>
      </c>
      <c r="E796" t="s">
        <v>290</v>
      </c>
      <c r="F796" t="str">
        <f>VLOOKUP(E796,Customer_Helper!$F$2:$G$13,2,FALSE)</f>
        <v>West</v>
      </c>
      <c r="G796" t="s">
        <v>187</v>
      </c>
    </row>
    <row r="797" spans="1:7" x14ac:dyDescent="0.25">
      <c r="A797" t="str">
        <f t="shared" si="12"/>
        <v>C0796</v>
      </c>
      <c r="B797" t="s">
        <v>1107</v>
      </c>
      <c r="C797" t="str">
        <f>VLOOKUP(LEFT(B797,FIND(" ",B797)-1),Customer_Helper!$A$2:$B$101,2,FALSE)</f>
        <v>Female</v>
      </c>
      <c r="D797">
        <v>31</v>
      </c>
      <c r="E797" t="s">
        <v>16</v>
      </c>
      <c r="F797" t="str">
        <f>VLOOKUP(E797,Customer_Helper!$F$2:$G$13,2,FALSE)</f>
        <v>South</v>
      </c>
      <c r="G797" t="s">
        <v>185</v>
      </c>
    </row>
    <row r="798" spans="1:7" x14ac:dyDescent="0.25">
      <c r="A798" t="str">
        <f t="shared" si="12"/>
        <v>C0797</v>
      </c>
      <c r="B798" t="s">
        <v>1108</v>
      </c>
      <c r="C798" t="str">
        <f>VLOOKUP(LEFT(B798,FIND(" ",B798)-1),Customer_Helper!$A$2:$B$101,2,FALSE)</f>
        <v>Female</v>
      </c>
      <c r="D798">
        <v>42</v>
      </c>
      <c r="E798" t="s">
        <v>2</v>
      </c>
      <c r="F798" t="str">
        <f>VLOOKUP(E798,Customer_Helper!$F$2:$G$13,2,FALSE)</f>
        <v>West</v>
      </c>
      <c r="G798" t="s">
        <v>186</v>
      </c>
    </row>
    <row r="799" spans="1:7" x14ac:dyDescent="0.25">
      <c r="A799" t="str">
        <f t="shared" si="12"/>
        <v>C0798</v>
      </c>
      <c r="B799" t="s">
        <v>1109</v>
      </c>
      <c r="C799" t="str">
        <f>VLOOKUP(LEFT(B799,FIND(" ",B799)-1),Customer_Helper!$A$2:$B$101,2,FALSE)</f>
        <v>Female</v>
      </c>
      <c r="D799">
        <v>44</v>
      </c>
      <c r="E799" t="s">
        <v>16</v>
      </c>
      <c r="F799" t="str">
        <f>VLOOKUP(E799,Customer_Helper!$F$2:$G$13,2,FALSE)</f>
        <v>South</v>
      </c>
      <c r="G799" t="s">
        <v>186</v>
      </c>
    </row>
    <row r="800" spans="1:7" x14ac:dyDescent="0.25">
      <c r="A800" t="str">
        <f t="shared" si="12"/>
        <v>C0799</v>
      </c>
      <c r="B800" t="s">
        <v>1110</v>
      </c>
      <c r="C800" t="str">
        <f>VLOOKUP(LEFT(B800,FIND(" ",B800)-1),Customer_Helper!$A$2:$B$101,2,FALSE)</f>
        <v>Female</v>
      </c>
      <c r="D800">
        <v>25</v>
      </c>
      <c r="E800" t="s">
        <v>5</v>
      </c>
      <c r="F800" t="str">
        <f>VLOOKUP(E800,Customer_Helper!$F$2:$G$13,2,FALSE)</f>
        <v>West</v>
      </c>
      <c r="G800" t="s">
        <v>186</v>
      </c>
    </row>
    <row r="801" spans="1:7" x14ac:dyDescent="0.25">
      <c r="A801" t="str">
        <f t="shared" si="12"/>
        <v>C0800</v>
      </c>
      <c r="B801" t="s">
        <v>1111</v>
      </c>
      <c r="C801" t="str">
        <f>VLOOKUP(LEFT(B801,FIND(" ",B801)-1),Customer_Helper!$A$2:$B$101,2,FALSE)</f>
        <v>Female</v>
      </c>
      <c r="D801">
        <v>37</v>
      </c>
      <c r="E801" t="s">
        <v>7</v>
      </c>
      <c r="F801" t="str">
        <f>VLOOKUP(E801,Customer_Helper!$F$2:$G$13,2,FALSE)</f>
        <v>North</v>
      </c>
      <c r="G801" t="s">
        <v>185</v>
      </c>
    </row>
    <row r="802" spans="1:7" x14ac:dyDescent="0.25">
      <c r="A802" t="str">
        <f t="shared" si="12"/>
        <v>C0801</v>
      </c>
      <c r="B802" t="s">
        <v>1112</v>
      </c>
      <c r="C802" t="str">
        <f>VLOOKUP(LEFT(B802,FIND(" ",B802)-1),Customer_Helper!$A$2:$B$101,2,FALSE)</f>
        <v>Female</v>
      </c>
      <c r="D802">
        <v>43</v>
      </c>
      <c r="E802" t="s">
        <v>290</v>
      </c>
      <c r="F802" t="str">
        <f>VLOOKUP(E802,Customer_Helper!$F$2:$G$13,2,FALSE)</f>
        <v>West</v>
      </c>
      <c r="G802" t="s">
        <v>187</v>
      </c>
    </row>
    <row r="803" spans="1:7" x14ac:dyDescent="0.25">
      <c r="A803" t="str">
        <f t="shared" si="12"/>
        <v>C0802</v>
      </c>
      <c r="B803" t="s">
        <v>1113</v>
      </c>
      <c r="C803" t="str">
        <f>VLOOKUP(LEFT(B803,FIND(" ",B803)-1),Customer_Helper!$A$2:$B$101,2,FALSE)</f>
        <v>Male</v>
      </c>
      <c r="D803">
        <v>50</v>
      </c>
      <c r="E803" t="s">
        <v>14</v>
      </c>
      <c r="F803" t="str">
        <f>VLOOKUP(E803,Customer_Helper!$F$2:$G$13,2,FALSE)</f>
        <v>South</v>
      </c>
      <c r="G803" t="s">
        <v>186</v>
      </c>
    </row>
    <row r="804" spans="1:7" x14ac:dyDescent="0.25">
      <c r="A804" t="str">
        <f t="shared" si="12"/>
        <v>C0803</v>
      </c>
      <c r="B804" t="s">
        <v>1114</v>
      </c>
      <c r="C804" t="str">
        <f>VLOOKUP(LEFT(B804,FIND(" ",B804)-1),Customer_Helper!$A$2:$B$101,2,FALSE)</f>
        <v>Female</v>
      </c>
      <c r="D804">
        <v>60</v>
      </c>
      <c r="E804" t="s">
        <v>7</v>
      </c>
      <c r="F804" t="str">
        <f>VLOOKUP(E804,Customer_Helper!$F$2:$G$13,2,FALSE)</f>
        <v>North</v>
      </c>
      <c r="G804" t="s">
        <v>186</v>
      </c>
    </row>
    <row r="805" spans="1:7" x14ac:dyDescent="0.25">
      <c r="A805" t="str">
        <f t="shared" si="12"/>
        <v>C0804</v>
      </c>
      <c r="B805" t="s">
        <v>1115</v>
      </c>
      <c r="C805" t="str">
        <f>VLOOKUP(LEFT(B805,FIND(" ",B805)-1),Customer_Helper!$A$2:$B$101,2,FALSE)</f>
        <v>Male</v>
      </c>
      <c r="D805">
        <v>64</v>
      </c>
      <c r="E805" t="s">
        <v>289</v>
      </c>
      <c r="F805" t="str">
        <f>VLOOKUP(E805,Customer_Helper!$F$2:$G$13,2,FALSE)</f>
        <v>West</v>
      </c>
      <c r="G805" t="s">
        <v>187</v>
      </c>
    </row>
    <row r="806" spans="1:7" x14ac:dyDescent="0.25">
      <c r="A806" t="str">
        <f t="shared" si="12"/>
        <v>C0805</v>
      </c>
      <c r="B806" t="s">
        <v>491</v>
      </c>
      <c r="C806" t="str">
        <f>VLOOKUP(LEFT(B806,FIND(" ",B806)-1),Customer_Helper!$A$2:$B$101,2,FALSE)</f>
        <v>Male</v>
      </c>
      <c r="D806">
        <v>60</v>
      </c>
      <c r="E806" t="s">
        <v>289</v>
      </c>
      <c r="F806" t="str">
        <f>VLOOKUP(E806,Customer_Helper!$F$2:$G$13,2,FALSE)</f>
        <v>West</v>
      </c>
      <c r="G806" t="s">
        <v>185</v>
      </c>
    </row>
    <row r="807" spans="1:7" x14ac:dyDescent="0.25">
      <c r="A807" t="str">
        <f t="shared" si="12"/>
        <v>C0806</v>
      </c>
      <c r="B807" t="s">
        <v>1116</v>
      </c>
      <c r="C807" t="str">
        <f>VLOOKUP(LEFT(B807,FIND(" ",B807)-1),Customer_Helper!$A$2:$B$101,2,FALSE)</f>
        <v>Female</v>
      </c>
      <c r="D807">
        <v>20</v>
      </c>
      <c r="E807" t="s">
        <v>16</v>
      </c>
      <c r="F807" t="str">
        <f>VLOOKUP(E807,Customer_Helper!$F$2:$G$13,2,FALSE)</f>
        <v>South</v>
      </c>
      <c r="G807" t="s">
        <v>187</v>
      </c>
    </row>
    <row r="808" spans="1:7" x14ac:dyDescent="0.25">
      <c r="A808" t="str">
        <f t="shared" si="12"/>
        <v>C0807</v>
      </c>
      <c r="B808" t="s">
        <v>931</v>
      </c>
      <c r="C808" t="str">
        <f>VLOOKUP(LEFT(B808,FIND(" ",B808)-1),Customer_Helper!$A$2:$B$101,2,FALSE)</f>
        <v>Female</v>
      </c>
      <c r="D808">
        <v>23</v>
      </c>
      <c r="E808" t="s">
        <v>17</v>
      </c>
      <c r="F808" t="str">
        <f>VLOOKUP(E808,Customer_Helper!$F$2:$G$13,2,FALSE)</f>
        <v>South</v>
      </c>
      <c r="G808" t="s">
        <v>185</v>
      </c>
    </row>
    <row r="809" spans="1:7" x14ac:dyDescent="0.25">
      <c r="A809" t="str">
        <f t="shared" si="12"/>
        <v>C0808</v>
      </c>
      <c r="B809" t="s">
        <v>1117</v>
      </c>
      <c r="C809" t="str">
        <f>VLOOKUP(LEFT(B809,FIND(" ",B809)-1),Customer_Helper!$A$2:$B$101,2,FALSE)</f>
        <v>Male</v>
      </c>
      <c r="D809">
        <v>36</v>
      </c>
      <c r="E809" t="s">
        <v>17</v>
      </c>
      <c r="F809" t="str">
        <f>VLOOKUP(E809,Customer_Helper!$F$2:$G$13,2,FALSE)</f>
        <v>South</v>
      </c>
      <c r="G809" t="s">
        <v>186</v>
      </c>
    </row>
    <row r="810" spans="1:7" x14ac:dyDescent="0.25">
      <c r="A810" t="str">
        <f t="shared" si="12"/>
        <v>C0809</v>
      </c>
      <c r="B810" t="s">
        <v>1118</v>
      </c>
      <c r="C810" t="str">
        <f>VLOOKUP(LEFT(B810,FIND(" ",B810)-1),Customer_Helper!$A$2:$B$101,2,FALSE)</f>
        <v>Female</v>
      </c>
      <c r="D810">
        <v>28</v>
      </c>
      <c r="E810" t="s">
        <v>14</v>
      </c>
      <c r="F810" t="str">
        <f>VLOOKUP(E810,Customer_Helper!$F$2:$G$13,2,FALSE)</f>
        <v>South</v>
      </c>
      <c r="G810" t="s">
        <v>187</v>
      </c>
    </row>
    <row r="811" spans="1:7" x14ac:dyDescent="0.25">
      <c r="A811" t="str">
        <f t="shared" si="12"/>
        <v>C0810</v>
      </c>
      <c r="B811" t="s">
        <v>1119</v>
      </c>
      <c r="C811" t="str">
        <f>VLOOKUP(LEFT(B811,FIND(" ",B811)-1),Customer_Helper!$A$2:$B$101,2,FALSE)</f>
        <v>Male</v>
      </c>
      <c r="D811">
        <v>22</v>
      </c>
      <c r="E811" t="s">
        <v>2</v>
      </c>
      <c r="F811" t="str">
        <f>VLOOKUP(E811,Customer_Helper!$F$2:$G$13,2,FALSE)</f>
        <v>West</v>
      </c>
      <c r="G811" t="s">
        <v>186</v>
      </c>
    </row>
    <row r="812" spans="1:7" x14ac:dyDescent="0.25">
      <c r="A812" t="str">
        <f t="shared" si="12"/>
        <v>C0811</v>
      </c>
      <c r="B812" t="s">
        <v>430</v>
      </c>
      <c r="C812" t="str">
        <f>VLOOKUP(LEFT(B812,FIND(" ",B812)-1),Customer_Helper!$A$2:$B$101,2,FALSE)</f>
        <v>Female</v>
      </c>
      <c r="D812">
        <v>49</v>
      </c>
      <c r="E812" t="s">
        <v>290</v>
      </c>
      <c r="F812" t="str">
        <f>VLOOKUP(E812,Customer_Helper!$F$2:$G$13,2,FALSE)</f>
        <v>West</v>
      </c>
      <c r="G812" t="s">
        <v>187</v>
      </c>
    </row>
    <row r="813" spans="1:7" x14ac:dyDescent="0.25">
      <c r="A813" t="str">
        <f t="shared" si="12"/>
        <v>C0812</v>
      </c>
      <c r="B813" t="s">
        <v>1120</v>
      </c>
      <c r="C813" t="str">
        <f>VLOOKUP(LEFT(B813,FIND(" ",B813)-1),Customer_Helper!$A$2:$B$101,2,FALSE)</f>
        <v>Female</v>
      </c>
      <c r="D813">
        <v>50</v>
      </c>
      <c r="E813" t="s">
        <v>5</v>
      </c>
      <c r="F813" t="str">
        <f>VLOOKUP(E813,Customer_Helper!$F$2:$G$13,2,FALSE)</f>
        <v>West</v>
      </c>
      <c r="G813" t="s">
        <v>185</v>
      </c>
    </row>
    <row r="814" spans="1:7" x14ac:dyDescent="0.25">
      <c r="A814" t="str">
        <f t="shared" si="12"/>
        <v>C0813</v>
      </c>
      <c r="B814" t="s">
        <v>1121</v>
      </c>
      <c r="C814" t="str">
        <f>VLOOKUP(LEFT(B814,FIND(" ",B814)-1),Customer_Helper!$A$2:$B$101,2,FALSE)</f>
        <v>Female</v>
      </c>
      <c r="D814">
        <v>39</v>
      </c>
      <c r="E814" t="s">
        <v>5</v>
      </c>
      <c r="F814" t="str">
        <f>VLOOKUP(E814,Customer_Helper!$F$2:$G$13,2,FALSE)</f>
        <v>West</v>
      </c>
      <c r="G814" t="s">
        <v>185</v>
      </c>
    </row>
    <row r="815" spans="1:7" x14ac:dyDescent="0.25">
      <c r="A815" t="str">
        <f t="shared" si="12"/>
        <v>C0814</v>
      </c>
      <c r="B815" t="s">
        <v>1122</v>
      </c>
      <c r="C815" t="str">
        <f>VLOOKUP(LEFT(B815,FIND(" ",B815)-1),Customer_Helper!$A$2:$B$101,2,FALSE)</f>
        <v>Male</v>
      </c>
      <c r="D815">
        <v>30</v>
      </c>
      <c r="E815" t="s">
        <v>4</v>
      </c>
      <c r="F815" t="str">
        <f>VLOOKUP(E815,Customer_Helper!$F$2:$G$13,2,FALSE)</f>
        <v>West</v>
      </c>
      <c r="G815" t="s">
        <v>186</v>
      </c>
    </row>
    <row r="816" spans="1:7" x14ac:dyDescent="0.25">
      <c r="A816" t="str">
        <f t="shared" si="12"/>
        <v>C0815</v>
      </c>
      <c r="B816" t="s">
        <v>1123</v>
      </c>
      <c r="C816" t="str">
        <f>VLOOKUP(LEFT(B816,FIND(" ",B816)-1),Customer_Helper!$A$2:$B$101,2,FALSE)</f>
        <v>Female</v>
      </c>
      <c r="D816">
        <v>57</v>
      </c>
      <c r="E816" t="s">
        <v>10</v>
      </c>
      <c r="F816" t="str">
        <f>VLOOKUP(E816,Customer_Helper!$F$2:$G$13,2,FALSE)</f>
        <v>North</v>
      </c>
      <c r="G816" t="s">
        <v>187</v>
      </c>
    </row>
    <row r="817" spans="1:7" x14ac:dyDescent="0.25">
      <c r="A817" t="str">
        <f t="shared" si="12"/>
        <v>C0816</v>
      </c>
      <c r="B817" t="s">
        <v>1124</v>
      </c>
      <c r="C817" t="str">
        <f>VLOOKUP(LEFT(B817,FIND(" ",B817)-1),Customer_Helper!$A$2:$B$101,2,FALSE)</f>
        <v>Female</v>
      </c>
      <c r="D817">
        <v>56</v>
      </c>
      <c r="E817" t="s">
        <v>10</v>
      </c>
      <c r="F817" t="str">
        <f>VLOOKUP(E817,Customer_Helper!$F$2:$G$13,2,FALSE)</f>
        <v>North</v>
      </c>
      <c r="G817" t="s">
        <v>186</v>
      </c>
    </row>
    <row r="818" spans="1:7" x14ac:dyDescent="0.25">
      <c r="A818" t="str">
        <f t="shared" si="12"/>
        <v>C0817</v>
      </c>
      <c r="B818" t="s">
        <v>1125</v>
      </c>
      <c r="C818" t="str">
        <f>VLOOKUP(LEFT(B818,FIND(" ",B818)-1),Customer_Helper!$A$2:$B$101,2,FALSE)</f>
        <v>Male</v>
      </c>
      <c r="D818">
        <v>53</v>
      </c>
      <c r="E818" t="s">
        <v>11</v>
      </c>
      <c r="F818" t="str">
        <f>VLOOKUP(E818,Customer_Helper!$F$2:$G$13,2,FALSE)</f>
        <v>East</v>
      </c>
      <c r="G818" t="s">
        <v>187</v>
      </c>
    </row>
    <row r="819" spans="1:7" x14ac:dyDescent="0.25">
      <c r="A819" t="str">
        <f t="shared" si="12"/>
        <v>C0818</v>
      </c>
      <c r="B819" t="s">
        <v>1126</v>
      </c>
      <c r="C819" t="str">
        <f>VLOOKUP(LEFT(B819,FIND(" ",B819)-1),Customer_Helper!$A$2:$B$101,2,FALSE)</f>
        <v>Female</v>
      </c>
      <c r="D819">
        <v>45</v>
      </c>
      <c r="E819" t="s">
        <v>9</v>
      </c>
      <c r="F819" t="str">
        <f>VLOOKUP(E819,Customer_Helper!$F$2:$G$13,2,FALSE)</f>
        <v>North</v>
      </c>
      <c r="G819" t="s">
        <v>186</v>
      </c>
    </row>
    <row r="820" spans="1:7" x14ac:dyDescent="0.25">
      <c r="A820" t="str">
        <f t="shared" si="12"/>
        <v>C0819</v>
      </c>
      <c r="B820" t="s">
        <v>1127</v>
      </c>
      <c r="C820" t="str">
        <f>VLOOKUP(LEFT(B820,FIND(" ",B820)-1),Customer_Helper!$A$2:$B$101,2,FALSE)</f>
        <v>Male</v>
      </c>
      <c r="D820">
        <v>60</v>
      </c>
      <c r="E820" t="s">
        <v>17</v>
      </c>
      <c r="F820" t="str">
        <f>VLOOKUP(E820,Customer_Helper!$F$2:$G$13,2,FALSE)</f>
        <v>South</v>
      </c>
      <c r="G820" t="s">
        <v>185</v>
      </c>
    </row>
    <row r="821" spans="1:7" x14ac:dyDescent="0.25">
      <c r="A821" t="str">
        <f t="shared" si="12"/>
        <v>C0820</v>
      </c>
      <c r="B821" t="s">
        <v>1128</v>
      </c>
      <c r="C821" t="str">
        <f>VLOOKUP(LEFT(B821,FIND(" ",B821)-1),Customer_Helper!$A$2:$B$101,2,FALSE)</f>
        <v>Female</v>
      </c>
      <c r="D821">
        <v>34</v>
      </c>
      <c r="E821" t="s">
        <v>17</v>
      </c>
      <c r="F821" t="str">
        <f>VLOOKUP(E821,Customer_Helper!$F$2:$G$13,2,FALSE)</f>
        <v>South</v>
      </c>
      <c r="G821" t="s">
        <v>185</v>
      </c>
    </row>
    <row r="822" spans="1:7" x14ac:dyDescent="0.25">
      <c r="A822" t="str">
        <f t="shared" si="12"/>
        <v>C0821</v>
      </c>
      <c r="B822" t="s">
        <v>1129</v>
      </c>
      <c r="C822" t="str">
        <f>VLOOKUP(LEFT(B822,FIND(" ",B822)-1),Customer_Helper!$A$2:$B$101,2,FALSE)</f>
        <v>Male</v>
      </c>
      <c r="D822">
        <v>47</v>
      </c>
      <c r="E822" t="s">
        <v>11</v>
      </c>
      <c r="F822" t="str">
        <f>VLOOKUP(E822,Customer_Helper!$F$2:$G$13,2,FALSE)</f>
        <v>East</v>
      </c>
      <c r="G822" t="s">
        <v>185</v>
      </c>
    </row>
    <row r="823" spans="1:7" x14ac:dyDescent="0.25">
      <c r="A823" t="str">
        <f t="shared" si="12"/>
        <v>C0822</v>
      </c>
      <c r="B823" t="s">
        <v>798</v>
      </c>
      <c r="C823" t="str">
        <f>VLOOKUP(LEFT(B823,FIND(" ",B823)-1),Customer_Helper!$A$2:$B$101,2,FALSE)</f>
        <v>Female</v>
      </c>
      <c r="D823">
        <v>43</v>
      </c>
      <c r="E823" t="s">
        <v>14</v>
      </c>
      <c r="F823" t="str">
        <f>VLOOKUP(E823,Customer_Helper!$F$2:$G$13,2,FALSE)</f>
        <v>South</v>
      </c>
      <c r="G823" t="s">
        <v>186</v>
      </c>
    </row>
    <row r="824" spans="1:7" x14ac:dyDescent="0.25">
      <c r="A824" t="str">
        <f t="shared" si="12"/>
        <v>C0823</v>
      </c>
      <c r="B824" t="s">
        <v>1130</v>
      </c>
      <c r="C824" t="str">
        <f>VLOOKUP(LEFT(B824,FIND(" ",B824)-1),Customer_Helper!$A$2:$B$101,2,FALSE)</f>
        <v>Male</v>
      </c>
      <c r="D824">
        <v>34</v>
      </c>
      <c r="E824" t="s">
        <v>17</v>
      </c>
      <c r="F824" t="str">
        <f>VLOOKUP(E824,Customer_Helper!$F$2:$G$13,2,FALSE)</f>
        <v>South</v>
      </c>
      <c r="G824" t="s">
        <v>187</v>
      </c>
    </row>
    <row r="825" spans="1:7" x14ac:dyDescent="0.25">
      <c r="A825" t="str">
        <f t="shared" si="12"/>
        <v>C0824</v>
      </c>
      <c r="B825" t="s">
        <v>1131</v>
      </c>
      <c r="C825" t="str">
        <f>VLOOKUP(LEFT(B825,FIND(" ",B825)-1),Customer_Helper!$A$2:$B$101,2,FALSE)</f>
        <v>Female</v>
      </c>
      <c r="D825">
        <v>28</v>
      </c>
      <c r="E825" t="s">
        <v>16</v>
      </c>
      <c r="F825" t="str">
        <f>VLOOKUP(E825,Customer_Helper!$F$2:$G$13,2,FALSE)</f>
        <v>South</v>
      </c>
      <c r="G825" t="s">
        <v>186</v>
      </c>
    </row>
    <row r="826" spans="1:7" x14ac:dyDescent="0.25">
      <c r="A826" t="str">
        <f t="shared" si="12"/>
        <v>C0825</v>
      </c>
      <c r="B826" t="s">
        <v>629</v>
      </c>
      <c r="C826" t="str">
        <f>VLOOKUP(LEFT(B826,FIND(" ",B826)-1),Customer_Helper!$A$2:$B$101,2,FALSE)</f>
        <v>Female</v>
      </c>
      <c r="D826">
        <v>53</v>
      </c>
      <c r="E826" t="s">
        <v>290</v>
      </c>
      <c r="F826" t="str">
        <f>VLOOKUP(E826,Customer_Helper!$F$2:$G$13,2,FALSE)</f>
        <v>West</v>
      </c>
      <c r="G826" t="s">
        <v>185</v>
      </c>
    </row>
    <row r="827" spans="1:7" x14ac:dyDescent="0.25">
      <c r="A827" t="str">
        <f t="shared" si="12"/>
        <v>C0826</v>
      </c>
      <c r="B827" t="s">
        <v>770</v>
      </c>
      <c r="C827" t="str">
        <f>VLOOKUP(LEFT(B827,FIND(" ",B827)-1),Customer_Helper!$A$2:$B$101,2,FALSE)</f>
        <v>Female</v>
      </c>
      <c r="D827">
        <v>44</v>
      </c>
      <c r="E827" t="s">
        <v>2</v>
      </c>
      <c r="F827" t="str">
        <f>VLOOKUP(E827,Customer_Helper!$F$2:$G$13,2,FALSE)</f>
        <v>West</v>
      </c>
      <c r="G827" t="s">
        <v>185</v>
      </c>
    </row>
    <row r="828" spans="1:7" x14ac:dyDescent="0.25">
      <c r="A828" t="str">
        <f t="shared" si="12"/>
        <v>C0827</v>
      </c>
      <c r="B828" t="s">
        <v>1132</v>
      </c>
      <c r="C828" t="str">
        <f>VLOOKUP(LEFT(B828,FIND(" ",B828)-1),Customer_Helper!$A$2:$B$101,2,FALSE)</f>
        <v>Female</v>
      </c>
      <c r="D828">
        <v>55</v>
      </c>
      <c r="E828" t="s">
        <v>289</v>
      </c>
      <c r="F828" t="str">
        <f>VLOOKUP(E828,Customer_Helper!$F$2:$G$13,2,FALSE)</f>
        <v>West</v>
      </c>
      <c r="G828" t="s">
        <v>186</v>
      </c>
    </row>
    <row r="829" spans="1:7" x14ac:dyDescent="0.25">
      <c r="A829" t="str">
        <f t="shared" si="12"/>
        <v>C0828</v>
      </c>
      <c r="B829" t="s">
        <v>475</v>
      </c>
      <c r="C829" t="str">
        <f>VLOOKUP(LEFT(B829,FIND(" ",B829)-1),Customer_Helper!$A$2:$B$101,2,FALSE)</f>
        <v>Female</v>
      </c>
      <c r="D829">
        <v>55</v>
      </c>
      <c r="E829" t="s">
        <v>4</v>
      </c>
      <c r="F829" t="str">
        <f>VLOOKUP(E829,Customer_Helper!$F$2:$G$13,2,FALSE)</f>
        <v>West</v>
      </c>
      <c r="G829" t="s">
        <v>187</v>
      </c>
    </row>
    <row r="830" spans="1:7" x14ac:dyDescent="0.25">
      <c r="A830" t="str">
        <f t="shared" si="12"/>
        <v>C0829</v>
      </c>
      <c r="B830" t="s">
        <v>1133</v>
      </c>
      <c r="C830" t="str">
        <f>VLOOKUP(LEFT(B830,FIND(" ",B830)-1),Customer_Helper!$A$2:$B$101,2,FALSE)</f>
        <v>Female</v>
      </c>
      <c r="D830">
        <v>45</v>
      </c>
      <c r="E830" t="s">
        <v>11</v>
      </c>
      <c r="F830" t="str">
        <f>VLOOKUP(E830,Customer_Helper!$F$2:$G$13,2,FALSE)</f>
        <v>East</v>
      </c>
      <c r="G830" t="s">
        <v>187</v>
      </c>
    </row>
    <row r="831" spans="1:7" x14ac:dyDescent="0.25">
      <c r="A831" t="str">
        <f t="shared" si="12"/>
        <v>C0830</v>
      </c>
      <c r="B831" t="s">
        <v>1134</v>
      </c>
      <c r="C831" t="str">
        <f>VLOOKUP(LEFT(B831,FIND(" ",B831)-1),Customer_Helper!$A$2:$B$101,2,FALSE)</f>
        <v>Male</v>
      </c>
      <c r="D831">
        <v>19</v>
      </c>
      <c r="E831" t="s">
        <v>16</v>
      </c>
      <c r="F831" t="str">
        <f>VLOOKUP(E831,Customer_Helper!$F$2:$G$13,2,FALSE)</f>
        <v>South</v>
      </c>
      <c r="G831" t="s">
        <v>187</v>
      </c>
    </row>
    <row r="832" spans="1:7" x14ac:dyDescent="0.25">
      <c r="A832" t="str">
        <f t="shared" si="12"/>
        <v>C0831</v>
      </c>
      <c r="B832" t="s">
        <v>1135</v>
      </c>
      <c r="C832" t="str">
        <f>VLOOKUP(LEFT(B832,FIND(" ",B832)-1),Customer_Helper!$A$2:$B$101,2,FALSE)</f>
        <v>Female</v>
      </c>
      <c r="D832">
        <v>46</v>
      </c>
      <c r="E832" t="s">
        <v>7</v>
      </c>
      <c r="F832" t="str">
        <f>VLOOKUP(E832,Customer_Helper!$F$2:$G$13,2,FALSE)</f>
        <v>North</v>
      </c>
      <c r="G832" t="s">
        <v>185</v>
      </c>
    </row>
    <row r="833" spans="1:7" x14ac:dyDescent="0.25">
      <c r="A833" t="str">
        <f t="shared" si="12"/>
        <v>C0832</v>
      </c>
      <c r="B833" t="s">
        <v>1136</v>
      </c>
      <c r="C833" t="str">
        <f>VLOOKUP(LEFT(B833,FIND(" ",B833)-1),Customer_Helper!$A$2:$B$101,2,FALSE)</f>
        <v>Female</v>
      </c>
      <c r="D833">
        <v>38</v>
      </c>
      <c r="E833" t="s">
        <v>17</v>
      </c>
      <c r="F833" t="str">
        <f>VLOOKUP(E833,Customer_Helper!$F$2:$G$13,2,FALSE)</f>
        <v>South</v>
      </c>
      <c r="G833" t="s">
        <v>187</v>
      </c>
    </row>
    <row r="834" spans="1:7" x14ac:dyDescent="0.25">
      <c r="A834" t="str">
        <f t="shared" si="12"/>
        <v>C0833</v>
      </c>
      <c r="B834" t="s">
        <v>1137</v>
      </c>
      <c r="C834" t="str">
        <f>VLOOKUP(LEFT(B834,FIND(" ",B834)-1),Customer_Helper!$A$2:$B$101,2,FALSE)</f>
        <v>Female</v>
      </c>
      <c r="D834">
        <v>36</v>
      </c>
      <c r="E834" t="s">
        <v>5</v>
      </c>
      <c r="F834" t="str">
        <f>VLOOKUP(E834,Customer_Helper!$F$2:$G$13,2,FALSE)</f>
        <v>West</v>
      </c>
      <c r="G834" t="s">
        <v>187</v>
      </c>
    </row>
    <row r="835" spans="1:7" x14ac:dyDescent="0.25">
      <c r="A835" t="str">
        <f t="shared" ref="A835:A898" si="13">"C"&amp;TEXT(ROW()-1,"0000")</f>
        <v>C0834</v>
      </c>
      <c r="B835" t="s">
        <v>1138</v>
      </c>
      <c r="C835" t="str">
        <f>VLOOKUP(LEFT(B835,FIND(" ",B835)-1),Customer_Helper!$A$2:$B$101,2,FALSE)</f>
        <v>Male</v>
      </c>
      <c r="D835">
        <v>20</v>
      </c>
      <c r="E835" t="s">
        <v>14</v>
      </c>
      <c r="F835" t="str">
        <f>VLOOKUP(E835,Customer_Helper!$F$2:$G$13,2,FALSE)</f>
        <v>South</v>
      </c>
      <c r="G835" t="s">
        <v>186</v>
      </c>
    </row>
    <row r="836" spans="1:7" x14ac:dyDescent="0.25">
      <c r="A836" t="str">
        <f t="shared" si="13"/>
        <v>C0835</v>
      </c>
      <c r="B836" t="s">
        <v>1139</v>
      </c>
      <c r="C836" t="str">
        <f>VLOOKUP(LEFT(B836,FIND(" ",B836)-1),Customer_Helper!$A$2:$B$101,2,FALSE)</f>
        <v>Male</v>
      </c>
      <c r="D836">
        <v>47</v>
      </c>
      <c r="E836" t="s">
        <v>17</v>
      </c>
      <c r="F836" t="str">
        <f>VLOOKUP(E836,Customer_Helper!$F$2:$G$13,2,FALSE)</f>
        <v>South</v>
      </c>
      <c r="G836" t="s">
        <v>186</v>
      </c>
    </row>
    <row r="837" spans="1:7" x14ac:dyDescent="0.25">
      <c r="A837" t="str">
        <f t="shared" si="13"/>
        <v>C0836</v>
      </c>
      <c r="B837" t="s">
        <v>1140</v>
      </c>
      <c r="C837" t="str">
        <f>VLOOKUP(LEFT(B837,FIND(" ",B837)-1),Customer_Helper!$A$2:$B$101,2,FALSE)</f>
        <v>Female</v>
      </c>
      <c r="D837">
        <v>21</v>
      </c>
      <c r="E837" t="s">
        <v>290</v>
      </c>
      <c r="F837" t="str">
        <f>VLOOKUP(E837,Customer_Helper!$F$2:$G$13,2,FALSE)</f>
        <v>West</v>
      </c>
      <c r="G837" t="s">
        <v>187</v>
      </c>
    </row>
    <row r="838" spans="1:7" x14ac:dyDescent="0.25">
      <c r="A838" t="str">
        <f t="shared" si="13"/>
        <v>C0837</v>
      </c>
      <c r="B838" t="s">
        <v>1141</v>
      </c>
      <c r="C838" t="str">
        <f>VLOOKUP(LEFT(B838,FIND(" ",B838)-1),Customer_Helper!$A$2:$B$101,2,FALSE)</f>
        <v>Female</v>
      </c>
      <c r="D838">
        <v>31</v>
      </c>
      <c r="E838" t="s">
        <v>290</v>
      </c>
      <c r="F838" t="str">
        <f>VLOOKUP(E838,Customer_Helper!$F$2:$G$13,2,FALSE)</f>
        <v>West</v>
      </c>
      <c r="G838" t="s">
        <v>186</v>
      </c>
    </row>
    <row r="839" spans="1:7" x14ac:dyDescent="0.25">
      <c r="A839" t="str">
        <f t="shared" si="13"/>
        <v>C0838</v>
      </c>
      <c r="B839" t="s">
        <v>1123</v>
      </c>
      <c r="C839" t="str">
        <f>VLOOKUP(LEFT(B839,FIND(" ",B839)-1),Customer_Helper!$A$2:$B$101,2,FALSE)</f>
        <v>Female</v>
      </c>
      <c r="D839">
        <v>26</v>
      </c>
      <c r="E839" t="s">
        <v>9</v>
      </c>
      <c r="F839" t="str">
        <f>VLOOKUP(E839,Customer_Helper!$F$2:$G$13,2,FALSE)</f>
        <v>North</v>
      </c>
      <c r="G839" t="s">
        <v>186</v>
      </c>
    </row>
    <row r="840" spans="1:7" x14ac:dyDescent="0.25">
      <c r="A840" t="str">
        <f t="shared" si="13"/>
        <v>C0839</v>
      </c>
      <c r="B840" t="s">
        <v>1142</v>
      </c>
      <c r="C840" t="str">
        <f>VLOOKUP(LEFT(B840,FIND(" ",B840)-1),Customer_Helper!$A$2:$B$101,2,FALSE)</f>
        <v>Male</v>
      </c>
      <c r="D840">
        <v>39</v>
      </c>
      <c r="E840" t="s">
        <v>9</v>
      </c>
      <c r="F840" t="str">
        <f>VLOOKUP(E840,Customer_Helper!$F$2:$G$13,2,FALSE)</f>
        <v>North</v>
      </c>
      <c r="G840" t="s">
        <v>185</v>
      </c>
    </row>
    <row r="841" spans="1:7" x14ac:dyDescent="0.25">
      <c r="A841" t="str">
        <f t="shared" si="13"/>
        <v>C0840</v>
      </c>
      <c r="B841" t="s">
        <v>550</v>
      </c>
      <c r="C841" t="str">
        <f>VLOOKUP(LEFT(B841,FIND(" ",B841)-1),Customer_Helper!$A$2:$B$101,2,FALSE)</f>
        <v>Male</v>
      </c>
      <c r="D841">
        <v>40</v>
      </c>
      <c r="E841" t="s">
        <v>7</v>
      </c>
      <c r="F841" t="str">
        <f>VLOOKUP(E841,Customer_Helper!$F$2:$G$13,2,FALSE)</f>
        <v>North</v>
      </c>
      <c r="G841" t="s">
        <v>186</v>
      </c>
    </row>
    <row r="842" spans="1:7" x14ac:dyDescent="0.25">
      <c r="A842" t="str">
        <f t="shared" si="13"/>
        <v>C0841</v>
      </c>
      <c r="B842" t="s">
        <v>926</v>
      </c>
      <c r="C842" t="str">
        <f>VLOOKUP(LEFT(B842,FIND(" ",B842)-1),Customer_Helper!$A$2:$B$101,2,FALSE)</f>
        <v>Male</v>
      </c>
      <c r="D842">
        <v>58</v>
      </c>
      <c r="E842" t="s">
        <v>17</v>
      </c>
      <c r="F842" t="str">
        <f>VLOOKUP(E842,Customer_Helper!$F$2:$G$13,2,FALSE)</f>
        <v>South</v>
      </c>
      <c r="G842" t="s">
        <v>187</v>
      </c>
    </row>
    <row r="843" spans="1:7" x14ac:dyDescent="0.25">
      <c r="A843" t="str">
        <f t="shared" si="13"/>
        <v>C0842</v>
      </c>
      <c r="B843" t="s">
        <v>1143</v>
      </c>
      <c r="C843" t="str">
        <f>VLOOKUP(LEFT(B843,FIND(" ",B843)-1),Customer_Helper!$A$2:$B$101,2,FALSE)</f>
        <v>Female</v>
      </c>
      <c r="D843">
        <v>49</v>
      </c>
      <c r="E843" t="s">
        <v>10</v>
      </c>
      <c r="F843" t="str">
        <f>VLOOKUP(E843,Customer_Helper!$F$2:$G$13,2,FALSE)</f>
        <v>North</v>
      </c>
      <c r="G843" t="s">
        <v>186</v>
      </c>
    </row>
    <row r="844" spans="1:7" x14ac:dyDescent="0.25">
      <c r="A844" t="str">
        <f t="shared" si="13"/>
        <v>C0843</v>
      </c>
      <c r="B844" t="s">
        <v>1144</v>
      </c>
      <c r="C844" t="str">
        <f>VLOOKUP(LEFT(B844,FIND(" ",B844)-1),Customer_Helper!$A$2:$B$101,2,FALSE)</f>
        <v>Male</v>
      </c>
      <c r="D844">
        <v>45</v>
      </c>
      <c r="E844" t="s">
        <v>290</v>
      </c>
      <c r="F844" t="str">
        <f>VLOOKUP(E844,Customer_Helper!$F$2:$G$13,2,FALSE)</f>
        <v>West</v>
      </c>
      <c r="G844" t="s">
        <v>187</v>
      </c>
    </row>
    <row r="845" spans="1:7" x14ac:dyDescent="0.25">
      <c r="A845" t="str">
        <f t="shared" si="13"/>
        <v>C0844</v>
      </c>
      <c r="B845" t="s">
        <v>1145</v>
      </c>
      <c r="C845" t="str">
        <f>VLOOKUP(LEFT(B845,FIND(" ",B845)-1),Customer_Helper!$A$2:$B$101,2,FALSE)</f>
        <v>Male</v>
      </c>
      <c r="D845">
        <v>42</v>
      </c>
      <c r="E845" t="s">
        <v>16</v>
      </c>
      <c r="F845" t="str">
        <f>VLOOKUP(E845,Customer_Helper!$F$2:$G$13,2,FALSE)</f>
        <v>South</v>
      </c>
      <c r="G845" t="s">
        <v>187</v>
      </c>
    </row>
    <row r="846" spans="1:7" x14ac:dyDescent="0.25">
      <c r="A846" t="str">
        <f t="shared" si="13"/>
        <v>C0845</v>
      </c>
      <c r="B846" t="s">
        <v>1146</v>
      </c>
      <c r="C846" t="str">
        <f>VLOOKUP(LEFT(B846,FIND(" ",B846)-1),Customer_Helper!$A$2:$B$101,2,FALSE)</f>
        <v>Female</v>
      </c>
      <c r="D846">
        <v>18</v>
      </c>
      <c r="E846" t="s">
        <v>10</v>
      </c>
      <c r="F846" t="str">
        <f>VLOOKUP(E846,Customer_Helper!$F$2:$G$13,2,FALSE)</f>
        <v>North</v>
      </c>
      <c r="G846" t="s">
        <v>187</v>
      </c>
    </row>
    <row r="847" spans="1:7" x14ac:dyDescent="0.25">
      <c r="A847" t="str">
        <f t="shared" si="13"/>
        <v>C0846</v>
      </c>
      <c r="B847" t="s">
        <v>1147</v>
      </c>
      <c r="C847" t="str">
        <f>VLOOKUP(LEFT(B847,FIND(" ",B847)-1),Customer_Helper!$A$2:$B$101,2,FALSE)</f>
        <v>Female</v>
      </c>
      <c r="D847">
        <v>39</v>
      </c>
      <c r="E847" t="s">
        <v>9</v>
      </c>
      <c r="F847" t="str">
        <f>VLOOKUP(E847,Customer_Helper!$F$2:$G$13,2,FALSE)</f>
        <v>North</v>
      </c>
      <c r="G847" t="s">
        <v>185</v>
      </c>
    </row>
    <row r="848" spans="1:7" x14ac:dyDescent="0.25">
      <c r="A848" t="str">
        <f t="shared" si="13"/>
        <v>C0847</v>
      </c>
      <c r="B848" t="s">
        <v>1148</v>
      </c>
      <c r="C848" t="str">
        <f>VLOOKUP(LEFT(B848,FIND(" ",B848)-1),Customer_Helper!$A$2:$B$101,2,FALSE)</f>
        <v>Female</v>
      </c>
      <c r="D848">
        <v>43</v>
      </c>
      <c r="E848" t="s">
        <v>289</v>
      </c>
      <c r="F848" t="str">
        <f>VLOOKUP(E848,Customer_Helper!$F$2:$G$13,2,FALSE)</f>
        <v>West</v>
      </c>
      <c r="G848" t="s">
        <v>187</v>
      </c>
    </row>
    <row r="849" spans="1:7" x14ac:dyDescent="0.25">
      <c r="A849" t="str">
        <f t="shared" si="13"/>
        <v>C0848</v>
      </c>
      <c r="B849" t="s">
        <v>1149</v>
      </c>
      <c r="C849" t="str">
        <f>VLOOKUP(LEFT(B849,FIND(" ",B849)-1),Customer_Helper!$A$2:$B$101,2,FALSE)</f>
        <v>Male</v>
      </c>
      <c r="D849">
        <v>28</v>
      </c>
      <c r="E849" t="s">
        <v>2</v>
      </c>
      <c r="F849" t="str">
        <f>VLOOKUP(E849,Customer_Helper!$F$2:$G$13,2,FALSE)</f>
        <v>West</v>
      </c>
      <c r="G849" t="s">
        <v>185</v>
      </c>
    </row>
    <row r="850" spans="1:7" x14ac:dyDescent="0.25">
      <c r="A850" t="str">
        <f t="shared" si="13"/>
        <v>C0849</v>
      </c>
      <c r="B850" t="s">
        <v>1150</v>
      </c>
      <c r="C850" t="str">
        <f>VLOOKUP(LEFT(B850,FIND(" ",B850)-1),Customer_Helper!$A$2:$B$101,2,FALSE)</f>
        <v>Female</v>
      </c>
      <c r="D850">
        <v>26</v>
      </c>
      <c r="E850" t="s">
        <v>11</v>
      </c>
      <c r="F850" t="str">
        <f>VLOOKUP(E850,Customer_Helper!$F$2:$G$13,2,FALSE)</f>
        <v>East</v>
      </c>
      <c r="G850" t="s">
        <v>185</v>
      </c>
    </row>
    <row r="851" spans="1:7" x14ac:dyDescent="0.25">
      <c r="A851" t="str">
        <f t="shared" si="13"/>
        <v>C0850</v>
      </c>
      <c r="B851" t="s">
        <v>1151</v>
      </c>
      <c r="C851" t="str">
        <f>VLOOKUP(LEFT(B851,FIND(" ",B851)-1),Customer_Helper!$A$2:$B$101,2,FALSE)</f>
        <v>Male</v>
      </c>
      <c r="D851">
        <v>38</v>
      </c>
      <c r="E851" t="s">
        <v>14</v>
      </c>
      <c r="F851" t="str">
        <f>VLOOKUP(E851,Customer_Helper!$F$2:$G$13,2,FALSE)</f>
        <v>South</v>
      </c>
      <c r="G851" t="s">
        <v>185</v>
      </c>
    </row>
    <row r="852" spans="1:7" x14ac:dyDescent="0.25">
      <c r="A852" t="str">
        <f t="shared" si="13"/>
        <v>C0851</v>
      </c>
      <c r="B852" t="s">
        <v>1152</v>
      </c>
      <c r="C852" t="str">
        <f>VLOOKUP(LEFT(B852,FIND(" ",B852)-1),Customer_Helper!$A$2:$B$101,2,FALSE)</f>
        <v>Male</v>
      </c>
      <c r="D852">
        <v>21</v>
      </c>
      <c r="E852" t="s">
        <v>5</v>
      </c>
      <c r="F852" t="str">
        <f>VLOOKUP(E852,Customer_Helper!$F$2:$G$13,2,FALSE)</f>
        <v>West</v>
      </c>
      <c r="G852" t="s">
        <v>186</v>
      </c>
    </row>
    <row r="853" spans="1:7" x14ac:dyDescent="0.25">
      <c r="A853" t="str">
        <f t="shared" si="13"/>
        <v>C0852</v>
      </c>
      <c r="B853" t="s">
        <v>1153</v>
      </c>
      <c r="C853" t="str">
        <f>VLOOKUP(LEFT(B853,FIND(" ",B853)-1),Customer_Helper!$A$2:$B$101,2,FALSE)</f>
        <v>Female</v>
      </c>
      <c r="D853">
        <v>49</v>
      </c>
      <c r="E853" t="s">
        <v>10</v>
      </c>
      <c r="F853" t="str">
        <f>VLOOKUP(E853,Customer_Helper!$F$2:$G$13,2,FALSE)</f>
        <v>North</v>
      </c>
      <c r="G853" t="s">
        <v>186</v>
      </c>
    </row>
    <row r="854" spans="1:7" x14ac:dyDescent="0.25">
      <c r="A854" t="str">
        <f t="shared" si="13"/>
        <v>C0853</v>
      </c>
      <c r="B854" t="s">
        <v>1154</v>
      </c>
      <c r="C854" t="str">
        <f>VLOOKUP(LEFT(B854,FIND(" ",B854)-1),Customer_Helper!$A$2:$B$101,2,FALSE)</f>
        <v>Male</v>
      </c>
      <c r="D854">
        <v>57</v>
      </c>
      <c r="E854" t="s">
        <v>289</v>
      </c>
      <c r="F854" t="str">
        <f>VLOOKUP(E854,Customer_Helper!$F$2:$G$13,2,FALSE)</f>
        <v>West</v>
      </c>
      <c r="G854" t="s">
        <v>187</v>
      </c>
    </row>
    <row r="855" spans="1:7" x14ac:dyDescent="0.25">
      <c r="A855" t="str">
        <f t="shared" si="13"/>
        <v>C0854</v>
      </c>
      <c r="B855" t="s">
        <v>1155</v>
      </c>
      <c r="C855" t="str">
        <f>VLOOKUP(LEFT(B855,FIND(" ",B855)-1),Customer_Helper!$A$2:$B$101,2,FALSE)</f>
        <v>Female</v>
      </c>
      <c r="D855">
        <v>53</v>
      </c>
      <c r="E855" t="s">
        <v>290</v>
      </c>
      <c r="F855" t="str">
        <f>VLOOKUP(E855,Customer_Helper!$F$2:$G$13,2,FALSE)</f>
        <v>West</v>
      </c>
      <c r="G855" t="s">
        <v>187</v>
      </c>
    </row>
    <row r="856" spans="1:7" x14ac:dyDescent="0.25">
      <c r="A856" t="str">
        <f t="shared" si="13"/>
        <v>C0855</v>
      </c>
      <c r="B856" t="s">
        <v>962</v>
      </c>
      <c r="C856" t="str">
        <f>VLOOKUP(LEFT(B856,FIND(" ",B856)-1),Customer_Helper!$A$2:$B$101,2,FALSE)</f>
        <v>Female</v>
      </c>
      <c r="D856">
        <v>50</v>
      </c>
      <c r="E856" t="s">
        <v>11</v>
      </c>
      <c r="F856" t="str">
        <f>VLOOKUP(E856,Customer_Helper!$F$2:$G$13,2,FALSE)</f>
        <v>East</v>
      </c>
      <c r="G856" t="s">
        <v>187</v>
      </c>
    </row>
    <row r="857" spans="1:7" x14ac:dyDescent="0.25">
      <c r="A857" t="str">
        <f t="shared" si="13"/>
        <v>C0856</v>
      </c>
      <c r="B857" t="s">
        <v>1156</v>
      </c>
      <c r="C857" t="str">
        <f>VLOOKUP(LEFT(B857,FIND(" ",B857)-1),Customer_Helper!$A$2:$B$101,2,FALSE)</f>
        <v>Male</v>
      </c>
      <c r="D857">
        <v>50</v>
      </c>
      <c r="E857" t="s">
        <v>14</v>
      </c>
      <c r="F857" t="str">
        <f>VLOOKUP(E857,Customer_Helper!$F$2:$G$13,2,FALSE)</f>
        <v>South</v>
      </c>
      <c r="G857" t="s">
        <v>186</v>
      </c>
    </row>
    <row r="858" spans="1:7" x14ac:dyDescent="0.25">
      <c r="A858" t="str">
        <f t="shared" si="13"/>
        <v>C0857</v>
      </c>
      <c r="B858" t="s">
        <v>1157</v>
      </c>
      <c r="C858" t="str">
        <f>VLOOKUP(LEFT(B858,FIND(" ",B858)-1),Customer_Helper!$A$2:$B$101,2,FALSE)</f>
        <v>Female</v>
      </c>
      <c r="D858">
        <v>47</v>
      </c>
      <c r="E858" t="s">
        <v>2</v>
      </c>
      <c r="F858" t="str">
        <f>VLOOKUP(E858,Customer_Helper!$F$2:$G$13,2,FALSE)</f>
        <v>West</v>
      </c>
      <c r="G858" t="s">
        <v>185</v>
      </c>
    </row>
    <row r="859" spans="1:7" x14ac:dyDescent="0.25">
      <c r="A859" t="str">
        <f t="shared" si="13"/>
        <v>C0858</v>
      </c>
      <c r="B859" t="s">
        <v>1158</v>
      </c>
      <c r="C859" t="str">
        <f>VLOOKUP(LEFT(B859,FIND(" ",B859)-1),Customer_Helper!$A$2:$B$101,2,FALSE)</f>
        <v>Female</v>
      </c>
      <c r="D859">
        <v>37</v>
      </c>
      <c r="E859" t="s">
        <v>2</v>
      </c>
      <c r="F859" t="str">
        <f>VLOOKUP(E859,Customer_Helper!$F$2:$G$13,2,FALSE)</f>
        <v>West</v>
      </c>
      <c r="G859" t="s">
        <v>185</v>
      </c>
    </row>
    <row r="860" spans="1:7" x14ac:dyDescent="0.25">
      <c r="A860" t="str">
        <f t="shared" si="13"/>
        <v>C0859</v>
      </c>
      <c r="B860" t="s">
        <v>1131</v>
      </c>
      <c r="C860" t="str">
        <f>VLOOKUP(LEFT(B860,FIND(" ",B860)-1),Customer_Helper!$A$2:$B$101,2,FALSE)</f>
        <v>Female</v>
      </c>
      <c r="D860">
        <v>52</v>
      </c>
      <c r="E860" t="s">
        <v>289</v>
      </c>
      <c r="F860" t="str">
        <f>VLOOKUP(E860,Customer_Helper!$F$2:$G$13,2,FALSE)</f>
        <v>West</v>
      </c>
      <c r="G860" t="s">
        <v>185</v>
      </c>
    </row>
    <row r="861" spans="1:7" x14ac:dyDescent="0.25">
      <c r="A861" t="str">
        <f t="shared" si="13"/>
        <v>C0860</v>
      </c>
      <c r="B861" t="s">
        <v>1159</v>
      </c>
      <c r="C861" t="str">
        <f>VLOOKUP(LEFT(B861,FIND(" ",B861)-1),Customer_Helper!$A$2:$B$101,2,FALSE)</f>
        <v>Male</v>
      </c>
      <c r="D861">
        <v>37</v>
      </c>
      <c r="E861" t="s">
        <v>9</v>
      </c>
      <c r="F861" t="str">
        <f>VLOOKUP(E861,Customer_Helper!$F$2:$G$13,2,FALSE)</f>
        <v>North</v>
      </c>
      <c r="G861" t="s">
        <v>187</v>
      </c>
    </row>
    <row r="862" spans="1:7" x14ac:dyDescent="0.25">
      <c r="A862" t="str">
        <f t="shared" si="13"/>
        <v>C0861</v>
      </c>
      <c r="B862" t="s">
        <v>1160</v>
      </c>
      <c r="C862" t="str">
        <f>VLOOKUP(LEFT(B862,FIND(" ",B862)-1),Customer_Helper!$A$2:$B$101,2,FALSE)</f>
        <v>Male</v>
      </c>
      <c r="D862">
        <v>49</v>
      </c>
      <c r="E862" t="s">
        <v>14</v>
      </c>
      <c r="F862" t="str">
        <f>VLOOKUP(E862,Customer_Helper!$F$2:$G$13,2,FALSE)</f>
        <v>South</v>
      </c>
      <c r="G862" t="s">
        <v>186</v>
      </c>
    </row>
    <row r="863" spans="1:7" x14ac:dyDescent="0.25">
      <c r="A863" t="str">
        <f t="shared" si="13"/>
        <v>C0862</v>
      </c>
      <c r="B863" t="s">
        <v>1161</v>
      </c>
      <c r="C863" t="str">
        <f>VLOOKUP(LEFT(B863,FIND(" ",B863)-1),Customer_Helper!$A$2:$B$101,2,FALSE)</f>
        <v>Female</v>
      </c>
      <c r="D863">
        <v>58</v>
      </c>
      <c r="E863" t="s">
        <v>7</v>
      </c>
      <c r="F863" t="str">
        <f>VLOOKUP(E863,Customer_Helper!$F$2:$G$13,2,FALSE)</f>
        <v>North</v>
      </c>
      <c r="G863" t="s">
        <v>185</v>
      </c>
    </row>
    <row r="864" spans="1:7" x14ac:dyDescent="0.25">
      <c r="A864" t="str">
        <f t="shared" si="13"/>
        <v>C0863</v>
      </c>
      <c r="B864" t="s">
        <v>1162</v>
      </c>
      <c r="C864" t="str">
        <f>VLOOKUP(LEFT(B864,FIND(" ",B864)-1),Customer_Helper!$A$2:$B$101,2,FALSE)</f>
        <v>Female</v>
      </c>
      <c r="D864">
        <v>50</v>
      </c>
      <c r="E864" t="s">
        <v>4</v>
      </c>
      <c r="F864" t="str">
        <f>VLOOKUP(E864,Customer_Helper!$F$2:$G$13,2,FALSE)</f>
        <v>West</v>
      </c>
      <c r="G864" t="s">
        <v>187</v>
      </c>
    </row>
    <row r="865" spans="1:7" x14ac:dyDescent="0.25">
      <c r="A865" t="str">
        <f t="shared" si="13"/>
        <v>C0864</v>
      </c>
      <c r="B865" t="s">
        <v>1163</v>
      </c>
      <c r="C865" t="str">
        <f>VLOOKUP(LEFT(B865,FIND(" ",B865)-1),Customer_Helper!$A$2:$B$101,2,FALSE)</f>
        <v>Male</v>
      </c>
      <c r="D865">
        <v>34</v>
      </c>
      <c r="E865" t="s">
        <v>11</v>
      </c>
      <c r="F865" t="str">
        <f>VLOOKUP(E865,Customer_Helper!$F$2:$G$13,2,FALSE)</f>
        <v>East</v>
      </c>
      <c r="G865" t="s">
        <v>186</v>
      </c>
    </row>
    <row r="866" spans="1:7" x14ac:dyDescent="0.25">
      <c r="A866" t="str">
        <f t="shared" si="13"/>
        <v>C0865</v>
      </c>
      <c r="B866" t="s">
        <v>1164</v>
      </c>
      <c r="C866" t="str">
        <f>VLOOKUP(LEFT(B866,FIND(" ",B866)-1),Customer_Helper!$A$2:$B$101,2,FALSE)</f>
        <v>Female</v>
      </c>
      <c r="D866">
        <v>58</v>
      </c>
      <c r="E866" t="s">
        <v>2</v>
      </c>
      <c r="F866" t="str">
        <f>VLOOKUP(E866,Customer_Helper!$F$2:$G$13,2,FALSE)</f>
        <v>West</v>
      </c>
      <c r="G866" t="s">
        <v>186</v>
      </c>
    </row>
    <row r="867" spans="1:7" x14ac:dyDescent="0.25">
      <c r="A867" t="str">
        <f t="shared" si="13"/>
        <v>C0866</v>
      </c>
      <c r="B867" t="s">
        <v>1165</v>
      </c>
      <c r="C867" t="str">
        <f>VLOOKUP(LEFT(B867,FIND(" ",B867)-1),Customer_Helper!$A$2:$B$101,2,FALSE)</f>
        <v>Male</v>
      </c>
      <c r="D867">
        <v>26</v>
      </c>
      <c r="E867" t="s">
        <v>9</v>
      </c>
      <c r="F867" t="str">
        <f>VLOOKUP(E867,Customer_Helper!$F$2:$G$13,2,FALSE)</f>
        <v>North</v>
      </c>
      <c r="G867" t="s">
        <v>185</v>
      </c>
    </row>
    <row r="868" spans="1:7" x14ac:dyDescent="0.25">
      <c r="A868" t="str">
        <f t="shared" si="13"/>
        <v>C0867</v>
      </c>
      <c r="B868" t="s">
        <v>1166</v>
      </c>
      <c r="C868" t="str">
        <f>VLOOKUP(LEFT(B868,FIND(" ",B868)-1),Customer_Helper!$A$2:$B$101,2,FALSE)</f>
        <v>Male</v>
      </c>
      <c r="D868">
        <v>55</v>
      </c>
      <c r="E868" t="s">
        <v>9</v>
      </c>
      <c r="F868" t="str">
        <f>VLOOKUP(E868,Customer_Helper!$F$2:$G$13,2,FALSE)</f>
        <v>North</v>
      </c>
      <c r="G868" t="s">
        <v>185</v>
      </c>
    </row>
    <row r="869" spans="1:7" x14ac:dyDescent="0.25">
      <c r="A869" t="str">
        <f t="shared" si="13"/>
        <v>C0868</v>
      </c>
      <c r="B869" t="s">
        <v>1086</v>
      </c>
      <c r="C869" t="str">
        <f>VLOOKUP(LEFT(B869,FIND(" ",B869)-1),Customer_Helper!$A$2:$B$101,2,FALSE)</f>
        <v>Female</v>
      </c>
      <c r="D869">
        <v>18</v>
      </c>
      <c r="E869" t="s">
        <v>5</v>
      </c>
      <c r="F869" t="str">
        <f>VLOOKUP(E869,Customer_Helper!$F$2:$G$13,2,FALSE)</f>
        <v>West</v>
      </c>
      <c r="G869" t="s">
        <v>185</v>
      </c>
    </row>
    <row r="870" spans="1:7" x14ac:dyDescent="0.25">
      <c r="A870" t="str">
        <f t="shared" si="13"/>
        <v>C0869</v>
      </c>
      <c r="B870" t="s">
        <v>1167</v>
      </c>
      <c r="C870" t="str">
        <f>VLOOKUP(LEFT(B870,FIND(" ",B870)-1),Customer_Helper!$A$2:$B$101,2,FALSE)</f>
        <v>Male</v>
      </c>
      <c r="D870">
        <v>21</v>
      </c>
      <c r="E870" t="s">
        <v>17</v>
      </c>
      <c r="F870" t="str">
        <f>VLOOKUP(E870,Customer_Helper!$F$2:$G$13,2,FALSE)</f>
        <v>South</v>
      </c>
      <c r="G870" t="s">
        <v>187</v>
      </c>
    </row>
    <row r="871" spans="1:7" x14ac:dyDescent="0.25">
      <c r="A871" t="str">
        <f t="shared" si="13"/>
        <v>C0870</v>
      </c>
      <c r="B871" t="s">
        <v>1168</v>
      </c>
      <c r="C871" t="str">
        <f>VLOOKUP(LEFT(B871,FIND(" ",B871)-1),Customer_Helper!$A$2:$B$101,2,FALSE)</f>
        <v>Female</v>
      </c>
      <c r="D871">
        <v>31</v>
      </c>
      <c r="E871" t="s">
        <v>14</v>
      </c>
      <c r="F871" t="str">
        <f>VLOOKUP(E871,Customer_Helper!$F$2:$G$13,2,FALSE)</f>
        <v>South</v>
      </c>
      <c r="G871" t="s">
        <v>187</v>
      </c>
    </row>
    <row r="872" spans="1:7" x14ac:dyDescent="0.25">
      <c r="A872" t="str">
        <f t="shared" si="13"/>
        <v>C0871</v>
      </c>
      <c r="B872" t="s">
        <v>1169</v>
      </c>
      <c r="C872" t="str">
        <f>VLOOKUP(LEFT(B872,FIND(" ",B872)-1),Customer_Helper!$A$2:$B$101,2,FALSE)</f>
        <v>Male</v>
      </c>
      <c r="D872">
        <v>57</v>
      </c>
      <c r="E872" t="s">
        <v>10</v>
      </c>
      <c r="F872" t="str">
        <f>VLOOKUP(E872,Customer_Helper!$F$2:$G$13,2,FALSE)</f>
        <v>North</v>
      </c>
      <c r="G872" t="s">
        <v>187</v>
      </c>
    </row>
    <row r="873" spans="1:7" x14ac:dyDescent="0.25">
      <c r="A873" t="str">
        <f t="shared" si="13"/>
        <v>C0872</v>
      </c>
      <c r="B873" t="s">
        <v>1170</v>
      </c>
      <c r="C873" t="str">
        <f>VLOOKUP(LEFT(B873,FIND(" ",B873)-1),Customer_Helper!$A$2:$B$101,2,FALSE)</f>
        <v>Male</v>
      </c>
      <c r="D873">
        <v>57</v>
      </c>
      <c r="E873" t="s">
        <v>14</v>
      </c>
      <c r="F873" t="str">
        <f>VLOOKUP(E873,Customer_Helper!$F$2:$G$13,2,FALSE)</f>
        <v>South</v>
      </c>
      <c r="G873" t="s">
        <v>185</v>
      </c>
    </row>
    <row r="874" spans="1:7" x14ac:dyDescent="0.25">
      <c r="A874" t="str">
        <f t="shared" si="13"/>
        <v>C0873</v>
      </c>
      <c r="B874" t="s">
        <v>1171</v>
      </c>
      <c r="C874" t="str">
        <f>VLOOKUP(LEFT(B874,FIND(" ",B874)-1),Customer_Helper!$A$2:$B$101,2,FALSE)</f>
        <v>Male</v>
      </c>
      <c r="D874">
        <v>56</v>
      </c>
      <c r="E874" t="s">
        <v>14</v>
      </c>
      <c r="F874" t="str">
        <f>VLOOKUP(E874,Customer_Helper!$F$2:$G$13,2,FALSE)</f>
        <v>South</v>
      </c>
      <c r="G874" t="s">
        <v>187</v>
      </c>
    </row>
    <row r="875" spans="1:7" x14ac:dyDescent="0.25">
      <c r="A875" t="str">
        <f t="shared" si="13"/>
        <v>C0874</v>
      </c>
      <c r="B875" t="s">
        <v>1172</v>
      </c>
      <c r="C875" t="str">
        <f>VLOOKUP(LEFT(B875,FIND(" ",B875)-1),Customer_Helper!$A$2:$B$101,2,FALSE)</f>
        <v>Female</v>
      </c>
      <c r="D875">
        <v>63</v>
      </c>
      <c r="E875" t="s">
        <v>9</v>
      </c>
      <c r="F875" t="str">
        <f>VLOOKUP(E875,Customer_Helper!$F$2:$G$13,2,FALSE)</f>
        <v>North</v>
      </c>
      <c r="G875" t="s">
        <v>186</v>
      </c>
    </row>
    <row r="876" spans="1:7" x14ac:dyDescent="0.25">
      <c r="A876" t="str">
        <f t="shared" si="13"/>
        <v>C0875</v>
      </c>
      <c r="B876" t="s">
        <v>1173</v>
      </c>
      <c r="C876" t="str">
        <f>VLOOKUP(LEFT(B876,FIND(" ",B876)-1),Customer_Helper!$A$2:$B$101,2,FALSE)</f>
        <v>Female</v>
      </c>
      <c r="D876">
        <v>18</v>
      </c>
      <c r="E876" t="s">
        <v>11</v>
      </c>
      <c r="F876" t="str">
        <f>VLOOKUP(E876,Customer_Helper!$F$2:$G$13,2,FALSE)</f>
        <v>East</v>
      </c>
      <c r="G876" t="s">
        <v>185</v>
      </c>
    </row>
    <row r="877" spans="1:7" x14ac:dyDescent="0.25">
      <c r="A877" t="str">
        <f t="shared" si="13"/>
        <v>C0876</v>
      </c>
      <c r="B877" t="s">
        <v>1174</v>
      </c>
      <c r="C877" t="str">
        <f>VLOOKUP(LEFT(B877,FIND(" ",B877)-1),Customer_Helper!$A$2:$B$101,2,FALSE)</f>
        <v>Male</v>
      </c>
      <c r="D877">
        <v>60</v>
      </c>
      <c r="E877" t="s">
        <v>5</v>
      </c>
      <c r="F877" t="str">
        <f>VLOOKUP(E877,Customer_Helper!$F$2:$G$13,2,FALSE)</f>
        <v>West</v>
      </c>
      <c r="G877" t="s">
        <v>186</v>
      </c>
    </row>
    <row r="878" spans="1:7" x14ac:dyDescent="0.25">
      <c r="A878" t="str">
        <f t="shared" si="13"/>
        <v>C0877</v>
      </c>
      <c r="B878" t="s">
        <v>690</v>
      </c>
      <c r="C878" t="str">
        <f>VLOOKUP(LEFT(B878,FIND(" ",B878)-1),Customer_Helper!$A$2:$B$101,2,FALSE)</f>
        <v>Female</v>
      </c>
      <c r="D878">
        <v>22</v>
      </c>
      <c r="E878" t="s">
        <v>10</v>
      </c>
      <c r="F878" t="str">
        <f>VLOOKUP(E878,Customer_Helper!$F$2:$G$13,2,FALSE)</f>
        <v>North</v>
      </c>
      <c r="G878" t="s">
        <v>185</v>
      </c>
    </row>
    <row r="879" spans="1:7" x14ac:dyDescent="0.25">
      <c r="A879" t="str">
        <f t="shared" si="13"/>
        <v>C0878</v>
      </c>
      <c r="B879" t="s">
        <v>1175</v>
      </c>
      <c r="C879" t="str">
        <f>VLOOKUP(LEFT(B879,FIND(" ",B879)-1),Customer_Helper!$A$2:$B$101,2,FALSE)</f>
        <v>Male</v>
      </c>
      <c r="D879">
        <v>50</v>
      </c>
      <c r="E879" t="s">
        <v>9</v>
      </c>
      <c r="F879" t="str">
        <f>VLOOKUP(E879,Customer_Helper!$F$2:$G$13,2,FALSE)</f>
        <v>North</v>
      </c>
      <c r="G879" t="s">
        <v>187</v>
      </c>
    </row>
    <row r="880" spans="1:7" x14ac:dyDescent="0.25">
      <c r="A880" t="str">
        <f t="shared" si="13"/>
        <v>C0879</v>
      </c>
      <c r="B880" t="s">
        <v>1176</v>
      </c>
      <c r="C880" t="str">
        <f>VLOOKUP(LEFT(B880,FIND(" ",B880)-1),Customer_Helper!$A$2:$B$101,2,FALSE)</f>
        <v>Male</v>
      </c>
      <c r="D880">
        <v>38</v>
      </c>
      <c r="E880" t="s">
        <v>290</v>
      </c>
      <c r="F880" t="str">
        <f>VLOOKUP(E880,Customer_Helper!$F$2:$G$13,2,FALSE)</f>
        <v>West</v>
      </c>
      <c r="G880" t="s">
        <v>185</v>
      </c>
    </row>
    <row r="881" spans="1:7" x14ac:dyDescent="0.25">
      <c r="A881" t="str">
        <f t="shared" si="13"/>
        <v>C0880</v>
      </c>
      <c r="B881" t="s">
        <v>1177</v>
      </c>
      <c r="C881" t="str">
        <f>VLOOKUP(LEFT(B881,FIND(" ",B881)-1),Customer_Helper!$A$2:$B$101,2,FALSE)</f>
        <v>Female</v>
      </c>
      <c r="D881">
        <v>47</v>
      </c>
      <c r="E881" t="s">
        <v>17</v>
      </c>
      <c r="F881" t="str">
        <f>VLOOKUP(E881,Customer_Helper!$F$2:$G$13,2,FALSE)</f>
        <v>South</v>
      </c>
      <c r="G881" t="s">
        <v>185</v>
      </c>
    </row>
    <row r="882" spans="1:7" x14ac:dyDescent="0.25">
      <c r="A882" t="str">
        <f t="shared" si="13"/>
        <v>C0881</v>
      </c>
      <c r="B882" t="s">
        <v>1178</v>
      </c>
      <c r="C882" t="str">
        <f>VLOOKUP(LEFT(B882,FIND(" ",B882)-1),Customer_Helper!$A$2:$B$101,2,FALSE)</f>
        <v>Male</v>
      </c>
      <c r="D882">
        <v>49</v>
      </c>
      <c r="E882" t="s">
        <v>289</v>
      </c>
      <c r="F882" t="str">
        <f>VLOOKUP(E882,Customer_Helper!$F$2:$G$13,2,FALSE)</f>
        <v>West</v>
      </c>
      <c r="G882" t="s">
        <v>186</v>
      </c>
    </row>
    <row r="883" spans="1:7" x14ac:dyDescent="0.25">
      <c r="A883" t="str">
        <f t="shared" si="13"/>
        <v>C0882</v>
      </c>
      <c r="B883" t="s">
        <v>1179</v>
      </c>
      <c r="C883" t="str">
        <f>VLOOKUP(LEFT(B883,FIND(" ",B883)-1),Customer_Helper!$A$2:$B$101,2,FALSE)</f>
        <v>Male</v>
      </c>
      <c r="D883">
        <v>56</v>
      </c>
      <c r="E883" t="s">
        <v>14</v>
      </c>
      <c r="F883" t="str">
        <f>VLOOKUP(E883,Customer_Helper!$F$2:$G$13,2,FALSE)</f>
        <v>South</v>
      </c>
      <c r="G883" t="s">
        <v>185</v>
      </c>
    </row>
    <row r="884" spans="1:7" x14ac:dyDescent="0.25">
      <c r="A884" t="str">
        <f t="shared" si="13"/>
        <v>C0883</v>
      </c>
      <c r="B884" t="s">
        <v>1180</v>
      </c>
      <c r="C884" t="str">
        <f>VLOOKUP(LEFT(B884,FIND(" ",B884)-1),Customer_Helper!$A$2:$B$101,2,FALSE)</f>
        <v>Male</v>
      </c>
      <c r="D884">
        <v>53</v>
      </c>
      <c r="E884" t="s">
        <v>16</v>
      </c>
      <c r="F884" t="str">
        <f>VLOOKUP(E884,Customer_Helper!$F$2:$G$13,2,FALSE)</f>
        <v>South</v>
      </c>
      <c r="G884" t="s">
        <v>186</v>
      </c>
    </row>
    <row r="885" spans="1:7" x14ac:dyDescent="0.25">
      <c r="A885" t="str">
        <f t="shared" si="13"/>
        <v>C0884</v>
      </c>
      <c r="B885" t="s">
        <v>1181</v>
      </c>
      <c r="C885" t="str">
        <f>VLOOKUP(LEFT(B885,FIND(" ",B885)-1),Customer_Helper!$A$2:$B$101,2,FALSE)</f>
        <v>Female</v>
      </c>
      <c r="D885">
        <v>29</v>
      </c>
      <c r="E885" t="s">
        <v>4</v>
      </c>
      <c r="F885" t="str">
        <f>VLOOKUP(E885,Customer_Helper!$F$2:$G$13,2,FALSE)</f>
        <v>West</v>
      </c>
      <c r="G885" t="s">
        <v>187</v>
      </c>
    </row>
    <row r="886" spans="1:7" x14ac:dyDescent="0.25">
      <c r="A886" t="str">
        <f t="shared" si="13"/>
        <v>C0885</v>
      </c>
      <c r="B886" t="s">
        <v>1182</v>
      </c>
      <c r="C886" t="str">
        <f>VLOOKUP(LEFT(B886,FIND(" ",B886)-1),Customer_Helper!$A$2:$B$101,2,FALSE)</f>
        <v>Female</v>
      </c>
      <c r="D886">
        <v>24</v>
      </c>
      <c r="E886" t="s">
        <v>4</v>
      </c>
      <c r="F886" t="str">
        <f>VLOOKUP(E886,Customer_Helper!$F$2:$G$13,2,FALSE)</f>
        <v>West</v>
      </c>
      <c r="G886" t="s">
        <v>185</v>
      </c>
    </row>
    <row r="887" spans="1:7" x14ac:dyDescent="0.25">
      <c r="A887" t="str">
        <f t="shared" si="13"/>
        <v>C0886</v>
      </c>
      <c r="B887" t="s">
        <v>760</v>
      </c>
      <c r="C887" t="str">
        <f>VLOOKUP(LEFT(B887,FIND(" ",B887)-1),Customer_Helper!$A$2:$B$101,2,FALSE)</f>
        <v>Female</v>
      </c>
      <c r="D887">
        <v>26</v>
      </c>
      <c r="E887" t="s">
        <v>17</v>
      </c>
      <c r="F887" t="str">
        <f>VLOOKUP(E887,Customer_Helper!$F$2:$G$13,2,FALSE)</f>
        <v>South</v>
      </c>
      <c r="G887" t="s">
        <v>186</v>
      </c>
    </row>
    <row r="888" spans="1:7" x14ac:dyDescent="0.25">
      <c r="A888" t="str">
        <f t="shared" si="13"/>
        <v>C0887</v>
      </c>
      <c r="B888" t="s">
        <v>418</v>
      </c>
      <c r="C888" t="str">
        <f>VLOOKUP(LEFT(B888,FIND(" ",B888)-1),Customer_Helper!$A$2:$B$101,2,FALSE)</f>
        <v>Female</v>
      </c>
      <c r="D888">
        <v>33</v>
      </c>
      <c r="E888" t="s">
        <v>9</v>
      </c>
      <c r="F888" t="str">
        <f>VLOOKUP(E888,Customer_Helper!$F$2:$G$13,2,FALSE)</f>
        <v>North</v>
      </c>
      <c r="G888" t="s">
        <v>187</v>
      </c>
    </row>
    <row r="889" spans="1:7" x14ac:dyDescent="0.25">
      <c r="A889" t="str">
        <f t="shared" si="13"/>
        <v>C0888</v>
      </c>
      <c r="B889" t="s">
        <v>1183</v>
      </c>
      <c r="C889" t="str">
        <f>VLOOKUP(LEFT(B889,FIND(" ",B889)-1),Customer_Helper!$A$2:$B$101,2,FALSE)</f>
        <v>Male</v>
      </c>
      <c r="D889">
        <v>37</v>
      </c>
      <c r="E889" t="s">
        <v>11</v>
      </c>
      <c r="F889" t="str">
        <f>VLOOKUP(E889,Customer_Helper!$F$2:$G$13,2,FALSE)</f>
        <v>East</v>
      </c>
      <c r="G889" t="s">
        <v>187</v>
      </c>
    </row>
    <row r="890" spans="1:7" x14ac:dyDescent="0.25">
      <c r="A890" t="str">
        <f t="shared" si="13"/>
        <v>C0889</v>
      </c>
      <c r="B890" t="s">
        <v>1184</v>
      </c>
      <c r="C890" t="str">
        <f>VLOOKUP(LEFT(B890,FIND(" ",B890)-1),Customer_Helper!$A$2:$B$101,2,FALSE)</f>
        <v>Male</v>
      </c>
      <c r="D890">
        <v>31</v>
      </c>
      <c r="E890" t="s">
        <v>9</v>
      </c>
      <c r="F890" t="str">
        <f>VLOOKUP(E890,Customer_Helper!$F$2:$G$13,2,FALSE)</f>
        <v>North</v>
      </c>
      <c r="G890" t="s">
        <v>185</v>
      </c>
    </row>
    <row r="891" spans="1:7" x14ac:dyDescent="0.25">
      <c r="A891" t="str">
        <f t="shared" si="13"/>
        <v>C0890</v>
      </c>
      <c r="B891" t="s">
        <v>1185</v>
      </c>
      <c r="C891" t="str">
        <f>VLOOKUP(LEFT(B891,FIND(" ",B891)-1),Customer_Helper!$A$2:$B$101,2,FALSE)</f>
        <v>Female</v>
      </c>
      <c r="D891">
        <v>30</v>
      </c>
      <c r="E891" t="s">
        <v>14</v>
      </c>
      <c r="F891" t="str">
        <f>VLOOKUP(E891,Customer_Helper!$F$2:$G$13,2,FALSE)</f>
        <v>South</v>
      </c>
      <c r="G891" t="s">
        <v>185</v>
      </c>
    </row>
    <row r="892" spans="1:7" x14ac:dyDescent="0.25">
      <c r="A892" t="str">
        <f t="shared" si="13"/>
        <v>C0891</v>
      </c>
      <c r="B892" t="s">
        <v>1186</v>
      </c>
      <c r="C892" t="str">
        <f>VLOOKUP(LEFT(B892,FIND(" ",B892)-1),Customer_Helper!$A$2:$B$101,2,FALSE)</f>
        <v>Male</v>
      </c>
      <c r="D892">
        <v>28</v>
      </c>
      <c r="E892" t="s">
        <v>17</v>
      </c>
      <c r="F892" t="str">
        <f>VLOOKUP(E892,Customer_Helper!$F$2:$G$13,2,FALSE)</f>
        <v>South</v>
      </c>
      <c r="G892" t="s">
        <v>187</v>
      </c>
    </row>
    <row r="893" spans="1:7" x14ac:dyDescent="0.25">
      <c r="A893" t="str">
        <f t="shared" si="13"/>
        <v>C0892</v>
      </c>
      <c r="B893" t="s">
        <v>1187</v>
      </c>
      <c r="C893" t="str">
        <f>VLOOKUP(LEFT(B893,FIND(" ",B893)-1),Customer_Helper!$A$2:$B$101,2,FALSE)</f>
        <v>Female</v>
      </c>
      <c r="D893">
        <v>30</v>
      </c>
      <c r="E893" t="s">
        <v>5</v>
      </c>
      <c r="F893" t="str">
        <f>VLOOKUP(E893,Customer_Helper!$F$2:$G$13,2,FALSE)</f>
        <v>West</v>
      </c>
      <c r="G893" t="s">
        <v>187</v>
      </c>
    </row>
    <row r="894" spans="1:7" x14ac:dyDescent="0.25">
      <c r="A894" t="str">
        <f t="shared" si="13"/>
        <v>C0893</v>
      </c>
      <c r="B894" t="s">
        <v>1188</v>
      </c>
      <c r="C894" t="str">
        <f>VLOOKUP(LEFT(B894,FIND(" ",B894)-1),Customer_Helper!$A$2:$B$101,2,FALSE)</f>
        <v>Male</v>
      </c>
      <c r="D894">
        <v>32</v>
      </c>
      <c r="E894" t="s">
        <v>9</v>
      </c>
      <c r="F894" t="str">
        <f>VLOOKUP(E894,Customer_Helper!$F$2:$G$13,2,FALSE)</f>
        <v>North</v>
      </c>
      <c r="G894" t="s">
        <v>185</v>
      </c>
    </row>
    <row r="895" spans="1:7" x14ac:dyDescent="0.25">
      <c r="A895" t="str">
        <f t="shared" si="13"/>
        <v>C0894</v>
      </c>
      <c r="B895" t="s">
        <v>794</v>
      </c>
      <c r="C895" t="str">
        <f>VLOOKUP(LEFT(B895,FIND(" ",B895)-1),Customer_Helper!$A$2:$B$101,2,FALSE)</f>
        <v>Female</v>
      </c>
      <c r="D895">
        <v>64</v>
      </c>
      <c r="E895" t="s">
        <v>14</v>
      </c>
      <c r="F895" t="str">
        <f>VLOOKUP(E895,Customer_Helper!$F$2:$G$13,2,FALSE)</f>
        <v>South</v>
      </c>
      <c r="G895" t="s">
        <v>185</v>
      </c>
    </row>
    <row r="896" spans="1:7" x14ac:dyDescent="0.25">
      <c r="A896" t="str">
        <f t="shared" si="13"/>
        <v>C0895</v>
      </c>
      <c r="B896" t="s">
        <v>804</v>
      </c>
      <c r="C896" t="str">
        <f>VLOOKUP(LEFT(B896,FIND(" ",B896)-1),Customer_Helper!$A$2:$B$101,2,FALSE)</f>
        <v>Male</v>
      </c>
      <c r="D896">
        <v>18</v>
      </c>
      <c r="E896" t="s">
        <v>290</v>
      </c>
      <c r="F896" t="str">
        <f>VLOOKUP(E896,Customer_Helper!$F$2:$G$13,2,FALSE)</f>
        <v>West</v>
      </c>
      <c r="G896" t="s">
        <v>185</v>
      </c>
    </row>
    <row r="897" spans="1:7" x14ac:dyDescent="0.25">
      <c r="A897" t="str">
        <f t="shared" si="13"/>
        <v>C0896</v>
      </c>
      <c r="B897" t="s">
        <v>1189</v>
      </c>
      <c r="C897" t="str">
        <f>VLOOKUP(LEFT(B897,FIND(" ",B897)-1),Customer_Helper!$A$2:$B$101,2,FALSE)</f>
        <v>Female</v>
      </c>
      <c r="D897">
        <v>21</v>
      </c>
      <c r="E897" t="s">
        <v>11</v>
      </c>
      <c r="F897" t="str">
        <f>VLOOKUP(E897,Customer_Helper!$F$2:$G$13,2,FALSE)</f>
        <v>East</v>
      </c>
      <c r="G897" t="s">
        <v>185</v>
      </c>
    </row>
    <row r="898" spans="1:7" x14ac:dyDescent="0.25">
      <c r="A898" t="str">
        <f t="shared" si="13"/>
        <v>C0897</v>
      </c>
      <c r="B898" t="s">
        <v>1190</v>
      </c>
      <c r="C898" t="str">
        <f>VLOOKUP(LEFT(B898,FIND(" ",B898)-1),Customer_Helper!$A$2:$B$101,2,FALSE)</f>
        <v>Female</v>
      </c>
      <c r="D898">
        <v>64</v>
      </c>
      <c r="E898" t="s">
        <v>290</v>
      </c>
      <c r="F898" t="str">
        <f>VLOOKUP(E898,Customer_Helper!$F$2:$G$13,2,FALSE)</f>
        <v>West</v>
      </c>
      <c r="G898" t="s">
        <v>187</v>
      </c>
    </row>
    <row r="899" spans="1:7" x14ac:dyDescent="0.25">
      <c r="A899" t="str">
        <f t="shared" ref="A899:A901" si="14">"C"&amp;TEXT(ROW()-1,"0000")</f>
        <v>C0898</v>
      </c>
      <c r="B899" t="s">
        <v>1191</v>
      </c>
      <c r="C899" t="str">
        <f>VLOOKUP(LEFT(B899,FIND(" ",B899)-1),Customer_Helper!$A$2:$B$101,2,FALSE)</f>
        <v>Female</v>
      </c>
      <c r="D899">
        <v>39</v>
      </c>
      <c r="E899" t="s">
        <v>7</v>
      </c>
      <c r="F899" t="str">
        <f>VLOOKUP(E899,Customer_Helper!$F$2:$G$13,2,FALSE)</f>
        <v>North</v>
      </c>
      <c r="G899" t="s">
        <v>187</v>
      </c>
    </row>
    <row r="900" spans="1:7" x14ac:dyDescent="0.25">
      <c r="A900" t="str">
        <f t="shared" si="14"/>
        <v>C0899</v>
      </c>
      <c r="B900" t="s">
        <v>1192</v>
      </c>
      <c r="C900" t="str">
        <f>VLOOKUP(LEFT(B900,FIND(" ",B900)-1),Customer_Helper!$A$2:$B$101,2,FALSE)</f>
        <v>Female</v>
      </c>
      <c r="D900">
        <v>59</v>
      </c>
      <c r="E900" t="s">
        <v>14</v>
      </c>
      <c r="F900" t="str">
        <f>VLOOKUP(E900,Customer_Helper!$F$2:$G$13,2,FALSE)</f>
        <v>South</v>
      </c>
      <c r="G900" t="s">
        <v>185</v>
      </c>
    </row>
    <row r="901" spans="1:7" x14ac:dyDescent="0.25">
      <c r="A901" t="str">
        <f t="shared" si="14"/>
        <v>C0900</v>
      </c>
      <c r="B901" t="s">
        <v>1193</v>
      </c>
      <c r="C901" t="str">
        <f>VLOOKUP(LEFT(B901,FIND(" ",B901)-1),Customer_Helper!$A$2:$B$101,2,FALSE)</f>
        <v>Female</v>
      </c>
      <c r="D901">
        <v>60</v>
      </c>
      <c r="E901" t="s">
        <v>289</v>
      </c>
      <c r="F901" t="str">
        <f>VLOOKUP(E901,Customer_Helper!$F$2:$G$13,2,FALSE)</f>
        <v>West</v>
      </c>
      <c r="G901" t="s">
        <v>186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opLeftCell="C12" workbookViewId="0">
      <selection activeCell="C1" sqref="C1:L22"/>
    </sheetView>
  </sheetViews>
  <sheetFormatPr defaultRowHeight="15" x14ac:dyDescent="0.25"/>
  <cols>
    <col min="1" max="1" width="12.85546875" customWidth="1"/>
    <col min="2" max="2" width="11" customWidth="1"/>
    <col min="3" max="3" width="16.28515625" customWidth="1"/>
    <col min="4" max="4" width="15" customWidth="1"/>
    <col min="5" max="5" width="16" customWidth="1"/>
    <col min="6" max="6" width="15.42578125" customWidth="1"/>
    <col min="7" max="7" width="18.85546875" customWidth="1"/>
    <col min="8" max="8" width="15.42578125" customWidth="1"/>
    <col min="9" max="9" width="16.28515625" customWidth="1"/>
    <col min="10" max="11" width="17" customWidth="1"/>
    <col min="12" max="12" width="17.28515625" customWidth="1"/>
  </cols>
  <sheetData>
    <row r="1" spans="1:12" x14ac:dyDescent="0.25">
      <c r="A1" s="1" t="s">
        <v>18</v>
      </c>
      <c r="B1" s="1" t="s">
        <v>19</v>
      </c>
      <c r="C1" s="1" t="s">
        <v>121</v>
      </c>
      <c r="D1" s="1" t="s">
        <v>122</v>
      </c>
      <c r="E1" s="1" t="s">
        <v>149</v>
      </c>
      <c r="F1" s="4" t="s">
        <v>123</v>
      </c>
      <c r="G1" s="4" t="s">
        <v>124</v>
      </c>
      <c r="H1" s="4" t="s">
        <v>125</v>
      </c>
      <c r="I1" s="1" t="s">
        <v>126</v>
      </c>
      <c r="J1" s="1" t="s">
        <v>127</v>
      </c>
      <c r="K1" s="4" t="s">
        <v>128</v>
      </c>
      <c r="L1" s="4" t="s">
        <v>129</v>
      </c>
    </row>
    <row r="2" spans="1:12" ht="45" x14ac:dyDescent="0.25">
      <c r="A2" s="2" t="s">
        <v>21</v>
      </c>
      <c r="B2" s="2" t="s">
        <v>22</v>
      </c>
      <c r="C2" s="2" t="s">
        <v>23</v>
      </c>
      <c r="D2" s="2" t="s">
        <v>130</v>
      </c>
      <c r="E2" s="2" t="s">
        <v>150</v>
      </c>
      <c r="F2" s="5">
        <v>54999</v>
      </c>
      <c r="G2" s="3">
        <v>18</v>
      </c>
      <c r="H2" s="6">
        <f>Table10[[#This Row],[Unit_Price (₹)]]*(1-Table10[[#This Row],[Profit_Margin (%)]]/100)</f>
        <v>45099.18</v>
      </c>
      <c r="I2" s="2" t="s">
        <v>131</v>
      </c>
      <c r="J2" s="2" t="s">
        <v>132</v>
      </c>
      <c r="K2" s="3">
        <v>2</v>
      </c>
      <c r="L2" s="3">
        <v>10</v>
      </c>
    </row>
    <row r="3" spans="1:12" ht="30" x14ac:dyDescent="0.25">
      <c r="A3" s="2" t="s">
        <v>24</v>
      </c>
      <c r="B3" s="2" t="s">
        <v>22</v>
      </c>
      <c r="C3" s="2" t="s">
        <v>25</v>
      </c>
      <c r="D3" s="2" t="s">
        <v>151</v>
      </c>
      <c r="E3" s="2" t="s">
        <v>150</v>
      </c>
      <c r="F3" s="5">
        <v>35800</v>
      </c>
      <c r="G3" s="3">
        <v>20</v>
      </c>
      <c r="H3" s="6">
        <f>Table10[[#This Row],[Unit_Price (₹)]]*(1-Table10[[#This Row],[Profit_Margin (%)]]/100)</f>
        <v>28640</v>
      </c>
      <c r="I3" s="2" t="s">
        <v>135</v>
      </c>
      <c r="J3" s="2" t="s">
        <v>132</v>
      </c>
      <c r="K3" s="3">
        <v>1</v>
      </c>
      <c r="L3" s="3">
        <v>5</v>
      </c>
    </row>
    <row r="4" spans="1:12" ht="30" x14ac:dyDescent="0.25">
      <c r="A4" s="2" t="s">
        <v>26</v>
      </c>
      <c r="B4" s="2" t="s">
        <v>22</v>
      </c>
      <c r="C4" s="2" t="s">
        <v>27</v>
      </c>
      <c r="D4" s="2" t="s">
        <v>151</v>
      </c>
      <c r="E4" s="2" t="s">
        <v>150</v>
      </c>
      <c r="F4" s="5">
        <v>27499</v>
      </c>
      <c r="G4" s="3">
        <v>15</v>
      </c>
      <c r="H4" s="6">
        <f>Table10[[#This Row],[Unit_Price (₹)]]*(1-Table10[[#This Row],[Profit_Margin (%)]]/100)</f>
        <v>23374.149999999998</v>
      </c>
      <c r="I4" s="2" t="s">
        <v>131</v>
      </c>
      <c r="J4" s="2" t="s">
        <v>135</v>
      </c>
      <c r="K4" s="3">
        <v>1</v>
      </c>
      <c r="L4" s="3">
        <v>2</v>
      </c>
    </row>
    <row r="5" spans="1:12" ht="30" x14ac:dyDescent="0.25">
      <c r="A5" s="2" t="s">
        <v>28</v>
      </c>
      <c r="B5" s="2" t="s">
        <v>22</v>
      </c>
      <c r="C5" s="2" t="s">
        <v>35</v>
      </c>
      <c r="D5" s="2" t="s">
        <v>152</v>
      </c>
      <c r="E5" s="2" t="s">
        <v>153</v>
      </c>
      <c r="F5" s="5">
        <v>16499</v>
      </c>
      <c r="G5" s="3">
        <v>12</v>
      </c>
      <c r="H5" s="6">
        <f>Table10[[#This Row],[Unit_Price (₹)]]*(1-Table10[[#This Row],[Profit_Margin (%)]]/100)</f>
        <v>14519.12</v>
      </c>
      <c r="I5" s="2" t="s">
        <v>135</v>
      </c>
      <c r="J5" s="2" t="s">
        <v>135</v>
      </c>
      <c r="K5" s="3">
        <v>1</v>
      </c>
      <c r="L5" s="3">
        <v>3</v>
      </c>
    </row>
    <row r="6" spans="1:12" ht="30" x14ac:dyDescent="0.25">
      <c r="A6" s="2" t="s">
        <v>30</v>
      </c>
      <c r="B6" s="2" t="s">
        <v>22</v>
      </c>
      <c r="C6" s="2" t="s">
        <v>41</v>
      </c>
      <c r="D6" s="2" t="s">
        <v>154</v>
      </c>
      <c r="E6" s="2" t="s">
        <v>153</v>
      </c>
      <c r="F6" s="5">
        <v>13749</v>
      </c>
      <c r="G6" s="3">
        <v>20</v>
      </c>
      <c r="H6" s="6">
        <f>Table10[[#This Row],[Unit_Price (₹)]]*(1-Table10[[#This Row],[Profit_Margin (%)]]/100)</f>
        <v>10999.2</v>
      </c>
      <c r="I6" s="2" t="s">
        <v>131</v>
      </c>
      <c r="J6" s="2" t="s">
        <v>135</v>
      </c>
      <c r="K6" s="3">
        <v>1</v>
      </c>
      <c r="L6" s="3">
        <v>2</v>
      </c>
    </row>
    <row r="7" spans="1:12" ht="30" x14ac:dyDescent="0.25">
      <c r="A7" s="2" t="s">
        <v>32</v>
      </c>
      <c r="B7" s="2" t="s">
        <v>22</v>
      </c>
      <c r="C7" s="2" t="s">
        <v>29</v>
      </c>
      <c r="D7" s="2" t="s">
        <v>134</v>
      </c>
      <c r="E7" s="2" t="s">
        <v>155</v>
      </c>
      <c r="F7" s="5">
        <v>9500</v>
      </c>
      <c r="G7" s="3">
        <v>30</v>
      </c>
      <c r="H7" s="6">
        <f>Table10[[#This Row],[Unit_Price (₹)]]*(1-Table10[[#This Row],[Profit_Margin (%)]]/100)</f>
        <v>6650</v>
      </c>
      <c r="I7" s="2" t="s">
        <v>135</v>
      </c>
      <c r="J7" s="2" t="s">
        <v>132</v>
      </c>
      <c r="K7" s="3">
        <v>1</v>
      </c>
      <c r="L7" s="3">
        <v>3</v>
      </c>
    </row>
    <row r="8" spans="1:12" ht="30" x14ac:dyDescent="0.25">
      <c r="A8" s="2" t="s">
        <v>34</v>
      </c>
      <c r="B8" s="2" t="s">
        <v>22</v>
      </c>
      <c r="C8" s="2" t="s">
        <v>137</v>
      </c>
      <c r="D8" s="2" t="s">
        <v>156</v>
      </c>
      <c r="E8" s="2" t="s">
        <v>150</v>
      </c>
      <c r="F8" s="5">
        <v>6900</v>
      </c>
      <c r="G8" s="3">
        <v>17</v>
      </c>
      <c r="H8" s="6">
        <f>Table10[[#This Row],[Unit_Price (₹)]]*(1-Table10[[#This Row],[Profit_Margin (%)]]/100)</f>
        <v>5727</v>
      </c>
      <c r="I8" s="2" t="s">
        <v>131</v>
      </c>
      <c r="J8" s="2" t="s">
        <v>135</v>
      </c>
      <c r="K8" s="3">
        <v>1</v>
      </c>
      <c r="L8" s="3">
        <v>2</v>
      </c>
    </row>
    <row r="9" spans="1:12" x14ac:dyDescent="0.25">
      <c r="A9" s="2" t="s">
        <v>36</v>
      </c>
      <c r="B9" s="2" t="s">
        <v>22</v>
      </c>
      <c r="C9" s="2" t="s">
        <v>136</v>
      </c>
      <c r="D9" s="2" t="s">
        <v>138</v>
      </c>
      <c r="E9" s="2" t="s">
        <v>150</v>
      </c>
      <c r="F9" s="5">
        <v>3590</v>
      </c>
      <c r="G9" s="3">
        <v>35</v>
      </c>
      <c r="H9" s="6">
        <f>Table10[[#This Row],[Unit_Price (₹)]]*(1-Table10[[#This Row],[Profit_Margin (%)]]/100)</f>
        <v>2333.5</v>
      </c>
      <c r="I9" s="2" t="s">
        <v>132</v>
      </c>
      <c r="J9" s="2" t="s">
        <v>132</v>
      </c>
      <c r="K9" s="3">
        <v>1</v>
      </c>
      <c r="L9" s="3">
        <v>4</v>
      </c>
    </row>
    <row r="10" spans="1:12" ht="30" x14ac:dyDescent="0.25">
      <c r="A10" s="2" t="s">
        <v>38</v>
      </c>
      <c r="B10" s="2" t="s">
        <v>22</v>
      </c>
      <c r="C10" s="2" t="s">
        <v>37</v>
      </c>
      <c r="D10" s="2" t="s">
        <v>152</v>
      </c>
      <c r="E10" s="2" t="s">
        <v>153</v>
      </c>
      <c r="F10" s="5">
        <v>1650</v>
      </c>
      <c r="G10" s="3">
        <v>40</v>
      </c>
      <c r="H10" s="6">
        <f>Table10[[#This Row],[Unit_Price (₹)]]*(1-Table10[[#This Row],[Profit_Margin (%)]]/100)</f>
        <v>990</v>
      </c>
      <c r="I10" s="2" t="s">
        <v>132</v>
      </c>
      <c r="J10" s="2" t="s">
        <v>135</v>
      </c>
      <c r="K10" s="3">
        <v>1</v>
      </c>
      <c r="L10" s="3">
        <v>5</v>
      </c>
    </row>
    <row r="11" spans="1:12" ht="30" x14ac:dyDescent="0.25">
      <c r="A11" s="2" t="s">
        <v>40</v>
      </c>
      <c r="B11" s="2" t="s">
        <v>22</v>
      </c>
      <c r="C11" s="2" t="s">
        <v>39</v>
      </c>
      <c r="D11" s="2" t="s">
        <v>152</v>
      </c>
      <c r="E11" s="2" t="s">
        <v>153</v>
      </c>
      <c r="F11" s="5">
        <v>1100</v>
      </c>
      <c r="G11" s="3">
        <v>35</v>
      </c>
      <c r="H11" s="6">
        <f>Table10[[#This Row],[Unit_Price (₹)]]*(1-Table10[[#This Row],[Profit_Margin (%)]]/100)</f>
        <v>715</v>
      </c>
      <c r="I11" s="2" t="s">
        <v>132</v>
      </c>
      <c r="J11" s="2" t="s">
        <v>135</v>
      </c>
      <c r="K11" s="3">
        <v>1</v>
      </c>
      <c r="L11" s="3">
        <v>5</v>
      </c>
    </row>
    <row r="12" spans="1:12" ht="30" x14ac:dyDescent="0.25">
      <c r="A12" s="2" t="s">
        <v>42</v>
      </c>
      <c r="B12" s="2" t="s">
        <v>43</v>
      </c>
      <c r="C12" s="2" t="s">
        <v>44</v>
      </c>
      <c r="D12" s="2" t="s">
        <v>139</v>
      </c>
      <c r="E12" s="2" t="s">
        <v>153</v>
      </c>
      <c r="F12" s="5">
        <v>8999</v>
      </c>
      <c r="G12" s="3">
        <v>28</v>
      </c>
      <c r="H12" s="6">
        <f>Table10[[#This Row],[Unit_Price (₹)]]*(1-Table10[[#This Row],[Profit_Margin (%)]]/100)</f>
        <v>6479.28</v>
      </c>
      <c r="I12" s="2" t="s">
        <v>133</v>
      </c>
      <c r="J12" s="2" t="s">
        <v>135</v>
      </c>
      <c r="K12" s="3">
        <v>1</v>
      </c>
      <c r="L12" s="3">
        <v>4</v>
      </c>
    </row>
    <row r="13" spans="1:12" ht="30" x14ac:dyDescent="0.25">
      <c r="A13" s="2" t="s">
        <v>45</v>
      </c>
      <c r="B13" s="2" t="s">
        <v>43</v>
      </c>
      <c r="C13" s="2" t="s">
        <v>46</v>
      </c>
      <c r="D13" s="2" t="s">
        <v>139</v>
      </c>
      <c r="E13" s="2" t="s">
        <v>153</v>
      </c>
      <c r="F13" s="5">
        <v>11999</v>
      </c>
      <c r="G13" s="3">
        <v>25</v>
      </c>
      <c r="H13" s="6">
        <f>Table10[[#This Row],[Unit_Price (₹)]]*(1-Table10[[#This Row],[Profit_Margin (%)]]/100)</f>
        <v>8999.25</v>
      </c>
      <c r="I13" s="2" t="s">
        <v>135</v>
      </c>
      <c r="J13" s="2" t="s">
        <v>135</v>
      </c>
      <c r="K13" s="3">
        <v>1</v>
      </c>
      <c r="L13" s="3">
        <v>2</v>
      </c>
    </row>
    <row r="14" spans="1:12" x14ac:dyDescent="0.25">
      <c r="A14" s="2" t="s">
        <v>47</v>
      </c>
      <c r="B14" s="2" t="s">
        <v>43</v>
      </c>
      <c r="C14" s="2" t="s">
        <v>52</v>
      </c>
      <c r="D14" s="2" t="s">
        <v>130</v>
      </c>
      <c r="E14" s="2" t="s">
        <v>157</v>
      </c>
      <c r="F14" s="5">
        <v>42999</v>
      </c>
      <c r="G14" s="3">
        <v>22</v>
      </c>
      <c r="H14" s="6">
        <f>Table10[[#This Row],[Unit_Price (₹)]]*(1-Table10[[#This Row],[Profit_Margin (%)]]/100)</f>
        <v>33539.22</v>
      </c>
      <c r="I14" s="2" t="s">
        <v>131</v>
      </c>
      <c r="J14" s="2" t="s">
        <v>132</v>
      </c>
      <c r="K14" s="3">
        <v>1</v>
      </c>
      <c r="L14" s="3">
        <v>1</v>
      </c>
    </row>
    <row r="15" spans="1:12" ht="30" x14ac:dyDescent="0.25">
      <c r="A15" s="2" t="s">
        <v>49</v>
      </c>
      <c r="B15" s="2" t="s">
        <v>43</v>
      </c>
      <c r="C15" s="2" t="s">
        <v>56</v>
      </c>
      <c r="D15" s="2" t="s">
        <v>140</v>
      </c>
      <c r="E15" s="2" t="s">
        <v>158</v>
      </c>
      <c r="F15" s="5">
        <v>31999</v>
      </c>
      <c r="G15" s="3">
        <v>20</v>
      </c>
      <c r="H15" s="6">
        <f>Table10[[#This Row],[Unit_Price (₹)]]*(1-Table10[[#This Row],[Profit_Margin (%)]]/100)</f>
        <v>25599.200000000001</v>
      </c>
      <c r="I15" s="2" t="s">
        <v>131</v>
      </c>
      <c r="J15" s="2" t="s">
        <v>132</v>
      </c>
      <c r="K15" s="3">
        <v>1</v>
      </c>
      <c r="L15" s="3">
        <v>1</v>
      </c>
    </row>
    <row r="16" spans="1:12" ht="30" x14ac:dyDescent="0.25">
      <c r="A16" s="2" t="s">
        <v>51</v>
      </c>
      <c r="B16" s="2" t="s">
        <v>43</v>
      </c>
      <c r="C16" s="2" t="s">
        <v>54</v>
      </c>
      <c r="D16" s="2" t="s">
        <v>141</v>
      </c>
      <c r="E16" s="2" t="s">
        <v>159</v>
      </c>
      <c r="F16" s="5">
        <v>27499</v>
      </c>
      <c r="G16" s="3">
        <v>21</v>
      </c>
      <c r="H16" s="6">
        <f>Table10[[#This Row],[Unit_Price (₹)]]*(1-Table10[[#This Row],[Profit_Margin (%)]]/100)</f>
        <v>21724.210000000003</v>
      </c>
      <c r="I16" s="2" t="s">
        <v>131</v>
      </c>
      <c r="J16" s="2" t="s">
        <v>132</v>
      </c>
      <c r="K16" s="3">
        <v>1</v>
      </c>
      <c r="L16" s="3">
        <v>1</v>
      </c>
    </row>
    <row r="17" spans="1:12" ht="30" x14ac:dyDescent="0.25">
      <c r="A17" s="2" t="s">
        <v>53</v>
      </c>
      <c r="B17" s="2" t="s">
        <v>43</v>
      </c>
      <c r="C17" s="2" t="s">
        <v>48</v>
      </c>
      <c r="D17" s="2" t="s">
        <v>142</v>
      </c>
      <c r="E17" s="2" t="s">
        <v>160</v>
      </c>
      <c r="F17" s="5">
        <v>6499</v>
      </c>
      <c r="G17" s="3">
        <v>30</v>
      </c>
      <c r="H17" s="6">
        <f>Table10[[#This Row],[Unit_Price (₹)]]*(1-Table10[[#This Row],[Profit_Margin (%)]]/100)</f>
        <v>4549.2999999999993</v>
      </c>
      <c r="I17" s="2" t="s">
        <v>135</v>
      </c>
      <c r="J17" s="2" t="s">
        <v>135</v>
      </c>
      <c r="K17" s="3">
        <v>1</v>
      </c>
      <c r="L17" s="3">
        <v>2</v>
      </c>
    </row>
    <row r="18" spans="1:12" ht="30" x14ac:dyDescent="0.25">
      <c r="A18" s="2" t="s">
        <v>55</v>
      </c>
      <c r="B18" s="2" t="s">
        <v>64</v>
      </c>
      <c r="C18" s="2" t="s">
        <v>65</v>
      </c>
      <c r="D18" s="2" t="s">
        <v>143</v>
      </c>
      <c r="E18" s="2" t="s">
        <v>161</v>
      </c>
      <c r="F18" s="3">
        <v>80</v>
      </c>
      <c r="G18" s="3">
        <v>30</v>
      </c>
      <c r="H18" s="6">
        <f>Table10[[#This Row],[Unit_Price (₹)]]*(1-Table10[[#This Row],[Profit_Margin (%)]]/100)</f>
        <v>56</v>
      </c>
      <c r="I18" s="2" t="s">
        <v>144</v>
      </c>
      <c r="J18" s="2" t="s">
        <v>132</v>
      </c>
      <c r="K18" s="3">
        <v>2</v>
      </c>
      <c r="L18" s="3">
        <v>10</v>
      </c>
    </row>
    <row r="19" spans="1:12" ht="30" x14ac:dyDescent="0.25">
      <c r="A19" s="2" t="s">
        <v>57</v>
      </c>
      <c r="B19" s="2" t="s">
        <v>64</v>
      </c>
      <c r="C19" s="2" t="s">
        <v>67</v>
      </c>
      <c r="D19" s="2" t="s">
        <v>143</v>
      </c>
      <c r="E19" s="2" t="s">
        <v>161</v>
      </c>
      <c r="F19" s="3">
        <v>150</v>
      </c>
      <c r="G19" s="3">
        <v>35</v>
      </c>
      <c r="H19" s="6">
        <f>Table10[[#This Row],[Unit_Price (₹)]]*(1-Table10[[#This Row],[Profit_Margin (%)]]/100)</f>
        <v>97.5</v>
      </c>
      <c r="I19" s="2" t="s">
        <v>144</v>
      </c>
      <c r="J19" s="2" t="s">
        <v>132</v>
      </c>
      <c r="K19" s="3">
        <v>1</v>
      </c>
      <c r="L19" s="3">
        <v>8</v>
      </c>
    </row>
    <row r="20" spans="1:12" ht="30" x14ac:dyDescent="0.25">
      <c r="A20" s="2" t="s">
        <v>59</v>
      </c>
      <c r="B20" s="2" t="s">
        <v>64</v>
      </c>
      <c r="C20" s="2" t="s">
        <v>73</v>
      </c>
      <c r="D20" s="2" t="s">
        <v>145</v>
      </c>
      <c r="E20" s="2" t="s">
        <v>161</v>
      </c>
      <c r="F20" s="3">
        <v>120</v>
      </c>
      <c r="G20" s="3">
        <v>32</v>
      </c>
      <c r="H20" s="6">
        <f>Table10[[#This Row],[Unit_Price (₹)]]*(1-Table10[[#This Row],[Profit_Margin (%)]]/100)</f>
        <v>81.599999999999994</v>
      </c>
      <c r="I20" s="2" t="s">
        <v>132</v>
      </c>
      <c r="J20" s="2" t="s">
        <v>135</v>
      </c>
      <c r="K20" s="3">
        <v>1</v>
      </c>
      <c r="L20" s="3">
        <v>6</v>
      </c>
    </row>
    <row r="21" spans="1:12" ht="30" x14ac:dyDescent="0.25">
      <c r="A21" s="2" t="s">
        <v>61</v>
      </c>
      <c r="B21" s="2" t="s">
        <v>64</v>
      </c>
      <c r="C21" s="2" t="s">
        <v>146</v>
      </c>
      <c r="D21" s="2" t="s">
        <v>147</v>
      </c>
      <c r="E21" s="2" t="s">
        <v>161</v>
      </c>
      <c r="F21" s="3">
        <v>250</v>
      </c>
      <c r="G21" s="3">
        <v>38</v>
      </c>
      <c r="H21" s="6">
        <f>Table10[[#This Row],[Unit_Price (₹)]]*(1-Table10[[#This Row],[Profit_Margin (%)]]/100)</f>
        <v>155</v>
      </c>
      <c r="I21" s="2" t="s">
        <v>132</v>
      </c>
      <c r="J21" s="2" t="s">
        <v>135</v>
      </c>
      <c r="K21" s="3">
        <v>1</v>
      </c>
      <c r="L21" s="3">
        <v>5</v>
      </c>
    </row>
    <row r="22" spans="1:12" ht="30" x14ac:dyDescent="0.25">
      <c r="A22" s="2" t="s">
        <v>63</v>
      </c>
      <c r="B22" s="2" t="s">
        <v>64</v>
      </c>
      <c r="C22" s="2" t="s">
        <v>77</v>
      </c>
      <c r="D22" s="2" t="s">
        <v>148</v>
      </c>
      <c r="E22" s="2" t="s">
        <v>161</v>
      </c>
      <c r="F22" s="3">
        <v>650</v>
      </c>
      <c r="G22" s="3">
        <v>28</v>
      </c>
      <c r="H22" s="6">
        <f>Table10[[#This Row],[Unit_Price (₹)]]*(1-Table10[[#This Row],[Profit_Margin (%)]]/100)</f>
        <v>468</v>
      </c>
      <c r="I22" s="2" t="s">
        <v>135</v>
      </c>
      <c r="J22" s="2" t="s">
        <v>132</v>
      </c>
      <c r="K22" s="3">
        <v>1</v>
      </c>
      <c r="L22" s="3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23</vt:i4>
      </vt:variant>
    </vt:vector>
  </HeadingPairs>
  <TitlesOfParts>
    <vt:vector size="33" baseType="lpstr">
      <vt:lpstr>Dashboard</vt:lpstr>
      <vt:lpstr>Analysis</vt:lpstr>
      <vt:lpstr>Master_data</vt:lpstr>
      <vt:lpstr>Raw_data</vt:lpstr>
      <vt:lpstr>Orders_Helper</vt:lpstr>
      <vt:lpstr>Customer_Helper</vt:lpstr>
      <vt:lpstr>Salesperson_Helper</vt:lpstr>
      <vt:lpstr>Salesperson_Masterdata</vt:lpstr>
      <vt:lpstr>Customer_Masterdata</vt:lpstr>
      <vt:lpstr>Product_Masterdata</vt:lpstr>
      <vt:lpstr>Age_Groups</vt:lpstr>
      <vt:lpstr>City_Assignment</vt:lpstr>
      <vt:lpstr>City_Master</vt:lpstr>
      <vt:lpstr>Customer_Segments</vt:lpstr>
      <vt:lpstr>Customer_Types</vt:lpstr>
      <vt:lpstr>First_Names</vt:lpstr>
      <vt:lpstr>Gender_Distribution</vt:lpstr>
      <vt:lpstr>Last_Names</vt:lpstr>
      <vt:lpstr>Monthly_Distribution</vt:lpstr>
      <vt:lpstr>Order_Distribution</vt:lpstr>
      <vt:lpstr>Dashboard!Print_Area</vt:lpstr>
      <vt:lpstr>Product_MasterData</vt:lpstr>
      <vt:lpstr>Region</vt:lpstr>
      <vt:lpstr>Salesperson_Master</vt:lpstr>
      <vt:lpstr>Salesperson_Names</vt:lpstr>
      <vt:lpstr>Seasonal_Mapping</vt:lpstr>
      <vt:lpstr>tbl_cities</vt:lpstr>
      <vt:lpstr>tbl_paymentmode</vt:lpstr>
      <vt:lpstr>tbl_products</vt:lpstr>
      <vt:lpstr>tbl_saleschannel</vt:lpstr>
      <vt:lpstr>tbl_salesperson</vt:lpstr>
      <vt:lpstr>Team_Assignment</vt:lpstr>
      <vt:lpstr>Weekly_Behaviour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2026-09-26T16:06:45Z</cp:lastPrinted>
  <dcterms:created xsi:type="dcterms:W3CDTF">2026-07-13T15:54:53Z</dcterms:created>
  <dcterms:modified xsi:type="dcterms:W3CDTF">2026-09-26T17:00:47Z</dcterms:modified>
</cp:coreProperties>
</file>